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6.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drawings/drawing6.xml" ContentType="application/vnd.openxmlformats-officedocument.drawing+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davidb/Desktop/Diplomka/"/>
    </mc:Choice>
  </mc:AlternateContent>
  <xr:revisionPtr revIDLastSave="0" documentId="8_{EF4CCCB6-309D-FD49-B2F1-75F284292E2E}" xr6:coauthVersionLast="47" xr6:coauthVersionMax="47" xr10:uidLastSave="{00000000-0000-0000-0000-000000000000}"/>
  <bookViews>
    <workbookView xWindow="0" yWindow="660" windowWidth="29400" windowHeight="18460" xr2:uid="{00000000-000D-0000-FFFF-FFFF00000000}"/>
  </bookViews>
  <sheets>
    <sheet name="Welcome" sheetId="16" r:id="rId1"/>
    <sheet name="Input sheet(dashboard)" sheetId="1" r:id="rId2"/>
    <sheet name="Calculations&gt;&gt;&gt;" sheetId="19" r:id="rId3"/>
    <sheet name="Calculations" sheetId="2" r:id="rId4"/>
    <sheet name="Results&gt;&gt;&gt;" sheetId="18" r:id="rId5"/>
    <sheet name="Results summary" sheetId="5" state="hidden" r:id="rId6"/>
    <sheet name="Sensitivity decomposition" sheetId="14" r:id="rId7"/>
    <sheet name="Decomposition" sheetId="13" r:id="rId8"/>
    <sheet name="Results" sheetId="3" r:id="rId9"/>
    <sheet name="Annual cost matrix" sheetId="15" r:id="rId10"/>
    <sheet name="Data&gt;&gt;&gt;" sheetId="20" r:id="rId11"/>
    <sheet name="Price data" sheetId="10" r:id="rId12"/>
    <sheet name="Price evolution" sheetId="22" r:id="rId13"/>
    <sheet name="Listing flat price" sheetId="23" r:id="rId14"/>
    <sheet name="flat price index" sheetId="24" r:id="rId15"/>
    <sheet name="SP500 retuns" sheetId="27" state="hidden" r:id="rId16"/>
    <sheet name="DamodaranUS" sheetId="26" r:id="rId17"/>
    <sheet name="Tornado Chart Data" sheetId="8" state="hidden" r:id="rId18"/>
    <sheet name="Cost Evolution Data" sheetId="9" state="hidden" r:id="rId19"/>
  </sheets>
  <externalReferences>
    <externalReference r:id="rId20"/>
  </externalReferences>
  <definedNames>
    <definedName name="HTML_CodePage" hidden="1">1252</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s>
  <calcPr calcId="191029" iterate="1" iterateDelta="9.8999999999999999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22" l="1"/>
  <c r="O7" i="26"/>
  <c r="W121" i="26"/>
  <c r="AK118" i="26"/>
  <c r="AJ118" i="26"/>
  <c r="U118" i="26"/>
  <c r="AA118" i="26" s="1"/>
  <c r="R118" i="26"/>
  <c r="H118" i="26"/>
  <c r="G118" i="26"/>
  <c r="F118" i="26"/>
  <c r="Z118" i="26" s="1"/>
  <c r="E118" i="26"/>
  <c r="D118" i="26"/>
  <c r="X118" i="26" s="1"/>
  <c r="C118" i="26"/>
  <c r="W118" i="26" s="1"/>
  <c r="B118" i="26"/>
  <c r="AK117" i="26"/>
  <c r="AJ117" i="26"/>
  <c r="AB117" i="26"/>
  <c r="AA117" i="26"/>
  <c r="Y117" i="26"/>
  <c r="W117" i="26"/>
  <c r="U117" i="26"/>
  <c r="R117" i="26"/>
  <c r="H117" i="26"/>
  <c r="G117" i="26"/>
  <c r="F117" i="26"/>
  <c r="Z117" i="26" s="1"/>
  <c r="E117" i="26"/>
  <c r="D117" i="26"/>
  <c r="X117" i="26" s="1"/>
  <c r="C117" i="26"/>
  <c r="B117" i="26"/>
  <c r="AK116" i="26"/>
  <c r="AJ116" i="26"/>
  <c r="W116" i="26"/>
  <c r="U116" i="26"/>
  <c r="R116" i="26"/>
  <c r="H116" i="26"/>
  <c r="AB116" i="26" s="1"/>
  <c r="G116" i="26"/>
  <c r="AA116" i="26" s="1"/>
  <c r="F116" i="26"/>
  <c r="Z116" i="26" s="1"/>
  <c r="E116" i="26"/>
  <c r="Y116" i="26" s="1"/>
  <c r="D116" i="26"/>
  <c r="X116" i="26" s="1"/>
  <c r="C116" i="26"/>
  <c r="B116" i="26"/>
  <c r="AK115" i="26"/>
  <c r="AJ115" i="26"/>
  <c r="Y115" i="26"/>
  <c r="X115" i="26"/>
  <c r="W115" i="26"/>
  <c r="V115" i="26"/>
  <c r="U115" i="26"/>
  <c r="R115" i="26"/>
  <c r="Q115" i="26"/>
  <c r="P115" i="26"/>
  <c r="H115" i="26"/>
  <c r="AB115" i="26" s="1"/>
  <c r="G115" i="26"/>
  <c r="AA115" i="26" s="1"/>
  <c r="F115" i="26"/>
  <c r="Z115" i="26" s="1"/>
  <c r="E115" i="26"/>
  <c r="D115" i="26"/>
  <c r="C115" i="26"/>
  <c r="B115" i="26"/>
  <c r="S115" i="26" s="1"/>
  <c r="AK114" i="26"/>
  <c r="AJ114" i="26"/>
  <c r="Z114" i="26"/>
  <c r="X114" i="26"/>
  <c r="W114" i="26"/>
  <c r="V114" i="26"/>
  <c r="U114" i="26"/>
  <c r="R114" i="26"/>
  <c r="P114" i="26"/>
  <c r="H114" i="26"/>
  <c r="AB114" i="26" s="1"/>
  <c r="G114" i="26"/>
  <c r="AA114" i="26" s="1"/>
  <c r="F114" i="26"/>
  <c r="S114" i="26" s="1"/>
  <c r="E114" i="26"/>
  <c r="Y114" i="26" s="1"/>
  <c r="D114" i="26"/>
  <c r="C114" i="26"/>
  <c r="B114" i="26"/>
  <c r="AK113" i="26"/>
  <c r="AJ113" i="26"/>
  <c r="AA113" i="26"/>
  <c r="Y113" i="26"/>
  <c r="W113" i="26"/>
  <c r="U113" i="26"/>
  <c r="S113" i="26"/>
  <c r="R113" i="26"/>
  <c r="Q113" i="26"/>
  <c r="H113" i="26"/>
  <c r="AB113" i="26" s="1"/>
  <c r="G113" i="26"/>
  <c r="F113" i="26"/>
  <c r="Z113" i="26" s="1"/>
  <c r="E113" i="26"/>
  <c r="D113" i="26"/>
  <c r="X113" i="26" s="1"/>
  <c r="C113" i="26"/>
  <c r="B113" i="26"/>
  <c r="AK112" i="26"/>
  <c r="AJ112" i="26"/>
  <c r="AA112" i="26"/>
  <c r="V112" i="26"/>
  <c r="U112" i="26"/>
  <c r="R112" i="26"/>
  <c r="H112" i="26"/>
  <c r="AB112" i="26" s="1"/>
  <c r="G112" i="26"/>
  <c r="F112" i="26"/>
  <c r="E112" i="26"/>
  <c r="D112" i="26"/>
  <c r="X112" i="26" s="1"/>
  <c r="C112" i="26"/>
  <c r="W112" i="26" s="1"/>
  <c r="B112" i="26"/>
  <c r="AK111" i="26"/>
  <c r="AJ111" i="26"/>
  <c r="AA111" i="26"/>
  <c r="Y111" i="26"/>
  <c r="U111" i="26"/>
  <c r="R111" i="26"/>
  <c r="H111" i="26"/>
  <c r="AB111" i="26" s="1"/>
  <c r="G111" i="26"/>
  <c r="F111" i="26"/>
  <c r="Z111" i="26" s="1"/>
  <c r="E111" i="26"/>
  <c r="D111" i="26"/>
  <c r="X111" i="26" s="1"/>
  <c r="C111" i="26"/>
  <c r="W111" i="26" s="1"/>
  <c r="B111" i="26"/>
  <c r="AK110" i="26"/>
  <c r="AJ110" i="26"/>
  <c r="AA110" i="26"/>
  <c r="V110" i="26"/>
  <c r="U110" i="26"/>
  <c r="R110" i="26"/>
  <c r="H110" i="26"/>
  <c r="G110" i="26"/>
  <c r="F110" i="26"/>
  <c r="Z110" i="26" s="1"/>
  <c r="E110" i="26"/>
  <c r="D110" i="26"/>
  <c r="X110" i="26" s="1"/>
  <c r="C110" i="26"/>
  <c r="W110" i="26" s="1"/>
  <c r="B110" i="26"/>
  <c r="AK109" i="26"/>
  <c r="AJ109" i="26"/>
  <c r="AB109" i="26"/>
  <c r="Y109" i="26"/>
  <c r="U109" i="26"/>
  <c r="R109" i="26"/>
  <c r="H109" i="26"/>
  <c r="G109" i="26"/>
  <c r="F109" i="26"/>
  <c r="E109" i="26"/>
  <c r="D109" i="26"/>
  <c r="X109" i="26" s="1"/>
  <c r="C109" i="26"/>
  <c r="B109" i="26"/>
  <c r="AK108" i="26"/>
  <c r="AJ108" i="26"/>
  <c r="V108" i="26"/>
  <c r="U108" i="26"/>
  <c r="R108" i="26"/>
  <c r="H108" i="26"/>
  <c r="AB108" i="26" s="1"/>
  <c r="G108" i="26"/>
  <c r="AA108" i="26" s="1"/>
  <c r="F108" i="26"/>
  <c r="Z108" i="26" s="1"/>
  <c r="E108" i="26"/>
  <c r="D108" i="26"/>
  <c r="C108" i="26"/>
  <c r="B108" i="26"/>
  <c r="AK107" i="26"/>
  <c r="AJ107" i="26"/>
  <c r="Y107" i="26"/>
  <c r="X107" i="26"/>
  <c r="W107" i="26"/>
  <c r="V107" i="26"/>
  <c r="U107" i="26"/>
  <c r="S107" i="26"/>
  <c r="R107" i="26"/>
  <c r="Q107" i="26"/>
  <c r="P107" i="26"/>
  <c r="H107" i="26"/>
  <c r="AB107" i="26" s="1"/>
  <c r="G107" i="26"/>
  <c r="AA107" i="26" s="1"/>
  <c r="F107" i="26"/>
  <c r="Z107" i="26" s="1"/>
  <c r="E107" i="26"/>
  <c r="D107" i="26"/>
  <c r="C107" i="26"/>
  <c r="B107" i="26"/>
  <c r="AK106" i="26"/>
  <c r="AJ106" i="26"/>
  <c r="AA106" i="26"/>
  <c r="Z106" i="26"/>
  <c r="W106" i="26"/>
  <c r="V106" i="26"/>
  <c r="U106" i="26"/>
  <c r="R106" i="26"/>
  <c r="H106" i="26"/>
  <c r="AB106" i="26" s="1"/>
  <c r="G106" i="26"/>
  <c r="F106" i="26"/>
  <c r="S106" i="26" s="1"/>
  <c r="E106" i="26"/>
  <c r="Y106" i="26" s="1"/>
  <c r="D106" i="26"/>
  <c r="C106" i="26"/>
  <c r="B106" i="26"/>
  <c r="AK105" i="26"/>
  <c r="AJ105" i="26"/>
  <c r="Y105" i="26"/>
  <c r="X105" i="26"/>
  <c r="U105" i="26"/>
  <c r="R105" i="26"/>
  <c r="H105" i="26"/>
  <c r="AB105" i="26" s="1"/>
  <c r="G105" i="26"/>
  <c r="AA105" i="26" s="1"/>
  <c r="F105" i="26"/>
  <c r="Z105" i="26" s="1"/>
  <c r="E105" i="26"/>
  <c r="D105" i="26"/>
  <c r="P105" i="26" s="1"/>
  <c r="C105" i="26"/>
  <c r="W105" i="26" s="1"/>
  <c r="B105" i="26"/>
  <c r="V105" i="26" s="1"/>
  <c r="AK104" i="26"/>
  <c r="AJ104" i="26"/>
  <c r="U104" i="26"/>
  <c r="S104" i="26"/>
  <c r="R104" i="26"/>
  <c r="H104" i="26"/>
  <c r="AB104" i="26" s="1"/>
  <c r="G104" i="26"/>
  <c r="AA104" i="26" s="1"/>
  <c r="F104" i="26"/>
  <c r="E104" i="26"/>
  <c r="D104" i="26"/>
  <c r="C104" i="26"/>
  <c r="B104" i="26"/>
  <c r="AK103" i="26"/>
  <c r="AJ103" i="26"/>
  <c r="AB103" i="26"/>
  <c r="AA103" i="26"/>
  <c r="Z103" i="26"/>
  <c r="Y103" i="26"/>
  <c r="U103" i="26"/>
  <c r="R103" i="26"/>
  <c r="H103" i="26"/>
  <c r="G103" i="26"/>
  <c r="F103" i="26"/>
  <c r="E103" i="26"/>
  <c r="D103" i="26"/>
  <c r="X103" i="26" s="1"/>
  <c r="C103" i="26"/>
  <c r="W103" i="26" s="1"/>
  <c r="B103" i="26"/>
  <c r="AK102" i="26"/>
  <c r="AJ102" i="26"/>
  <c r="AB102" i="26"/>
  <c r="AA102" i="26"/>
  <c r="X102" i="26"/>
  <c r="W102" i="26"/>
  <c r="V102" i="26"/>
  <c r="U102" i="26"/>
  <c r="R102" i="26"/>
  <c r="H102" i="26"/>
  <c r="G102" i="26"/>
  <c r="F102" i="26"/>
  <c r="E102" i="26"/>
  <c r="Y102" i="26" s="1"/>
  <c r="D102" i="26"/>
  <c r="C102" i="26"/>
  <c r="B102" i="26"/>
  <c r="AK101" i="26"/>
  <c r="AJ101" i="26"/>
  <c r="Y101" i="26"/>
  <c r="W101" i="26"/>
  <c r="V101" i="26"/>
  <c r="U101" i="26"/>
  <c r="R101" i="26"/>
  <c r="H101" i="26"/>
  <c r="AB101" i="26" s="1"/>
  <c r="G101" i="26"/>
  <c r="AA101" i="26" s="1"/>
  <c r="F101" i="26"/>
  <c r="Z101" i="26" s="1"/>
  <c r="E101" i="26"/>
  <c r="D101" i="26"/>
  <c r="X101" i="26" s="1"/>
  <c r="C101" i="26"/>
  <c r="B101" i="26"/>
  <c r="AK100" i="26"/>
  <c r="AJ100" i="26"/>
  <c r="U100" i="26"/>
  <c r="Z100" i="26" s="1"/>
  <c r="R100" i="26"/>
  <c r="H100" i="26"/>
  <c r="G100" i="26"/>
  <c r="AA100" i="26" s="1"/>
  <c r="F100" i="26"/>
  <c r="E100" i="26"/>
  <c r="D100" i="26"/>
  <c r="X100" i="26" s="1"/>
  <c r="C100" i="26"/>
  <c r="W100" i="26" s="1"/>
  <c r="B100" i="26"/>
  <c r="AK99" i="26"/>
  <c r="AJ99" i="26"/>
  <c r="Z99" i="26"/>
  <c r="Y99" i="26"/>
  <c r="W99" i="26"/>
  <c r="U99" i="26"/>
  <c r="R99" i="26"/>
  <c r="H99" i="26"/>
  <c r="AB99" i="26" s="1"/>
  <c r="G99" i="26"/>
  <c r="AA99" i="26" s="1"/>
  <c r="F99" i="26"/>
  <c r="E99" i="26"/>
  <c r="D99" i="26"/>
  <c r="X99" i="26" s="1"/>
  <c r="C99" i="26"/>
  <c r="B99" i="26"/>
  <c r="AK98" i="26"/>
  <c r="AJ98" i="26"/>
  <c r="AB98" i="26"/>
  <c r="X98" i="26"/>
  <c r="W98" i="26"/>
  <c r="U98" i="26"/>
  <c r="S98" i="26"/>
  <c r="R98" i="26"/>
  <c r="P98" i="26"/>
  <c r="H98" i="26"/>
  <c r="G98" i="26"/>
  <c r="AA98" i="26" s="1"/>
  <c r="F98" i="26"/>
  <c r="Z98" i="26" s="1"/>
  <c r="E98" i="26"/>
  <c r="Y98" i="26" s="1"/>
  <c r="D98" i="26"/>
  <c r="C98" i="26"/>
  <c r="B98" i="26"/>
  <c r="AK97" i="26"/>
  <c r="AJ97" i="26"/>
  <c r="AB97" i="26"/>
  <c r="Z97" i="26"/>
  <c r="Y97" i="26"/>
  <c r="W97" i="26"/>
  <c r="U97" i="26"/>
  <c r="R97" i="26"/>
  <c r="Q97" i="26"/>
  <c r="P97" i="26"/>
  <c r="H97" i="26"/>
  <c r="G97" i="26"/>
  <c r="AA97" i="26" s="1"/>
  <c r="F97" i="26"/>
  <c r="S97" i="26" s="1"/>
  <c r="E97" i="26"/>
  <c r="D97" i="26"/>
  <c r="X97" i="26" s="1"/>
  <c r="C97" i="26"/>
  <c r="B97" i="26"/>
  <c r="V97" i="26" s="1"/>
  <c r="AK96" i="26"/>
  <c r="AJ96" i="26"/>
  <c r="X96" i="26"/>
  <c r="U96" i="26"/>
  <c r="AA96" i="26" s="1"/>
  <c r="R96" i="26"/>
  <c r="H96" i="26"/>
  <c r="AB96" i="26" s="1"/>
  <c r="G96" i="26"/>
  <c r="F96" i="26"/>
  <c r="E96" i="26"/>
  <c r="D96" i="26"/>
  <c r="C96" i="26"/>
  <c r="W96" i="26" s="1"/>
  <c r="B96" i="26"/>
  <c r="AK95" i="26"/>
  <c r="AJ95" i="26"/>
  <c r="V95" i="26"/>
  <c r="U95" i="26"/>
  <c r="S95" i="26"/>
  <c r="R95" i="26"/>
  <c r="H95" i="26"/>
  <c r="G95" i="26"/>
  <c r="F95" i="26"/>
  <c r="Z95" i="26" s="1"/>
  <c r="E95" i="26"/>
  <c r="D95" i="26"/>
  <c r="C95" i="26"/>
  <c r="B95" i="26"/>
  <c r="AK94" i="26"/>
  <c r="AJ94" i="26"/>
  <c r="AB94" i="26"/>
  <c r="AA94" i="26"/>
  <c r="Y94" i="26"/>
  <c r="W94" i="26"/>
  <c r="V94" i="26"/>
  <c r="U94" i="26"/>
  <c r="R94" i="26"/>
  <c r="H94" i="26"/>
  <c r="G94" i="26"/>
  <c r="F94" i="26"/>
  <c r="Z94" i="26" s="1"/>
  <c r="E94" i="26"/>
  <c r="D94" i="26"/>
  <c r="X94" i="26" s="1"/>
  <c r="C94" i="26"/>
  <c r="B94" i="26"/>
  <c r="Q94" i="26" s="1"/>
  <c r="AK93" i="26"/>
  <c r="AJ93" i="26"/>
  <c r="U93" i="26"/>
  <c r="V93" i="26" s="1"/>
  <c r="R93" i="26"/>
  <c r="H93" i="26"/>
  <c r="G93" i="26"/>
  <c r="F93" i="26"/>
  <c r="E93" i="26"/>
  <c r="D93" i="26"/>
  <c r="C93" i="26"/>
  <c r="B93" i="26"/>
  <c r="AK92" i="26"/>
  <c r="AJ92" i="26"/>
  <c r="Z92" i="26"/>
  <c r="Y92" i="26"/>
  <c r="X92" i="26"/>
  <c r="W92" i="26"/>
  <c r="U92" i="26"/>
  <c r="R92" i="26"/>
  <c r="Q92" i="26"/>
  <c r="P92" i="26"/>
  <c r="H92" i="26"/>
  <c r="AB92" i="26" s="1"/>
  <c r="G92" i="26"/>
  <c r="AA92" i="26" s="1"/>
  <c r="F92" i="26"/>
  <c r="E92" i="26"/>
  <c r="D92" i="26"/>
  <c r="C92" i="26"/>
  <c r="B92" i="26"/>
  <c r="AK91" i="26"/>
  <c r="AJ91" i="26"/>
  <c r="AB91" i="26"/>
  <c r="AA91" i="26"/>
  <c r="U91" i="26"/>
  <c r="V91" i="26" s="1"/>
  <c r="R91" i="26"/>
  <c r="H91" i="26"/>
  <c r="G91" i="26"/>
  <c r="F91" i="26"/>
  <c r="E91" i="26"/>
  <c r="Y91" i="26" s="1"/>
  <c r="D91" i="26"/>
  <c r="X91" i="26" s="1"/>
  <c r="C91" i="26"/>
  <c r="W91" i="26" s="1"/>
  <c r="B91" i="26"/>
  <c r="AK90" i="26"/>
  <c r="AJ90" i="26"/>
  <c r="Z90" i="26"/>
  <c r="Y90" i="26"/>
  <c r="X90" i="26"/>
  <c r="W90" i="26"/>
  <c r="U90" i="26"/>
  <c r="R90" i="26"/>
  <c r="Q90" i="26"/>
  <c r="P90" i="26"/>
  <c r="H90" i="26"/>
  <c r="AB90" i="26" s="1"/>
  <c r="G90" i="26"/>
  <c r="AA90" i="26" s="1"/>
  <c r="F90" i="26"/>
  <c r="E90" i="26"/>
  <c r="D90" i="26"/>
  <c r="C90" i="26"/>
  <c r="B90" i="26"/>
  <c r="AK89" i="26"/>
  <c r="AJ89" i="26"/>
  <c r="AB89" i="26"/>
  <c r="AA89" i="26"/>
  <c r="U89" i="26"/>
  <c r="R89" i="26"/>
  <c r="H89" i="26"/>
  <c r="G89" i="26"/>
  <c r="F89" i="26"/>
  <c r="Z89" i="26" s="1"/>
  <c r="E89" i="26"/>
  <c r="Y89" i="26" s="1"/>
  <c r="D89" i="26"/>
  <c r="X89" i="26" s="1"/>
  <c r="C89" i="26"/>
  <c r="W89" i="26" s="1"/>
  <c r="B89" i="26"/>
  <c r="AK88" i="26"/>
  <c r="AJ88" i="26"/>
  <c r="Y88" i="26"/>
  <c r="X88" i="26"/>
  <c r="W88" i="26"/>
  <c r="V88" i="26"/>
  <c r="U88" i="26"/>
  <c r="R88" i="26"/>
  <c r="Q88" i="26"/>
  <c r="P88" i="26"/>
  <c r="H88" i="26"/>
  <c r="AB88" i="26" s="1"/>
  <c r="G88" i="26"/>
  <c r="AA88" i="26" s="1"/>
  <c r="F88" i="26"/>
  <c r="Z88" i="26" s="1"/>
  <c r="E88" i="26"/>
  <c r="D88" i="26"/>
  <c r="C88" i="26"/>
  <c r="B88" i="26"/>
  <c r="AK87" i="26"/>
  <c r="AJ87" i="26"/>
  <c r="V87" i="26"/>
  <c r="U87" i="26"/>
  <c r="R87" i="26"/>
  <c r="H87" i="26"/>
  <c r="G87" i="26"/>
  <c r="F87" i="26"/>
  <c r="E87" i="26"/>
  <c r="D87" i="26"/>
  <c r="C87" i="26"/>
  <c r="B87" i="26"/>
  <c r="AK86" i="26"/>
  <c r="AJ86" i="26"/>
  <c r="Z86" i="26"/>
  <c r="Y86" i="26"/>
  <c r="X86" i="26"/>
  <c r="W86" i="26"/>
  <c r="U86" i="26"/>
  <c r="R86" i="26"/>
  <c r="Q86" i="26"/>
  <c r="P86" i="26"/>
  <c r="H86" i="26"/>
  <c r="AB86" i="26" s="1"/>
  <c r="G86" i="26"/>
  <c r="AA86" i="26" s="1"/>
  <c r="F86" i="26"/>
  <c r="E86" i="26"/>
  <c r="D86" i="26"/>
  <c r="C86" i="26"/>
  <c r="B86" i="26"/>
  <c r="AK85" i="26"/>
  <c r="AJ85" i="26"/>
  <c r="AB85" i="26"/>
  <c r="AA85" i="26"/>
  <c r="U85" i="26"/>
  <c r="R85" i="26"/>
  <c r="H85" i="26"/>
  <c r="G85" i="26"/>
  <c r="F85" i="26"/>
  <c r="E85" i="26"/>
  <c r="Y85" i="26" s="1"/>
  <c r="D85" i="26"/>
  <c r="X85" i="26" s="1"/>
  <c r="C85" i="26"/>
  <c r="B85" i="26"/>
  <c r="AK84" i="26"/>
  <c r="AJ84" i="26"/>
  <c r="AA84" i="26"/>
  <c r="Z84" i="26"/>
  <c r="Y84" i="26"/>
  <c r="X84" i="26"/>
  <c r="W84" i="26"/>
  <c r="U84" i="26"/>
  <c r="S84" i="26"/>
  <c r="R84" i="26"/>
  <c r="H84" i="26"/>
  <c r="AB84" i="26" s="1"/>
  <c r="G84" i="26"/>
  <c r="F84" i="26"/>
  <c r="E84" i="26"/>
  <c r="D84" i="26"/>
  <c r="C84" i="26"/>
  <c r="B84" i="26"/>
  <c r="AK83" i="26"/>
  <c r="AJ83" i="26"/>
  <c r="AB83" i="26"/>
  <c r="AA83" i="26"/>
  <c r="U83" i="26"/>
  <c r="Z83" i="26" s="1"/>
  <c r="R83" i="26"/>
  <c r="H83" i="26"/>
  <c r="G83" i="26"/>
  <c r="F83" i="26"/>
  <c r="E83" i="26"/>
  <c r="D83" i="26"/>
  <c r="C83" i="26"/>
  <c r="B83" i="26"/>
  <c r="AK82" i="26"/>
  <c r="AJ82" i="26"/>
  <c r="Y82" i="26"/>
  <c r="X82" i="26"/>
  <c r="W82" i="26"/>
  <c r="V82" i="26"/>
  <c r="U82" i="26"/>
  <c r="R82" i="26"/>
  <c r="Q82" i="26"/>
  <c r="P82" i="26"/>
  <c r="H82" i="26"/>
  <c r="AB82" i="26" s="1"/>
  <c r="G82" i="26"/>
  <c r="AA82" i="26" s="1"/>
  <c r="F82" i="26"/>
  <c r="Z82" i="26" s="1"/>
  <c r="E82" i="26"/>
  <c r="D82" i="26"/>
  <c r="C82" i="26"/>
  <c r="B82" i="26"/>
  <c r="S82" i="26" s="1"/>
  <c r="AK81" i="26"/>
  <c r="AJ81" i="26"/>
  <c r="AB81" i="26"/>
  <c r="AA81" i="26"/>
  <c r="Z81" i="26"/>
  <c r="U81" i="26"/>
  <c r="R81" i="26"/>
  <c r="H81" i="26"/>
  <c r="G81" i="26"/>
  <c r="F81" i="26"/>
  <c r="E81" i="26"/>
  <c r="D81" i="26"/>
  <c r="C81" i="26"/>
  <c r="W81" i="26" s="1"/>
  <c r="B81" i="26"/>
  <c r="AK80" i="26"/>
  <c r="AJ80" i="26"/>
  <c r="Y80" i="26"/>
  <c r="X80" i="26"/>
  <c r="W80" i="26"/>
  <c r="V80" i="26"/>
  <c r="U80" i="26"/>
  <c r="R80" i="26"/>
  <c r="Q80" i="26"/>
  <c r="P80" i="26"/>
  <c r="H80" i="26"/>
  <c r="AB80" i="26" s="1"/>
  <c r="G80" i="26"/>
  <c r="AA80" i="26" s="1"/>
  <c r="F80" i="26"/>
  <c r="E80" i="26"/>
  <c r="D80" i="26"/>
  <c r="C80" i="26"/>
  <c r="B80" i="26"/>
  <c r="AK79" i="26"/>
  <c r="AJ79" i="26"/>
  <c r="U79" i="26"/>
  <c r="AB79" i="26" s="1"/>
  <c r="R79" i="26"/>
  <c r="H79" i="26"/>
  <c r="G79" i="26"/>
  <c r="F79" i="26"/>
  <c r="E79" i="26"/>
  <c r="D79" i="26"/>
  <c r="C79" i="26"/>
  <c r="B79" i="26"/>
  <c r="AK78" i="26"/>
  <c r="AJ78" i="26"/>
  <c r="Y78" i="26"/>
  <c r="X78" i="26"/>
  <c r="W78" i="26"/>
  <c r="V78" i="26"/>
  <c r="U78" i="26"/>
  <c r="R78" i="26"/>
  <c r="Q78" i="26"/>
  <c r="P78" i="26"/>
  <c r="H78" i="26"/>
  <c r="AB78" i="26" s="1"/>
  <c r="G78" i="26"/>
  <c r="AA78" i="26" s="1"/>
  <c r="F78" i="26"/>
  <c r="Z78" i="26" s="1"/>
  <c r="E78" i="26"/>
  <c r="D78" i="26"/>
  <c r="C78" i="26"/>
  <c r="B78" i="26"/>
  <c r="AK77" i="26"/>
  <c r="AJ77" i="26"/>
  <c r="Z77" i="26"/>
  <c r="U77" i="26"/>
  <c r="S77" i="26"/>
  <c r="R77" i="26"/>
  <c r="H77" i="26"/>
  <c r="G77" i="26"/>
  <c r="F77" i="26"/>
  <c r="E77" i="26"/>
  <c r="Y77" i="26" s="1"/>
  <c r="D77" i="26"/>
  <c r="C77" i="26"/>
  <c r="B77" i="26"/>
  <c r="AK76" i="26"/>
  <c r="AJ76" i="26"/>
  <c r="Y76" i="26"/>
  <c r="X76" i="26"/>
  <c r="W76" i="26"/>
  <c r="V76" i="26"/>
  <c r="U76" i="26"/>
  <c r="R76" i="26"/>
  <c r="Q76" i="26"/>
  <c r="P76" i="26"/>
  <c r="H76" i="26"/>
  <c r="AB76" i="26" s="1"/>
  <c r="G76" i="26"/>
  <c r="AA76" i="26" s="1"/>
  <c r="F76" i="26"/>
  <c r="Z76" i="26" s="1"/>
  <c r="E76" i="26"/>
  <c r="D76" i="26"/>
  <c r="C76" i="26"/>
  <c r="B76" i="26"/>
  <c r="AK75" i="26"/>
  <c r="AJ75" i="26"/>
  <c r="U75" i="26"/>
  <c r="S75" i="26"/>
  <c r="R75" i="26"/>
  <c r="H75" i="26"/>
  <c r="G75" i="26"/>
  <c r="F75" i="26"/>
  <c r="E75" i="26"/>
  <c r="D75" i="26"/>
  <c r="X75" i="26" s="1"/>
  <c r="C75" i="26"/>
  <c r="B75" i="26"/>
  <c r="AK74" i="26"/>
  <c r="AJ74" i="26"/>
  <c r="Y74" i="26"/>
  <c r="X74" i="26"/>
  <c r="W74" i="26"/>
  <c r="V74" i="26"/>
  <c r="U74" i="26"/>
  <c r="R74" i="26"/>
  <c r="Q74" i="26"/>
  <c r="P74" i="26"/>
  <c r="H74" i="26"/>
  <c r="AB74" i="26" s="1"/>
  <c r="G74" i="26"/>
  <c r="AA74" i="26" s="1"/>
  <c r="F74" i="26"/>
  <c r="Z74" i="26" s="1"/>
  <c r="E74" i="26"/>
  <c r="D74" i="26"/>
  <c r="C74" i="26"/>
  <c r="B74" i="26"/>
  <c r="AK73" i="26"/>
  <c r="AJ73" i="26"/>
  <c r="AB73" i="26"/>
  <c r="Z73" i="26"/>
  <c r="U73" i="26"/>
  <c r="AA73" i="26" s="1"/>
  <c r="S73" i="26"/>
  <c r="R73" i="26"/>
  <c r="H73" i="26"/>
  <c r="G73" i="26"/>
  <c r="F73" i="26"/>
  <c r="E73" i="26"/>
  <c r="Y73" i="26" s="1"/>
  <c r="D73" i="26"/>
  <c r="X73" i="26" s="1"/>
  <c r="C73" i="26"/>
  <c r="W73" i="26" s="1"/>
  <c r="B73" i="26"/>
  <c r="AK72" i="26"/>
  <c r="AJ72" i="26"/>
  <c r="Y72" i="26"/>
  <c r="X72" i="26"/>
  <c r="W72" i="26"/>
  <c r="V72" i="26"/>
  <c r="U72" i="26"/>
  <c r="R72" i="26"/>
  <c r="Q72" i="26"/>
  <c r="P72" i="26"/>
  <c r="H72" i="26"/>
  <c r="AB72" i="26" s="1"/>
  <c r="G72" i="26"/>
  <c r="AA72" i="26" s="1"/>
  <c r="F72" i="26"/>
  <c r="Z72" i="26" s="1"/>
  <c r="E72" i="26"/>
  <c r="D72" i="26"/>
  <c r="C72" i="26"/>
  <c r="B72" i="26"/>
  <c r="AK71" i="26"/>
  <c r="AJ71" i="26"/>
  <c r="AB71" i="26"/>
  <c r="AA71" i="26"/>
  <c r="U71" i="26"/>
  <c r="Z71" i="26" s="1"/>
  <c r="R71" i="26"/>
  <c r="H71" i="26"/>
  <c r="G71" i="26"/>
  <c r="F71" i="26"/>
  <c r="E71" i="26"/>
  <c r="Y71" i="26" s="1"/>
  <c r="D71" i="26"/>
  <c r="X71" i="26" s="1"/>
  <c r="C71" i="26"/>
  <c r="W71" i="26" s="1"/>
  <c r="B71" i="26"/>
  <c r="AK70" i="26"/>
  <c r="AJ70" i="26"/>
  <c r="Y70" i="26"/>
  <c r="X70" i="26"/>
  <c r="W70" i="26"/>
  <c r="V70" i="26"/>
  <c r="U70" i="26"/>
  <c r="R70" i="26"/>
  <c r="Q70" i="26"/>
  <c r="P70" i="26"/>
  <c r="H70" i="26"/>
  <c r="AB70" i="26" s="1"/>
  <c r="G70" i="26"/>
  <c r="AA70" i="26" s="1"/>
  <c r="F70" i="26"/>
  <c r="E70" i="26"/>
  <c r="D70" i="26"/>
  <c r="C70" i="26"/>
  <c r="B70" i="26"/>
  <c r="AK69" i="26"/>
  <c r="AJ69" i="26"/>
  <c r="AB69" i="26"/>
  <c r="AA69" i="26"/>
  <c r="Z69" i="26"/>
  <c r="U69" i="26"/>
  <c r="R69" i="26"/>
  <c r="H69" i="26"/>
  <c r="G69" i="26"/>
  <c r="F69" i="26"/>
  <c r="E69" i="26"/>
  <c r="D69" i="26"/>
  <c r="C69" i="26"/>
  <c r="B69" i="26"/>
  <c r="AK68" i="26"/>
  <c r="AJ68" i="26"/>
  <c r="U68" i="26"/>
  <c r="X68" i="26" s="1"/>
  <c r="S68" i="26"/>
  <c r="R68" i="26"/>
  <c r="R123" i="26" s="1"/>
  <c r="P68" i="26"/>
  <c r="H68" i="26"/>
  <c r="G68" i="26"/>
  <c r="AA68" i="26" s="1"/>
  <c r="F68" i="26"/>
  <c r="E68" i="26"/>
  <c r="D68" i="26"/>
  <c r="C68" i="26"/>
  <c r="B68" i="26"/>
  <c r="AK67" i="26"/>
  <c r="AJ67" i="26"/>
  <c r="AB67" i="26"/>
  <c r="Z67" i="26"/>
  <c r="U67" i="26"/>
  <c r="AA67" i="26" s="1"/>
  <c r="R67" i="26"/>
  <c r="H67" i="26"/>
  <c r="G67" i="26"/>
  <c r="F67" i="26"/>
  <c r="E67" i="26"/>
  <c r="Y67" i="26" s="1"/>
  <c r="D67" i="26"/>
  <c r="X67" i="26" s="1"/>
  <c r="C67" i="26"/>
  <c r="W67" i="26" s="1"/>
  <c r="B67" i="26"/>
  <c r="AK66" i="26"/>
  <c r="AJ66" i="26"/>
  <c r="AA66" i="26"/>
  <c r="W66" i="26"/>
  <c r="V66" i="26"/>
  <c r="U66" i="26"/>
  <c r="X66" i="26" s="1"/>
  <c r="R66" i="26"/>
  <c r="H66" i="26"/>
  <c r="G66" i="26"/>
  <c r="F66" i="26"/>
  <c r="Z66" i="26" s="1"/>
  <c r="E66" i="26"/>
  <c r="D66" i="26"/>
  <c r="C66" i="26"/>
  <c r="B66" i="26"/>
  <c r="Q66" i="26" s="1"/>
  <c r="AK65" i="26"/>
  <c r="AJ65" i="26"/>
  <c r="U65" i="26"/>
  <c r="AB65" i="26" s="1"/>
  <c r="R65" i="26"/>
  <c r="H65" i="26"/>
  <c r="G65" i="26"/>
  <c r="AA65" i="26" s="1"/>
  <c r="F65" i="26"/>
  <c r="Z65" i="26" s="1"/>
  <c r="E65" i="26"/>
  <c r="Y65" i="26" s="1"/>
  <c r="D65" i="26"/>
  <c r="C65" i="26"/>
  <c r="B65" i="26"/>
  <c r="AK64" i="26"/>
  <c r="AJ64" i="26"/>
  <c r="U64" i="26"/>
  <c r="V64" i="26" s="1"/>
  <c r="R64" i="26"/>
  <c r="P64" i="26"/>
  <c r="H64" i="26"/>
  <c r="G64" i="26"/>
  <c r="F64" i="26"/>
  <c r="Z64" i="26" s="1"/>
  <c r="E64" i="26"/>
  <c r="Q64" i="26" s="1"/>
  <c r="D64" i="26"/>
  <c r="C64" i="26"/>
  <c r="W64" i="26" s="1"/>
  <c r="B64" i="26"/>
  <c r="AK63" i="26"/>
  <c r="AJ63" i="26"/>
  <c r="Z63" i="26"/>
  <c r="Y63" i="26"/>
  <c r="U63" i="26"/>
  <c r="R63" i="26"/>
  <c r="Q63" i="26"/>
  <c r="H63" i="26"/>
  <c r="G63" i="26"/>
  <c r="F63" i="26"/>
  <c r="E63" i="26"/>
  <c r="D63" i="26"/>
  <c r="X63" i="26" s="1"/>
  <c r="C63" i="26"/>
  <c r="B63" i="26"/>
  <c r="AK62" i="26"/>
  <c r="AJ62" i="26"/>
  <c r="AA62" i="26"/>
  <c r="Z62" i="26"/>
  <c r="Y62" i="26"/>
  <c r="X62" i="26"/>
  <c r="W62" i="26"/>
  <c r="U62" i="26"/>
  <c r="R62" i="26"/>
  <c r="P62" i="26"/>
  <c r="H62" i="26"/>
  <c r="AB62" i="26" s="1"/>
  <c r="G62" i="26"/>
  <c r="F62" i="26"/>
  <c r="E62" i="26"/>
  <c r="Q62" i="26" s="1"/>
  <c r="D62" i="26"/>
  <c r="C62" i="26"/>
  <c r="B62" i="26"/>
  <c r="V62" i="26" s="1"/>
  <c r="AK61" i="26"/>
  <c r="AJ61" i="26"/>
  <c r="AB61" i="26"/>
  <c r="AA61" i="26"/>
  <c r="Z61" i="26"/>
  <c r="Y61" i="26"/>
  <c r="W61" i="26"/>
  <c r="U61" i="26"/>
  <c r="R61" i="26"/>
  <c r="H61" i="26"/>
  <c r="G61" i="26"/>
  <c r="F61" i="26"/>
  <c r="E61" i="26"/>
  <c r="D61" i="26"/>
  <c r="X61" i="26" s="1"/>
  <c r="C61" i="26"/>
  <c r="B61" i="26"/>
  <c r="AK60" i="26"/>
  <c r="AJ60" i="26"/>
  <c r="U60" i="26"/>
  <c r="S60" i="26"/>
  <c r="R60" i="26"/>
  <c r="P60" i="26"/>
  <c r="H60" i="26"/>
  <c r="G60" i="26"/>
  <c r="AA60" i="26" s="1"/>
  <c r="F60" i="26"/>
  <c r="E60" i="26"/>
  <c r="D60" i="26"/>
  <c r="C60" i="26"/>
  <c r="B60" i="26"/>
  <c r="AK59" i="26"/>
  <c r="AJ59" i="26"/>
  <c r="AB59" i="26"/>
  <c r="Z59" i="26"/>
  <c r="U59" i="26"/>
  <c r="AA59" i="26" s="1"/>
  <c r="R59" i="26"/>
  <c r="H59" i="26"/>
  <c r="G59" i="26"/>
  <c r="F59" i="26"/>
  <c r="E59" i="26"/>
  <c r="Y59" i="26" s="1"/>
  <c r="D59" i="26"/>
  <c r="X59" i="26" s="1"/>
  <c r="C59" i="26"/>
  <c r="W59" i="26" s="1"/>
  <c r="B59" i="26"/>
  <c r="AK58" i="26"/>
  <c r="AJ58" i="26"/>
  <c r="AA58" i="26"/>
  <c r="W58" i="26"/>
  <c r="V58" i="26"/>
  <c r="U58" i="26"/>
  <c r="X58" i="26" s="1"/>
  <c r="R58" i="26"/>
  <c r="H58" i="26"/>
  <c r="G58" i="26"/>
  <c r="F58" i="26"/>
  <c r="Z58" i="26" s="1"/>
  <c r="E58" i="26"/>
  <c r="D58" i="26"/>
  <c r="C58" i="26"/>
  <c r="B58" i="26"/>
  <c r="Q58" i="26" s="1"/>
  <c r="AK57" i="26"/>
  <c r="AJ57" i="26"/>
  <c r="U57" i="26"/>
  <c r="AB57" i="26" s="1"/>
  <c r="R57" i="26"/>
  <c r="H57" i="26"/>
  <c r="G57" i="26"/>
  <c r="AA57" i="26" s="1"/>
  <c r="F57" i="26"/>
  <c r="Z57" i="26" s="1"/>
  <c r="E57" i="26"/>
  <c r="Y57" i="26" s="1"/>
  <c r="D57" i="26"/>
  <c r="C57" i="26"/>
  <c r="B57" i="26"/>
  <c r="AK56" i="26"/>
  <c r="AJ56" i="26"/>
  <c r="U56" i="26"/>
  <c r="V56" i="26" s="1"/>
  <c r="R56" i="26"/>
  <c r="P56" i="26"/>
  <c r="H56" i="26"/>
  <c r="G56" i="26"/>
  <c r="F56" i="26"/>
  <c r="Z56" i="26" s="1"/>
  <c r="E56" i="26"/>
  <c r="Q56" i="26" s="1"/>
  <c r="D56" i="26"/>
  <c r="C56" i="26"/>
  <c r="W56" i="26" s="1"/>
  <c r="B56" i="26"/>
  <c r="AK55" i="26"/>
  <c r="AJ55" i="26"/>
  <c r="Z55" i="26"/>
  <c r="U55" i="26"/>
  <c r="V55" i="26" s="1"/>
  <c r="R55" i="26"/>
  <c r="P55" i="26"/>
  <c r="H55" i="26"/>
  <c r="G55" i="26"/>
  <c r="AA55" i="26" s="1"/>
  <c r="F55" i="26"/>
  <c r="E55" i="26"/>
  <c r="Y55" i="26" s="1"/>
  <c r="D55" i="26"/>
  <c r="C55" i="26"/>
  <c r="B55" i="26"/>
  <c r="S55" i="26" s="1"/>
  <c r="AK54" i="26"/>
  <c r="AJ54" i="26"/>
  <c r="AB54" i="26"/>
  <c r="AA54" i="26"/>
  <c r="Y54" i="26"/>
  <c r="U54" i="26"/>
  <c r="Z54" i="26" s="1"/>
  <c r="S54" i="26"/>
  <c r="R54" i="26"/>
  <c r="H54" i="26"/>
  <c r="G54" i="26"/>
  <c r="F54" i="26"/>
  <c r="E54" i="26"/>
  <c r="Q54" i="26" s="1"/>
  <c r="D54" i="26"/>
  <c r="X54" i="26" s="1"/>
  <c r="C54" i="26"/>
  <c r="W54" i="26" s="1"/>
  <c r="B54" i="26"/>
  <c r="P54" i="26" s="1"/>
  <c r="AK53" i="26"/>
  <c r="AJ53" i="26"/>
  <c r="Y53" i="26"/>
  <c r="X53" i="26"/>
  <c r="W53" i="26"/>
  <c r="U53" i="26"/>
  <c r="V53" i="26" s="1"/>
  <c r="R53" i="26"/>
  <c r="P53" i="26"/>
  <c r="H53" i="26"/>
  <c r="AB53" i="26" s="1"/>
  <c r="G53" i="26"/>
  <c r="AA53" i="26" s="1"/>
  <c r="F53" i="26"/>
  <c r="Z53" i="26" s="1"/>
  <c r="E53" i="26"/>
  <c r="Q53" i="26" s="1"/>
  <c r="D53" i="26"/>
  <c r="C53" i="26"/>
  <c r="B53" i="26"/>
  <c r="S53" i="26" s="1"/>
  <c r="AK52" i="26"/>
  <c r="AJ52" i="26"/>
  <c r="U52" i="26"/>
  <c r="R52" i="26"/>
  <c r="H52" i="26"/>
  <c r="G52" i="26"/>
  <c r="F52" i="26"/>
  <c r="E52" i="26"/>
  <c r="D52" i="26"/>
  <c r="C52" i="26"/>
  <c r="B52" i="26"/>
  <c r="S52" i="26" s="1"/>
  <c r="AK51" i="26"/>
  <c r="AJ51" i="26"/>
  <c r="U51" i="26"/>
  <c r="S51" i="26"/>
  <c r="R51" i="26"/>
  <c r="H51" i="26"/>
  <c r="G51" i="26"/>
  <c r="AA51" i="26" s="1"/>
  <c r="F51" i="26"/>
  <c r="E51" i="26"/>
  <c r="D51" i="26"/>
  <c r="P51" i="26" s="1"/>
  <c r="C51" i="26"/>
  <c r="B51" i="26"/>
  <c r="AK50" i="26"/>
  <c r="AJ50" i="26"/>
  <c r="AA50" i="26"/>
  <c r="Z50" i="26"/>
  <c r="Y50" i="26"/>
  <c r="X50" i="26"/>
  <c r="W50" i="26"/>
  <c r="U50" i="26"/>
  <c r="R50" i="26"/>
  <c r="H50" i="26"/>
  <c r="AB50" i="26" s="1"/>
  <c r="G50" i="26"/>
  <c r="F50" i="26"/>
  <c r="E50" i="26"/>
  <c r="D50" i="26"/>
  <c r="C50" i="26"/>
  <c r="B50" i="26"/>
  <c r="AK49" i="26"/>
  <c r="AJ49" i="26"/>
  <c r="AB49" i="26"/>
  <c r="AA49" i="26"/>
  <c r="V49" i="26"/>
  <c r="U49" i="26"/>
  <c r="R49" i="26"/>
  <c r="Q49" i="26"/>
  <c r="H49" i="26"/>
  <c r="G49" i="26"/>
  <c r="F49" i="26"/>
  <c r="E49" i="26"/>
  <c r="Y49" i="26" s="1"/>
  <c r="D49" i="26"/>
  <c r="C49" i="26"/>
  <c r="W49" i="26" s="1"/>
  <c r="B49" i="26"/>
  <c r="P49" i="26" s="1"/>
  <c r="AK48" i="26"/>
  <c r="AJ48" i="26"/>
  <c r="X48" i="26"/>
  <c r="W48" i="26"/>
  <c r="U48" i="26"/>
  <c r="R48" i="26"/>
  <c r="P48" i="26"/>
  <c r="H48" i="26"/>
  <c r="AB48" i="26" s="1"/>
  <c r="G48" i="26"/>
  <c r="AA48" i="26" s="1"/>
  <c r="F48" i="26"/>
  <c r="Z48" i="26" s="1"/>
  <c r="E48" i="26"/>
  <c r="Q48" i="26" s="1"/>
  <c r="D48" i="26"/>
  <c r="C48" i="26"/>
  <c r="B48" i="26"/>
  <c r="AK47" i="26"/>
  <c r="AJ47" i="26"/>
  <c r="Z47" i="26"/>
  <c r="Y47" i="26"/>
  <c r="X47" i="26"/>
  <c r="V47" i="26"/>
  <c r="U47" i="26"/>
  <c r="R47" i="26"/>
  <c r="P47" i="26"/>
  <c r="H47" i="26"/>
  <c r="AB47" i="26" s="1"/>
  <c r="G47" i="26"/>
  <c r="AA47" i="26" s="1"/>
  <c r="F47" i="26"/>
  <c r="E47" i="26"/>
  <c r="Q47" i="26" s="1"/>
  <c r="D47" i="26"/>
  <c r="C47" i="26"/>
  <c r="W47" i="26" s="1"/>
  <c r="B47" i="26"/>
  <c r="S47" i="26" s="1"/>
  <c r="AK46" i="26"/>
  <c r="AJ46" i="26"/>
  <c r="W46" i="26"/>
  <c r="V46" i="26"/>
  <c r="U46" i="26"/>
  <c r="R46" i="26"/>
  <c r="H46" i="26"/>
  <c r="AB46" i="26" s="1"/>
  <c r="G46" i="26"/>
  <c r="AA46" i="26" s="1"/>
  <c r="F46" i="26"/>
  <c r="Z46" i="26" s="1"/>
  <c r="E46" i="26"/>
  <c r="Y46" i="26" s="1"/>
  <c r="D46" i="26"/>
  <c r="P46" i="26" s="1"/>
  <c r="C46" i="26"/>
  <c r="B46" i="26"/>
  <c r="AK45" i="26"/>
  <c r="AJ45" i="26"/>
  <c r="X45" i="26"/>
  <c r="W45" i="26"/>
  <c r="V45" i="26"/>
  <c r="U45" i="26"/>
  <c r="R45" i="26"/>
  <c r="P45" i="26"/>
  <c r="H45" i="26"/>
  <c r="AB45" i="26" s="1"/>
  <c r="G45" i="26"/>
  <c r="AA45" i="26" s="1"/>
  <c r="F45" i="26"/>
  <c r="Z45" i="26" s="1"/>
  <c r="E45" i="26"/>
  <c r="D45" i="26"/>
  <c r="C45" i="26"/>
  <c r="B45" i="26"/>
  <c r="AK44" i="26"/>
  <c r="AJ44" i="26"/>
  <c r="AA44" i="26"/>
  <c r="W44" i="26"/>
  <c r="V44" i="26"/>
  <c r="U44" i="26"/>
  <c r="R44" i="26"/>
  <c r="P44" i="26"/>
  <c r="H44" i="26"/>
  <c r="AB44" i="26" s="1"/>
  <c r="G44" i="26"/>
  <c r="F44" i="26"/>
  <c r="Z44" i="26" s="1"/>
  <c r="E44" i="26"/>
  <c r="Q44" i="26" s="1"/>
  <c r="D44" i="26"/>
  <c r="X44" i="26" s="1"/>
  <c r="C44" i="26"/>
  <c r="B44" i="26"/>
  <c r="S44" i="26" s="1"/>
  <c r="AK43" i="26"/>
  <c r="AJ43" i="26"/>
  <c r="X43" i="26"/>
  <c r="W43" i="26"/>
  <c r="V43" i="26"/>
  <c r="U43" i="26"/>
  <c r="R43" i="26"/>
  <c r="P43" i="26"/>
  <c r="H43" i="26"/>
  <c r="AB43" i="26" s="1"/>
  <c r="G43" i="26"/>
  <c r="AA43" i="26" s="1"/>
  <c r="F43" i="26"/>
  <c r="E43" i="26"/>
  <c r="D43" i="26"/>
  <c r="C43" i="26"/>
  <c r="B43" i="26"/>
  <c r="AK42" i="26"/>
  <c r="AJ42" i="26"/>
  <c r="Y42" i="26"/>
  <c r="X42" i="26"/>
  <c r="W42" i="26"/>
  <c r="U42" i="26"/>
  <c r="R42" i="26"/>
  <c r="Q42" i="26"/>
  <c r="P42" i="26"/>
  <c r="H42" i="26"/>
  <c r="AB42" i="26" s="1"/>
  <c r="G42" i="26"/>
  <c r="AA42" i="26" s="1"/>
  <c r="F42" i="26"/>
  <c r="Z42" i="26" s="1"/>
  <c r="E42" i="26"/>
  <c r="D42" i="26"/>
  <c r="C42" i="26"/>
  <c r="B42" i="26"/>
  <c r="V42" i="26" s="1"/>
  <c r="AK41" i="26"/>
  <c r="AJ41" i="26"/>
  <c r="AB41" i="26"/>
  <c r="X41" i="26"/>
  <c r="W41" i="26"/>
  <c r="V41" i="26"/>
  <c r="U41" i="26"/>
  <c r="R41" i="26"/>
  <c r="H41" i="26"/>
  <c r="G41" i="26"/>
  <c r="AA41" i="26" s="1"/>
  <c r="F41" i="26"/>
  <c r="Z41" i="26" s="1"/>
  <c r="E41" i="26"/>
  <c r="D41" i="26"/>
  <c r="C41" i="26"/>
  <c r="B41" i="26"/>
  <c r="AK40" i="26"/>
  <c r="AJ40" i="26"/>
  <c r="Y40" i="26"/>
  <c r="X40" i="26"/>
  <c r="W40" i="26"/>
  <c r="U40" i="26"/>
  <c r="R40" i="26"/>
  <c r="P40" i="26"/>
  <c r="H40" i="26"/>
  <c r="AB40" i="26" s="1"/>
  <c r="G40" i="26"/>
  <c r="AA40" i="26" s="1"/>
  <c r="F40" i="26"/>
  <c r="Z40" i="26" s="1"/>
  <c r="E40" i="26"/>
  <c r="Q40" i="26" s="1"/>
  <c r="D40" i="26"/>
  <c r="C40" i="26"/>
  <c r="B40" i="26"/>
  <c r="AK39" i="26"/>
  <c r="AJ39" i="26"/>
  <c r="Z39" i="26"/>
  <c r="X39" i="26"/>
  <c r="V39" i="26"/>
  <c r="U39" i="26"/>
  <c r="R39" i="26"/>
  <c r="P39" i="26"/>
  <c r="H39" i="26"/>
  <c r="AB39" i="26" s="1"/>
  <c r="G39" i="26"/>
  <c r="AA39" i="26" s="1"/>
  <c r="F39" i="26"/>
  <c r="E39" i="26"/>
  <c r="Q39" i="26" s="1"/>
  <c r="D39" i="26"/>
  <c r="C39" i="26"/>
  <c r="W39" i="26" s="1"/>
  <c r="B39" i="26"/>
  <c r="S39" i="26" s="1"/>
  <c r="AK38" i="26"/>
  <c r="AJ38" i="26"/>
  <c r="AA38" i="26"/>
  <c r="Z38" i="26"/>
  <c r="Y38" i="26"/>
  <c r="U38" i="26"/>
  <c r="R38" i="26"/>
  <c r="Q38" i="26"/>
  <c r="P38" i="26"/>
  <c r="H38" i="26"/>
  <c r="AB38" i="26" s="1"/>
  <c r="G38" i="26"/>
  <c r="F38" i="26"/>
  <c r="E38" i="26"/>
  <c r="D38" i="26"/>
  <c r="X38" i="26" s="1"/>
  <c r="C38" i="26"/>
  <c r="W38" i="26" s="1"/>
  <c r="B38" i="26"/>
  <c r="V38" i="26" s="1"/>
  <c r="AK37" i="26"/>
  <c r="AJ37" i="26"/>
  <c r="AB37" i="26"/>
  <c r="U37" i="26"/>
  <c r="V37" i="26" s="1"/>
  <c r="S37" i="26"/>
  <c r="R37" i="26"/>
  <c r="H37" i="26"/>
  <c r="G37" i="26"/>
  <c r="AA37" i="26" s="1"/>
  <c r="F37" i="26"/>
  <c r="Z37" i="26" s="1"/>
  <c r="E37" i="26"/>
  <c r="Y37" i="26" s="1"/>
  <c r="D37" i="26"/>
  <c r="C37" i="26"/>
  <c r="B37" i="26"/>
  <c r="Q37" i="26" s="1"/>
  <c r="AK36" i="26"/>
  <c r="AJ36" i="26"/>
  <c r="Y36" i="26"/>
  <c r="X36" i="26"/>
  <c r="W36" i="26"/>
  <c r="U36" i="26"/>
  <c r="R36" i="26"/>
  <c r="Q36" i="26"/>
  <c r="P36" i="26"/>
  <c r="H36" i="26"/>
  <c r="AB36" i="26" s="1"/>
  <c r="G36" i="26"/>
  <c r="AA36" i="26" s="1"/>
  <c r="F36" i="26"/>
  <c r="Z36" i="26" s="1"/>
  <c r="E36" i="26"/>
  <c r="D36" i="26"/>
  <c r="C36" i="26"/>
  <c r="B36" i="26"/>
  <c r="S36" i="26" s="1"/>
  <c r="AK35" i="26"/>
  <c r="AJ35" i="26"/>
  <c r="AB35" i="26"/>
  <c r="AA35" i="26"/>
  <c r="Z35" i="26"/>
  <c r="U35" i="26"/>
  <c r="R35" i="26"/>
  <c r="H35" i="26"/>
  <c r="G35" i="26"/>
  <c r="F35" i="26"/>
  <c r="E35" i="26"/>
  <c r="Y35" i="26" s="1"/>
  <c r="D35" i="26"/>
  <c r="X35" i="26" s="1"/>
  <c r="C35" i="26"/>
  <c r="W35" i="26" s="1"/>
  <c r="B35" i="26"/>
  <c r="AK34" i="26"/>
  <c r="AJ34" i="26"/>
  <c r="W34" i="26"/>
  <c r="V34" i="26"/>
  <c r="U34" i="26"/>
  <c r="R34" i="26"/>
  <c r="H34" i="26"/>
  <c r="AB34" i="26" s="1"/>
  <c r="G34" i="26"/>
  <c r="AA34" i="26" s="1"/>
  <c r="F34" i="26"/>
  <c r="Z34" i="26" s="1"/>
  <c r="E34" i="26"/>
  <c r="D34" i="26"/>
  <c r="C34" i="26"/>
  <c r="B34" i="26"/>
  <c r="AK33" i="26"/>
  <c r="AJ33" i="26"/>
  <c r="Z33" i="26"/>
  <c r="Y33" i="26"/>
  <c r="X33" i="26"/>
  <c r="U33" i="26"/>
  <c r="R33" i="26"/>
  <c r="Q33" i="26"/>
  <c r="P33" i="26"/>
  <c r="H33" i="26"/>
  <c r="AB33" i="26" s="1"/>
  <c r="G33" i="26"/>
  <c r="AA33" i="26" s="1"/>
  <c r="F33" i="26"/>
  <c r="E33" i="26"/>
  <c r="D33" i="26"/>
  <c r="C33" i="26"/>
  <c r="W33" i="26" s="1"/>
  <c r="B33" i="26"/>
  <c r="V33" i="26" s="1"/>
  <c r="AK32" i="26"/>
  <c r="AJ32" i="26"/>
  <c r="U32" i="26"/>
  <c r="AA32" i="26" s="1"/>
  <c r="S32" i="26"/>
  <c r="R32" i="26"/>
  <c r="H32" i="26"/>
  <c r="G32" i="26"/>
  <c r="F32" i="26"/>
  <c r="Z32" i="26" s="1"/>
  <c r="E32" i="26"/>
  <c r="Y32" i="26" s="1"/>
  <c r="D32" i="26"/>
  <c r="C32" i="26"/>
  <c r="B32" i="26"/>
  <c r="AK31" i="26"/>
  <c r="AJ31" i="26"/>
  <c r="X31" i="26"/>
  <c r="W31" i="26"/>
  <c r="V31" i="26"/>
  <c r="U31" i="26"/>
  <c r="R31" i="26"/>
  <c r="P31" i="26"/>
  <c r="H31" i="26"/>
  <c r="AB31" i="26" s="1"/>
  <c r="G31" i="26"/>
  <c r="AA31" i="26" s="1"/>
  <c r="F31" i="26"/>
  <c r="Z31" i="26" s="1"/>
  <c r="E31" i="26"/>
  <c r="Y31" i="26" s="1"/>
  <c r="D31" i="26"/>
  <c r="C31" i="26"/>
  <c r="B31" i="26"/>
  <c r="S31" i="26" s="1"/>
  <c r="AK30" i="26"/>
  <c r="AJ30" i="26"/>
  <c r="AA30" i="26"/>
  <c r="Z30" i="26"/>
  <c r="Y30" i="26"/>
  <c r="U30" i="26"/>
  <c r="R30" i="26"/>
  <c r="H30" i="26"/>
  <c r="AB30" i="26" s="1"/>
  <c r="G30" i="26"/>
  <c r="F30" i="26"/>
  <c r="E30" i="26"/>
  <c r="D30" i="26"/>
  <c r="X30" i="26" s="1"/>
  <c r="C30" i="26"/>
  <c r="W30" i="26" s="1"/>
  <c r="B30" i="26"/>
  <c r="AK29" i="26"/>
  <c r="AJ29" i="26"/>
  <c r="U29" i="26"/>
  <c r="AB29" i="26" s="1"/>
  <c r="S29" i="26"/>
  <c r="R29" i="26"/>
  <c r="H29" i="26"/>
  <c r="G29" i="26"/>
  <c r="AA29" i="26" s="1"/>
  <c r="F29" i="26"/>
  <c r="Z29" i="26" s="1"/>
  <c r="E29" i="26"/>
  <c r="Y29" i="26" s="1"/>
  <c r="D29" i="26"/>
  <c r="X29" i="26" s="1"/>
  <c r="C29" i="26"/>
  <c r="W29" i="26" s="1"/>
  <c r="B29" i="26"/>
  <c r="Q29" i="26" s="1"/>
  <c r="AK28" i="26"/>
  <c r="AJ28" i="26"/>
  <c r="Y28" i="26"/>
  <c r="X28" i="26"/>
  <c r="W28" i="26"/>
  <c r="U28" i="26"/>
  <c r="R28" i="26"/>
  <c r="Q28" i="26"/>
  <c r="P28" i="26"/>
  <c r="H28" i="26"/>
  <c r="AB28" i="26" s="1"/>
  <c r="G28" i="26"/>
  <c r="AA28" i="26" s="1"/>
  <c r="F28" i="26"/>
  <c r="Z28" i="26" s="1"/>
  <c r="E28" i="26"/>
  <c r="D28" i="26"/>
  <c r="C28" i="26"/>
  <c r="B28" i="26"/>
  <c r="S28" i="26" s="1"/>
  <c r="AK27" i="26"/>
  <c r="AJ27" i="26"/>
  <c r="AB27" i="26"/>
  <c r="AA27" i="26"/>
  <c r="Z27" i="26"/>
  <c r="U27" i="26"/>
  <c r="S27" i="26"/>
  <c r="R27" i="26"/>
  <c r="Q27" i="26"/>
  <c r="H27" i="26"/>
  <c r="G27" i="26"/>
  <c r="F27" i="26"/>
  <c r="E27" i="26"/>
  <c r="Y27" i="26" s="1"/>
  <c r="D27" i="26"/>
  <c r="C27" i="26"/>
  <c r="W27" i="26" s="1"/>
  <c r="B27" i="26"/>
  <c r="AK26" i="26"/>
  <c r="AJ26" i="26"/>
  <c r="W26" i="26"/>
  <c r="V26" i="26"/>
  <c r="U26" i="26"/>
  <c r="X26" i="26" s="1"/>
  <c r="R26" i="26"/>
  <c r="H26" i="26"/>
  <c r="AB26" i="26" s="1"/>
  <c r="G26" i="26"/>
  <c r="AA26" i="26" s="1"/>
  <c r="F26" i="26"/>
  <c r="Z26" i="26" s="1"/>
  <c r="E26" i="26"/>
  <c r="Y26" i="26" s="1"/>
  <c r="C26" i="26"/>
  <c r="B26" i="26"/>
  <c r="Q26" i="26" s="1"/>
  <c r="AK25" i="26"/>
  <c r="AJ25" i="26"/>
  <c r="Y25" i="26"/>
  <c r="X25" i="26"/>
  <c r="W25" i="26"/>
  <c r="V25" i="26"/>
  <c r="U25" i="26"/>
  <c r="R25" i="26"/>
  <c r="Q25" i="26"/>
  <c r="P25" i="26"/>
  <c r="H25" i="26"/>
  <c r="AB25" i="26" s="1"/>
  <c r="G25" i="26"/>
  <c r="AA25" i="26" s="1"/>
  <c r="F25" i="26"/>
  <c r="Z25" i="26" s="1"/>
  <c r="E25" i="26"/>
  <c r="C25" i="26"/>
  <c r="B25" i="26"/>
  <c r="AK24" i="26"/>
  <c r="AJ24" i="26"/>
  <c r="AA24" i="26"/>
  <c r="Z24" i="26"/>
  <c r="Y24" i="26"/>
  <c r="U24" i="26"/>
  <c r="X24" i="26" s="1"/>
  <c r="R24" i="26"/>
  <c r="Q24" i="26"/>
  <c r="P24" i="26"/>
  <c r="H24" i="26"/>
  <c r="AB24" i="26" s="1"/>
  <c r="G24" i="26"/>
  <c r="F24" i="26"/>
  <c r="E24" i="26"/>
  <c r="C24" i="26"/>
  <c r="W24" i="26" s="1"/>
  <c r="B24" i="26"/>
  <c r="V24" i="26" s="1"/>
  <c r="AK23" i="26"/>
  <c r="AJ23" i="26"/>
  <c r="U23" i="26"/>
  <c r="X23" i="26" s="1"/>
  <c r="R23" i="26"/>
  <c r="K23" i="26"/>
  <c r="K24" i="26" s="1"/>
  <c r="K25" i="26" s="1"/>
  <c r="K26" i="26" s="1"/>
  <c r="K27" i="26" s="1"/>
  <c r="K28" i="26" s="1"/>
  <c r="K29" i="26" s="1"/>
  <c r="K30" i="26" s="1"/>
  <c r="K31" i="26" s="1"/>
  <c r="K32" i="26" s="1"/>
  <c r="K33" i="26" s="1"/>
  <c r="K34" i="26" s="1"/>
  <c r="K35" i="26" s="1"/>
  <c r="K36" i="26" s="1"/>
  <c r="K37" i="26" s="1"/>
  <c r="K38" i="26" s="1"/>
  <c r="K39" i="26" s="1"/>
  <c r="K40" i="26" s="1"/>
  <c r="K41" i="26" s="1"/>
  <c r="K42" i="26" s="1"/>
  <c r="K43" i="26" s="1"/>
  <c r="K44" i="26" s="1"/>
  <c r="K45" i="26" s="1"/>
  <c r="K46" i="26" s="1"/>
  <c r="K47" i="26" s="1"/>
  <c r="K48" i="26" s="1"/>
  <c r="K49" i="26" s="1"/>
  <c r="K50" i="26" s="1"/>
  <c r="K51" i="26" s="1"/>
  <c r="K52" i="26" s="1"/>
  <c r="K53" i="26" s="1"/>
  <c r="K54" i="26" s="1"/>
  <c r="K55" i="26" s="1"/>
  <c r="K56" i="26" s="1"/>
  <c r="K57" i="26" s="1"/>
  <c r="K58" i="26" s="1"/>
  <c r="K59" i="26" s="1"/>
  <c r="K60" i="26" s="1"/>
  <c r="K61" i="26" s="1"/>
  <c r="K62" i="26" s="1"/>
  <c r="K63" i="26" s="1"/>
  <c r="K64" i="26" s="1"/>
  <c r="K65" i="26" s="1"/>
  <c r="K66" i="26" s="1"/>
  <c r="K67" i="26" s="1"/>
  <c r="K68" i="26" s="1"/>
  <c r="K69" i="26" s="1"/>
  <c r="K70" i="26" s="1"/>
  <c r="K71" i="26" s="1"/>
  <c r="K72" i="26" s="1"/>
  <c r="K73" i="26" s="1"/>
  <c r="K74" i="26" s="1"/>
  <c r="K75" i="26" s="1"/>
  <c r="K76" i="26" s="1"/>
  <c r="K77" i="26" s="1"/>
  <c r="K78" i="26" s="1"/>
  <c r="K79" i="26" s="1"/>
  <c r="K80" i="26" s="1"/>
  <c r="K81" i="26" s="1"/>
  <c r="K82" i="26" s="1"/>
  <c r="K83" i="26" s="1"/>
  <c r="K84" i="26" s="1"/>
  <c r="K85" i="26" s="1"/>
  <c r="K86" i="26" s="1"/>
  <c r="K87" i="26" s="1"/>
  <c r="K88" i="26" s="1"/>
  <c r="K89" i="26" s="1"/>
  <c r="K90" i="26" s="1"/>
  <c r="K91" i="26" s="1"/>
  <c r="K92" i="26" s="1"/>
  <c r="K93" i="26" s="1"/>
  <c r="K94" i="26" s="1"/>
  <c r="K95" i="26" s="1"/>
  <c r="K96" i="26" s="1"/>
  <c r="K97" i="26" s="1"/>
  <c r="K98" i="26" s="1"/>
  <c r="K99" i="26" s="1"/>
  <c r="K100" i="26" s="1"/>
  <c r="K101" i="26" s="1"/>
  <c r="K102" i="26" s="1"/>
  <c r="K103" i="26" s="1"/>
  <c r="K104" i="26" s="1"/>
  <c r="K105" i="26" s="1"/>
  <c r="K106" i="26" s="1"/>
  <c r="K107" i="26" s="1"/>
  <c r="K108" i="26" s="1"/>
  <c r="K109" i="26" s="1"/>
  <c r="K110" i="26" s="1"/>
  <c r="K111" i="26" s="1"/>
  <c r="K112" i="26" s="1"/>
  <c r="K113" i="26" s="1"/>
  <c r="K114" i="26" s="1"/>
  <c r="K115" i="26" s="1"/>
  <c r="K116" i="26" s="1"/>
  <c r="K117" i="26" s="1"/>
  <c r="K118" i="26" s="1"/>
  <c r="H23" i="26"/>
  <c r="G23" i="26"/>
  <c r="F23" i="26"/>
  <c r="Z23" i="26" s="1"/>
  <c r="E23" i="26"/>
  <c r="Y23" i="26" s="1"/>
  <c r="C23" i="26"/>
  <c r="W23" i="26" s="1"/>
  <c r="B23" i="26"/>
  <c r="S23" i="26" s="1"/>
  <c r="AK22" i="26"/>
  <c r="AI123" i="26" s="1"/>
  <c r="AJ22" i="26"/>
  <c r="U22" i="26"/>
  <c r="X22" i="26" s="1"/>
  <c r="R22" i="26"/>
  <c r="K22" i="26"/>
  <c r="H22" i="26"/>
  <c r="G22" i="26"/>
  <c r="F22" i="26"/>
  <c r="Z22" i="26" s="1"/>
  <c r="E22" i="26"/>
  <c r="Y22" i="26" s="1"/>
  <c r="C22" i="26"/>
  <c r="J22" i="26" s="1"/>
  <c r="J23" i="26" s="1"/>
  <c r="J24" i="26" s="1"/>
  <c r="J25" i="26" s="1"/>
  <c r="J26" i="26" s="1"/>
  <c r="J27" i="26" s="1"/>
  <c r="J28" i="26" s="1"/>
  <c r="J29" i="26" s="1"/>
  <c r="J30" i="26" s="1"/>
  <c r="J31" i="26" s="1"/>
  <c r="J32" i="26" s="1"/>
  <c r="J33" i="26" s="1"/>
  <c r="J34" i="26" s="1"/>
  <c r="J35" i="26" s="1"/>
  <c r="J36" i="26" s="1"/>
  <c r="J37" i="26" s="1"/>
  <c r="J38" i="26" s="1"/>
  <c r="J39" i="26" s="1"/>
  <c r="J40" i="26" s="1"/>
  <c r="J41" i="26" s="1"/>
  <c r="J42" i="26" s="1"/>
  <c r="J43" i="26" s="1"/>
  <c r="J44" i="26" s="1"/>
  <c r="J45" i="26" s="1"/>
  <c r="J46" i="26" s="1"/>
  <c r="J47" i="26" s="1"/>
  <c r="J48" i="26" s="1"/>
  <c r="J49" i="26" s="1"/>
  <c r="J50" i="26" s="1"/>
  <c r="J51" i="26" s="1"/>
  <c r="J52" i="26" s="1"/>
  <c r="J53" i="26" s="1"/>
  <c r="J54" i="26" s="1"/>
  <c r="J55" i="26" s="1"/>
  <c r="J56" i="26" s="1"/>
  <c r="J57" i="26" s="1"/>
  <c r="J58" i="26" s="1"/>
  <c r="J59" i="26" s="1"/>
  <c r="J60" i="26" s="1"/>
  <c r="J61" i="26" s="1"/>
  <c r="J62" i="26" s="1"/>
  <c r="J63" i="26" s="1"/>
  <c r="J64" i="26" s="1"/>
  <c r="J65" i="26" s="1"/>
  <c r="J66" i="26" s="1"/>
  <c r="J67" i="26" s="1"/>
  <c r="J68" i="26" s="1"/>
  <c r="J69" i="26" s="1"/>
  <c r="J70" i="26" s="1"/>
  <c r="J71" i="26" s="1"/>
  <c r="J72" i="26" s="1"/>
  <c r="J73" i="26" s="1"/>
  <c r="J74" i="26" s="1"/>
  <c r="J75" i="26" s="1"/>
  <c r="J76" i="26" s="1"/>
  <c r="J77" i="26" s="1"/>
  <c r="J78" i="26" s="1"/>
  <c r="J79" i="26" s="1"/>
  <c r="J80" i="26" s="1"/>
  <c r="J81" i="26" s="1"/>
  <c r="J82" i="26" s="1"/>
  <c r="J83" i="26" s="1"/>
  <c r="J84" i="26" s="1"/>
  <c r="J85" i="26" s="1"/>
  <c r="J86" i="26" s="1"/>
  <c r="J87" i="26" s="1"/>
  <c r="J88" i="26" s="1"/>
  <c r="J89" i="26" s="1"/>
  <c r="J90" i="26" s="1"/>
  <c r="J91" i="26" s="1"/>
  <c r="J92" i="26" s="1"/>
  <c r="J93" i="26" s="1"/>
  <c r="J94" i="26" s="1"/>
  <c r="J95" i="26" s="1"/>
  <c r="J96" i="26" s="1"/>
  <c r="J97" i="26" s="1"/>
  <c r="J98" i="26" s="1"/>
  <c r="J99" i="26" s="1"/>
  <c r="J100" i="26" s="1"/>
  <c r="J101" i="26" s="1"/>
  <c r="J102" i="26" s="1"/>
  <c r="J103" i="26" s="1"/>
  <c r="J104" i="26" s="1"/>
  <c r="J105" i="26" s="1"/>
  <c r="J106" i="26" s="1"/>
  <c r="J107" i="26" s="1"/>
  <c r="J108" i="26" s="1"/>
  <c r="J109" i="26" s="1"/>
  <c r="J110" i="26" s="1"/>
  <c r="J111" i="26" s="1"/>
  <c r="J112" i="26" s="1"/>
  <c r="J113" i="26" s="1"/>
  <c r="J114" i="26" s="1"/>
  <c r="J115" i="26" s="1"/>
  <c r="J116" i="26" s="1"/>
  <c r="J117" i="26" s="1"/>
  <c r="J118" i="26" s="1"/>
  <c r="B22" i="26"/>
  <c r="AK21" i="26"/>
  <c r="AJ21" i="26"/>
  <c r="AE21" i="26"/>
  <c r="AE22" i="26" s="1"/>
  <c r="AE23" i="26" s="1"/>
  <c r="AE24" i="26" s="1"/>
  <c r="AE25" i="26" s="1"/>
  <c r="AE26" i="26" s="1"/>
  <c r="Y21" i="26"/>
  <c r="X21" i="26"/>
  <c r="W21" i="26"/>
  <c r="V21" i="26"/>
  <c r="U21" i="26"/>
  <c r="R21" i="26"/>
  <c r="P21" i="26"/>
  <c r="O21" i="26"/>
  <c r="O22" i="26" s="1"/>
  <c r="O23" i="26" s="1"/>
  <c r="N21" i="26"/>
  <c r="N22" i="26" s="1"/>
  <c r="N23" i="26" s="1"/>
  <c r="N24" i="26" s="1"/>
  <c r="N25" i="26" s="1"/>
  <c r="N26" i="26" s="1"/>
  <c r="N27" i="26" s="1"/>
  <c r="N28" i="26" s="1"/>
  <c r="N29" i="26" s="1"/>
  <c r="N30" i="26" s="1"/>
  <c r="N31" i="26" s="1"/>
  <c r="N32" i="26" s="1"/>
  <c r="N33" i="26" s="1"/>
  <c r="N34" i="26" s="1"/>
  <c r="N35" i="26" s="1"/>
  <c r="N36" i="26" s="1"/>
  <c r="N37" i="26" s="1"/>
  <c r="N38" i="26" s="1"/>
  <c r="N39" i="26" s="1"/>
  <c r="N40" i="26" s="1"/>
  <c r="N41" i="26" s="1"/>
  <c r="N42" i="26" s="1"/>
  <c r="N43" i="26" s="1"/>
  <c r="N44" i="26" s="1"/>
  <c r="N45" i="26" s="1"/>
  <c r="N46" i="26" s="1"/>
  <c r="N47" i="26" s="1"/>
  <c r="N48" i="26" s="1"/>
  <c r="N49" i="26" s="1"/>
  <c r="N50" i="26" s="1"/>
  <c r="N51" i="26" s="1"/>
  <c r="N52" i="26" s="1"/>
  <c r="N53" i="26" s="1"/>
  <c r="N54" i="26" s="1"/>
  <c r="N55" i="26" s="1"/>
  <c r="N56" i="26" s="1"/>
  <c r="N57" i="26" s="1"/>
  <c r="N58" i="26" s="1"/>
  <c r="N59" i="26" s="1"/>
  <c r="N60" i="26" s="1"/>
  <c r="N61" i="26" s="1"/>
  <c r="N62" i="26" s="1"/>
  <c r="N63" i="26" s="1"/>
  <c r="N64" i="26" s="1"/>
  <c r="N65" i="26" s="1"/>
  <c r="N66" i="26" s="1"/>
  <c r="N67" i="26" s="1"/>
  <c r="N68" i="26" s="1"/>
  <c r="N69" i="26" s="1"/>
  <c r="N70" i="26" s="1"/>
  <c r="N71" i="26" s="1"/>
  <c r="N72" i="26" s="1"/>
  <c r="N73" i="26" s="1"/>
  <c r="N74" i="26" s="1"/>
  <c r="N75" i="26" s="1"/>
  <c r="N76" i="26" s="1"/>
  <c r="N77" i="26" s="1"/>
  <c r="N78" i="26" s="1"/>
  <c r="N79" i="26" s="1"/>
  <c r="N80" i="26" s="1"/>
  <c r="N81" i="26" s="1"/>
  <c r="N82" i="26" s="1"/>
  <c r="N83" i="26" s="1"/>
  <c r="N84" i="26" s="1"/>
  <c r="N85" i="26" s="1"/>
  <c r="N86" i="26" s="1"/>
  <c r="N87" i="26" s="1"/>
  <c r="N88" i="26" s="1"/>
  <c r="N89" i="26" s="1"/>
  <c r="N90" i="26" s="1"/>
  <c r="N91" i="26" s="1"/>
  <c r="N92" i="26" s="1"/>
  <c r="N93" i="26" s="1"/>
  <c r="N94" i="26" s="1"/>
  <c r="N95" i="26" s="1"/>
  <c r="N96" i="26" s="1"/>
  <c r="N97" i="26" s="1"/>
  <c r="N98" i="26" s="1"/>
  <c r="N99" i="26" s="1"/>
  <c r="N100" i="26" s="1"/>
  <c r="N101" i="26" s="1"/>
  <c r="N102" i="26" s="1"/>
  <c r="N103" i="26" s="1"/>
  <c r="N104" i="26" s="1"/>
  <c r="N105" i="26" s="1"/>
  <c r="N106" i="26" s="1"/>
  <c r="N107" i="26" s="1"/>
  <c r="N108" i="26" s="1"/>
  <c r="N109" i="26" s="1"/>
  <c r="N110" i="26" s="1"/>
  <c r="N111" i="26" s="1"/>
  <c r="N112" i="26" s="1"/>
  <c r="N113" i="26" s="1"/>
  <c r="N114" i="26" s="1"/>
  <c r="N115" i="26" s="1"/>
  <c r="N116" i="26" s="1"/>
  <c r="N117" i="26" s="1"/>
  <c r="N118" i="26" s="1"/>
  <c r="K21" i="26"/>
  <c r="I21" i="26"/>
  <c r="I22" i="26" s="1"/>
  <c r="H21" i="26"/>
  <c r="G21" i="26"/>
  <c r="F21" i="26"/>
  <c r="E21" i="26"/>
  <c r="C21" i="26"/>
  <c r="B21" i="26"/>
  <c r="E16" i="26"/>
  <c r="E15" i="26"/>
  <c r="E14" i="26"/>
  <c r="E13" i="26"/>
  <c r="E12" i="26"/>
  <c r="R10" i="24"/>
  <c r="R7" i="24"/>
  <c r="R5" i="24"/>
  <c r="S15" i="22"/>
  <c r="S14" i="22"/>
  <c r="E12" i="22"/>
  <c r="F12" i="22"/>
  <c r="G12" i="22"/>
  <c r="H12" i="22"/>
  <c r="I12" i="22"/>
  <c r="J12" i="22"/>
  <c r="K12" i="22"/>
  <c r="L12" i="22"/>
  <c r="M12" i="22"/>
  <c r="N12" i="22"/>
  <c r="O12" i="22"/>
  <c r="D12" i="22"/>
  <c r="H18" i="22"/>
  <c r="J17" i="22"/>
  <c r="K17" i="22"/>
  <c r="L17" i="22"/>
  <c r="M17" i="22"/>
  <c r="N17" i="22"/>
  <c r="O17" i="22"/>
  <c r="I17" i="22"/>
  <c r="S7" i="22"/>
  <c r="D126" i="26" l="1"/>
  <c r="D128" i="26"/>
  <c r="D127" i="26"/>
  <c r="C126" i="26"/>
  <c r="C128" i="26"/>
  <c r="C127" i="26"/>
  <c r="G126" i="26"/>
  <c r="G128" i="26"/>
  <c r="G127" i="26"/>
  <c r="AA22" i="26"/>
  <c r="S25" i="26"/>
  <c r="X32" i="26"/>
  <c r="Q34" i="26"/>
  <c r="Y34" i="26"/>
  <c r="Q45" i="26"/>
  <c r="Y45" i="26"/>
  <c r="Q43" i="26"/>
  <c r="Y43" i="26"/>
  <c r="V50" i="26"/>
  <c r="S50" i="26"/>
  <c r="Q50" i="26"/>
  <c r="P50" i="26"/>
  <c r="F121" i="26"/>
  <c r="S21" i="26"/>
  <c r="M21" i="26"/>
  <c r="M22" i="26" s="1"/>
  <c r="M23" i="26" s="1"/>
  <c r="M24" i="26" s="1"/>
  <c r="M25" i="26" s="1"/>
  <c r="M26" i="26" s="1"/>
  <c r="M27" i="26" s="1"/>
  <c r="M28" i="26" s="1"/>
  <c r="M29" i="26" s="1"/>
  <c r="M30" i="26" s="1"/>
  <c r="M31" i="26" s="1"/>
  <c r="M32" i="26" s="1"/>
  <c r="M33" i="26" s="1"/>
  <c r="M34" i="26" s="1"/>
  <c r="M35" i="26" s="1"/>
  <c r="M36" i="26" s="1"/>
  <c r="M37" i="26" s="1"/>
  <c r="M38" i="26" s="1"/>
  <c r="M39" i="26" s="1"/>
  <c r="M40" i="26" s="1"/>
  <c r="M41" i="26" s="1"/>
  <c r="M42" i="26" s="1"/>
  <c r="M43" i="26" s="1"/>
  <c r="M44" i="26" s="1"/>
  <c r="M45" i="26" s="1"/>
  <c r="M46" i="26" s="1"/>
  <c r="M47" i="26" s="1"/>
  <c r="M48" i="26" s="1"/>
  <c r="M49" i="26" s="1"/>
  <c r="M50" i="26" s="1"/>
  <c r="M51" i="26" s="1"/>
  <c r="M52" i="26" s="1"/>
  <c r="M53" i="26" s="1"/>
  <c r="M54" i="26" s="1"/>
  <c r="M55" i="26" s="1"/>
  <c r="M56" i="26" s="1"/>
  <c r="M57" i="26" s="1"/>
  <c r="M58" i="26" s="1"/>
  <c r="M59" i="26" s="1"/>
  <c r="M60" i="26" s="1"/>
  <c r="M61" i="26" s="1"/>
  <c r="M62" i="26" s="1"/>
  <c r="M63" i="26" s="1"/>
  <c r="M64" i="26" s="1"/>
  <c r="M65" i="26" s="1"/>
  <c r="M66" i="26" s="1"/>
  <c r="M67" i="26" s="1"/>
  <c r="M68" i="26" s="1"/>
  <c r="M69" i="26" s="1"/>
  <c r="M70" i="26" s="1"/>
  <c r="M71" i="26" s="1"/>
  <c r="M72" i="26" s="1"/>
  <c r="M73" i="26" s="1"/>
  <c r="M74" i="26" s="1"/>
  <c r="M75" i="26" s="1"/>
  <c r="M76" i="26" s="1"/>
  <c r="M77" i="26" s="1"/>
  <c r="M78" i="26" s="1"/>
  <c r="M79" i="26" s="1"/>
  <c r="M80" i="26" s="1"/>
  <c r="M81" i="26" s="1"/>
  <c r="M82" i="26" s="1"/>
  <c r="M83" i="26" s="1"/>
  <c r="M84" i="26" s="1"/>
  <c r="M85" i="26" s="1"/>
  <c r="M86" i="26" s="1"/>
  <c r="M87" i="26" s="1"/>
  <c r="M88" i="26" s="1"/>
  <c r="M89" i="26" s="1"/>
  <c r="M90" i="26" s="1"/>
  <c r="M91" i="26" s="1"/>
  <c r="M92" i="26" s="1"/>
  <c r="M93" i="26" s="1"/>
  <c r="M94" i="26" s="1"/>
  <c r="M95" i="26" s="1"/>
  <c r="M96" i="26" s="1"/>
  <c r="M97" i="26" s="1"/>
  <c r="M98" i="26" s="1"/>
  <c r="M99" i="26" s="1"/>
  <c r="M100" i="26" s="1"/>
  <c r="M101" i="26" s="1"/>
  <c r="M102" i="26" s="1"/>
  <c r="M103" i="26" s="1"/>
  <c r="M104" i="26" s="1"/>
  <c r="M105" i="26" s="1"/>
  <c r="M106" i="26" s="1"/>
  <c r="M107" i="26" s="1"/>
  <c r="M108" i="26" s="1"/>
  <c r="M109" i="26" s="1"/>
  <c r="M110" i="26" s="1"/>
  <c r="M111" i="26" s="1"/>
  <c r="M112" i="26" s="1"/>
  <c r="M113" i="26" s="1"/>
  <c r="M114" i="26" s="1"/>
  <c r="M115" i="26" s="1"/>
  <c r="M116" i="26" s="1"/>
  <c r="M117" i="26" s="1"/>
  <c r="M118" i="26" s="1"/>
  <c r="Z21" i="26"/>
  <c r="AB22" i="26"/>
  <c r="W22" i="26"/>
  <c r="W122" i="26" s="1"/>
  <c r="V30" i="26"/>
  <c r="S30" i="26"/>
  <c r="AB32" i="26"/>
  <c r="Y48" i="26"/>
  <c r="G121" i="26"/>
  <c r="AA21" i="26"/>
  <c r="P30" i="26"/>
  <c r="S45" i="26"/>
  <c r="X46" i="26"/>
  <c r="S49" i="26"/>
  <c r="Z49" i="26"/>
  <c r="AB51" i="26"/>
  <c r="V51" i="26"/>
  <c r="W51" i="26"/>
  <c r="E121" i="26"/>
  <c r="L21" i="26"/>
  <c r="L22" i="26" s="1"/>
  <c r="L23" i="26" s="1"/>
  <c r="L24" i="26" s="1"/>
  <c r="L25" i="26" s="1"/>
  <c r="L26" i="26" s="1"/>
  <c r="L27" i="26" s="1"/>
  <c r="L28" i="26" s="1"/>
  <c r="L29" i="26" s="1"/>
  <c r="L30" i="26" s="1"/>
  <c r="L31" i="26" s="1"/>
  <c r="L32" i="26" s="1"/>
  <c r="L33" i="26" s="1"/>
  <c r="L34" i="26" s="1"/>
  <c r="L35" i="26" s="1"/>
  <c r="L36" i="26" s="1"/>
  <c r="L37" i="26" s="1"/>
  <c r="L38" i="26" s="1"/>
  <c r="L39" i="26" s="1"/>
  <c r="L40" i="26" s="1"/>
  <c r="L41" i="26" s="1"/>
  <c r="L42" i="26" s="1"/>
  <c r="L43" i="26" s="1"/>
  <c r="L44" i="26" s="1"/>
  <c r="L45" i="26" s="1"/>
  <c r="L46" i="26" s="1"/>
  <c r="L47" i="26" s="1"/>
  <c r="L48" i="26" s="1"/>
  <c r="L49" i="26" s="1"/>
  <c r="L50" i="26" s="1"/>
  <c r="L51" i="26" s="1"/>
  <c r="L52" i="26" s="1"/>
  <c r="L53" i="26" s="1"/>
  <c r="L54" i="26" s="1"/>
  <c r="L55" i="26" s="1"/>
  <c r="L56" i="26" s="1"/>
  <c r="L57" i="26" s="1"/>
  <c r="L58" i="26" s="1"/>
  <c r="L59" i="26" s="1"/>
  <c r="L60" i="26" s="1"/>
  <c r="L61" i="26" s="1"/>
  <c r="L62" i="26" s="1"/>
  <c r="L63" i="26" s="1"/>
  <c r="L64" i="26" s="1"/>
  <c r="L65" i="26" s="1"/>
  <c r="L66" i="26" s="1"/>
  <c r="L67" i="26" s="1"/>
  <c r="L68" i="26" s="1"/>
  <c r="L69" i="26" s="1"/>
  <c r="L70" i="26" s="1"/>
  <c r="L71" i="26" s="1"/>
  <c r="L72" i="26" s="1"/>
  <c r="L73" i="26" s="1"/>
  <c r="L74" i="26" s="1"/>
  <c r="L75" i="26" s="1"/>
  <c r="L76" i="26" s="1"/>
  <c r="L77" i="26" s="1"/>
  <c r="L78" i="26" s="1"/>
  <c r="L79" i="26" s="1"/>
  <c r="L80" i="26" s="1"/>
  <c r="L81" i="26" s="1"/>
  <c r="L82" i="26" s="1"/>
  <c r="L83" i="26" s="1"/>
  <c r="L84" i="26" s="1"/>
  <c r="L85" i="26" s="1"/>
  <c r="L86" i="26" s="1"/>
  <c r="L87" i="26" s="1"/>
  <c r="L88" i="26" s="1"/>
  <c r="L89" i="26" s="1"/>
  <c r="L90" i="26" s="1"/>
  <c r="L91" i="26" s="1"/>
  <c r="L92" i="26" s="1"/>
  <c r="L93" i="26" s="1"/>
  <c r="L94" i="26" s="1"/>
  <c r="L95" i="26" s="1"/>
  <c r="L96" i="26" s="1"/>
  <c r="L97" i="26" s="1"/>
  <c r="L98" i="26" s="1"/>
  <c r="L99" i="26" s="1"/>
  <c r="L100" i="26" s="1"/>
  <c r="L101" i="26" s="1"/>
  <c r="L102" i="26" s="1"/>
  <c r="L103" i="26" s="1"/>
  <c r="L104" i="26" s="1"/>
  <c r="L105" i="26" s="1"/>
  <c r="L106" i="26" s="1"/>
  <c r="L107" i="26" s="1"/>
  <c r="L108" i="26" s="1"/>
  <c r="L109" i="26" s="1"/>
  <c r="L110" i="26" s="1"/>
  <c r="L111" i="26" s="1"/>
  <c r="L112" i="26" s="1"/>
  <c r="L113" i="26" s="1"/>
  <c r="L114" i="26" s="1"/>
  <c r="L115" i="26" s="1"/>
  <c r="L116" i="26" s="1"/>
  <c r="L117" i="26" s="1"/>
  <c r="L118" i="26" s="1"/>
  <c r="Q21" i="26"/>
  <c r="P32" i="26"/>
  <c r="Q32" i="26"/>
  <c r="V32" i="26"/>
  <c r="S35" i="26"/>
  <c r="V35" i="26"/>
  <c r="P35" i="26"/>
  <c r="W37" i="26"/>
  <c r="Y39" i="26"/>
  <c r="Z52" i="26"/>
  <c r="Y52" i="26"/>
  <c r="AA52" i="26"/>
  <c r="O24" i="26"/>
  <c r="O25" i="26" s="1"/>
  <c r="O26" i="26" s="1"/>
  <c r="O27" i="26" s="1"/>
  <c r="O28" i="26" s="1"/>
  <c r="O29" i="26" s="1"/>
  <c r="O30" i="26" s="1"/>
  <c r="O31" i="26" s="1"/>
  <c r="O32" i="26" s="1"/>
  <c r="O33" i="26" s="1"/>
  <c r="O34" i="26" s="1"/>
  <c r="O35" i="26" s="1"/>
  <c r="O36" i="26" s="1"/>
  <c r="O37" i="26" s="1"/>
  <c r="O38" i="26" s="1"/>
  <c r="O39" i="26" s="1"/>
  <c r="O40" i="26" s="1"/>
  <c r="O41" i="26" s="1"/>
  <c r="O42" i="26" s="1"/>
  <c r="O43" i="26" s="1"/>
  <c r="O44" i="26" s="1"/>
  <c r="O45" i="26" s="1"/>
  <c r="O46" i="26" s="1"/>
  <c r="O47" i="26" s="1"/>
  <c r="O48" i="26" s="1"/>
  <c r="O49" i="26" s="1"/>
  <c r="O50" i="26" s="1"/>
  <c r="O51" i="26" s="1"/>
  <c r="O52" i="26" s="1"/>
  <c r="O53" i="26" s="1"/>
  <c r="O54" i="26" s="1"/>
  <c r="O55" i="26" s="1"/>
  <c r="O56" i="26" s="1"/>
  <c r="O57" i="26" s="1"/>
  <c r="O58" i="26" s="1"/>
  <c r="O59" i="26" s="1"/>
  <c r="O60" i="26" s="1"/>
  <c r="O61" i="26" s="1"/>
  <c r="O62" i="26" s="1"/>
  <c r="O63" i="26" s="1"/>
  <c r="O64" i="26" s="1"/>
  <c r="O65" i="26" s="1"/>
  <c r="O66" i="26" s="1"/>
  <c r="O67" i="26" s="1"/>
  <c r="O68" i="26" s="1"/>
  <c r="O69" i="26" s="1"/>
  <c r="O70" i="26" s="1"/>
  <c r="O71" i="26" s="1"/>
  <c r="O72" i="26" s="1"/>
  <c r="O73" i="26" s="1"/>
  <c r="O74" i="26" s="1"/>
  <c r="O75" i="26" s="1"/>
  <c r="O76" i="26" s="1"/>
  <c r="O77" i="26" s="1"/>
  <c r="O78" i="26" s="1"/>
  <c r="O79" i="26" s="1"/>
  <c r="O80" i="26" s="1"/>
  <c r="O81" i="26" s="1"/>
  <c r="O82" i="26" s="1"/>
  <c r="O83" i="26" s="1"/>
  <c r="O84" i="26" s="1"/>
  <c r="O85" i="26" s="1"/>
  <c r="O86" i="26" s="1"/>
  <c r="O87" i="26" s="1"/>
  <c r="O88" i="26" s="1"/>
  <c r="O89" i="26" s="1"/>
  <c r="O90" i="26" s="1"/>
  <c r="O91" i="26" s="1"/>
  <c r="O92" i="26" s="1"/>
  <c r="O93" i="26" s="1"/>
  <c r="O94" i="26" s="1"/>
  <c r="O95" i="26" s="1"/>
  <c r="O96" i="26" s="1"/>
  <c r="O97" i="26" s="1"/>
  <c r="O98" i="26" s="1"/>
  <c r="O99" i="26" s="1"/>
  <c r="O100" i="26" s="1"/>
  <c r="O101" i="26" s="1"/>
  <c r="O102" i="26" s="1"/>
  <c r="O103" i="26" s="1"/>
  <c r="O104" i="26" s="1"/>
  <c r="O105" i="26" s="1"/>
  <c r="O106" i="26" s="1"/>
  <c r="O107" i="26" s="1"/>
  <c r="O108" i="26" s="1"/>
  <c r="O109" i="26" s="1"/>
  <c r="O110" i="26" s="1"/>
  <c r="O111" i="26" s="1"/>
  <c r="O112" i="26" s="1"/>
  <c r="O113" i="26" s="1"/>
  <c r="O114" i="26" s="1"/>
  <c r="O115" i="26" s="1"/>
  <c r="O116" i="26" s="1"/>
  <c r="O117" i="26" s="1"/>
  <c r="O118" i="26" s="1"/>
  <c r="P23" i="26"/>
  <c r="V23" i="26"/>
  <c r="Q23" i="26"/>
  <c r="Y41" i="26"/>
  <c r="Q41" i="26"/>
  <c r="S43" i="26"/>
  <c r="Z43" i="26"/>
  <c r="AF21" i="26"/>
  <c r="AF22" i="26" s="1"/>
  <c r="AF23" i="26" s="1"/>
  <c r="AF24" i="26" s="1"/>
  <c r="AF25" i="26" s="1"/>
  <c r="AF26" i="26" s="1"/>
  <c r="AF27" i="26" s="1"/>
  <c r="AF28" i="26" s="1"/>
  <c r="AF29" i="26" s="1"/>
  <c r="AF30" i="26" s="1"/>
  <c r="AF31" i="26" s="1"/>
  <c r="AF32" i="26" s="1"/>
  <c r="AF33" i="26" s="1"/>
  <c r="AF34" i="26" s="1"/>
  <c r="AF35" i="26" s="1"/>
  <c r="AF36" i="26" s="1"/>
  <c r="AF37" i="26" s="1"/>
  <c r="AF38" i="26" s="1"/>
  <c r="AF39" i="26" s="1"/>
  <c r="AF40" i="26" s="1"/>
  <c r="AF41" i="26" s="1"/>
  <c r="AF42" i="26" s="1"/>
  <c r="AF43" i="26" s="1"/>
  <c r="AF44" i="26" s="1"/>
  <c r="AF45" i="26" s="1"/>
  <c r="AF46" i="26" s="1"/>
  <c r="AF47" i="26" s="1"/>
  <c r="AF48" i="26" s="1"/>
  <c r="AF49" i="26" s="1"/>
  <c r="AF50" i="26" s="1"/>
  <c r="V22" i="26"/>
  <c r="AA23" i="26"/>
  <c r="V29" i="26"/>
  <c r="Q30" i="26"/>
  <c r="I23" i="26"/>
  <c r="I24" i="26" s="1"/>
  <c r="I25" i="26" s="1"/>
  <c r="I26" i="26" s="1"/>
  <c r="I27" i="26" s="1"/>
  <c r="I28" i="26" s="1"/>
  <c r="I29" i="26" s="1"/>
  <c r="I30" i="26" s="1"/>
  <c r="I31" i="26" s="1"/>
  <c r="I32" i="26" s="1"/>
  <c r="I33" i="26" s="1"/>
  <c r="I34" i="26" s="1"/>
  <c r="I35" i="26" s="1"/>
  <c r="I36" i="26" s="1"/>
  <c r="I37" i="26" s="1"/>
  <c r="I38" i="26" s="1"/>
  <c r="I39" i="26" s="1"/>
  <c r="I40" i="26" s="1"/>
  <c r="I41" i="26" s="1"/>
  <c r="I42" i="26" s="1"/>
  <c r="I43" i="26" s="1"/>
  <c r="I44" i="26" s="1"/>
  <c r="I45" i="26" s="1"/>
  <c r="I46" i="26" s="1"/>
  <c r="I47" i="26" s="1"/>
  <c r="I48" i="26" s="1"/>
  <c r="I49" i="26" s="1"/>
  <c r="I50" i="26" s="1"/>
  <c r="I51" i="26" s="1"/>
  <c r="I52" i="26" s="1"/>
  <c r="I53" i="26" s="1"/>
  <c r="AD21" i="26"/>
  <c r="Q22" i="26"/>
  <c r="AB23" i="26"/>
  <c r="V27" i="26"/>
  <c r="P27" i="26"/>
  <c r="W32" i="26"/>
  <c r="P34" i="26"/>
  <c r="X34" i="26"/>
  <c r="Q35" i="26"/>
  <c r="X37" i="26"/>
  <c r="Y44" i="26"/>
  <c r="Y122" i="26" s="1"/>
  <c r="AB52" i="26"/>
  <c r="Q55" i="26"/>
  <c r="P61" i="26"/>
  <c r="V61" i="26"/>
  <c r="AB75" i="26"/>
  <c r="AB123" i="26" s="1"/>
  <c r="AA75" i="26"/>
  <c r="Z75" i="26"/>
  <c r="C121" i="26"/>
  <c r="S22" i="26"/>
  <c r="AH123" i="26"/>
  <c r="S26" i="26"/>
  <c r="V28" i="26"/>
  <c r="S34" i="26"/>
  <c r="V36" i="26"/>
  <c r="Z51" i="26"/>
  <c r="S56" i="26"/>
  <c r="X57" i="26"/>
  <c r="W60" i="26"/>
  <c r="S61" i="26"/>
  <c r="S64" i="26"/>
  <c r="X65" i="26"/>
  <c r="W68" i="26"/>
  <c r="AB77" i="26"/>
  <c r="AA77" i="26"/>
  <c r="AA123" i="26" s="1"/>
  <c r="AB87" i="26"/>
  <c r="AA87" i="26"/>
  <c r="Z87" i="26"/>
  <c r="AA93" i="26"/>
  <c r="P59" i="26"/>
  <c r="V59" i="26"/>
  <c r="P67" i="26"/>
  <c r="V67" i="26"/>
  <c r="P79" i="26"/>
  <c r="V79" i="26"/>
  <c r="Q79" i="26"/>
  <c r="V99" i="26"/>
  <c r="P99" i="26"/>
  <c r="S99" i="26"/>
  <c r="Q99" i="26"/>
  <c r="Q117" i="26"/>
  <c r="P117" i="26"/>
  <c r="V117" i="26"/>
  <c r="S117" i="26"/>
  <c r="S57" i="26"/>
  <c r="S65" i="26"/>
  <c r="Z70" i="26"/>
  <c r="Z123" i="26" s="1"/>
  <c r="F122" i="26"/>
  <c r="Y110" i="26"/>
  <c r="E123" i="26"/>
  <c r="Q116" i="26"/>
  <c r="S116" i="26"/>
  <c r="P116" i="26"/>
  <c r="V116" i="26"/>
  <c r="Q59" i="26"/>
  <c r="Q67" i="26"/>
  <c r="P71" i="26"/>
  <c r="V71" i="26"/>
  <c r="Q71" i="26"/>
  <c r="S79" i="26"/>
  <c r="P103" i="26"/>
  <c r="V103" i="26"/>
  <c r="S103" i="26"/>
  <c r="Q103" i="26"/>
  <c r="X106" i="26"/>
  <c r="P106" i="26"/>
  <c r="V57" i="26"/>
  <c r="V65" i="26"/>
  <c r="W93" i="26"/>
  <c r="H121" i="26"/>
  <c r="V52" i="26"/>
  <c r="V122" i="26" s="1"/>
  <c r="Q52" i="26"/>
  <c r="X60" i="26"/>
  <c r="Z60" i="26"/>
  <c r="P26" i="26"/>
  <c r="Q31" i="26"/>
  <c r="S33" i="26"/>
  <c r="X51" i="26"/>
  <c r="W52" i="26"/>
  <c r="AA56" i="26"/>
  <c r="W57" i="26"/>
  <c r="S59" i="26"/>
  <c r="Y60" i="26"/>
  <c r="AA64" i="26"/>
  <c r="W65" i="26"/>
  <c r="S67" i="26"/>
  <c r="Y68" i="26"/>
  <c r="X69" i="26"/>
  <c r="D122" i="26"/>
  <c r="S71" i="26"/>
  <c r="S78" i="26"/>
  <c r="Z79" i="26"/>
  <c r="P83" i="26"/>
  <c r="V83" i="26"/>
  <c r="Q83" i="26"/>
  <c r="S83" i="26"/>
  <c r="P111" i="26"/>
  <c r="V111" i="26"/>
  <c r="Q111" i="26"/>
  <c r="S111" i="26"/>
  <c r="S24" i="26"/>
  <c r="D121" i="26"/>
  <c r="S38" i="26"/>
  <c r="W69" i="26"/>
  <c r="C122" i="26"/>
  <c r="R122" i="26"/>
  <c r="P22" i="26"/>
  <c r="N122" i="26" s="1"/>
  <c r="AB21" i="26"/>
  <c r="P29" i="26"/>
  <c r="P37" i="26"/>
  <c r="S40" i="26"/>
  <c r="P41" i="26"/>
  <c r="S41" i="26"/>
  <c r="S42" i="26"/>
  <c r="S46" i="26"/>
  <c r="S48" i="26"/>
  <c r="X52" i="26"/>
  <c r="P52" i="26"/>
  <c r="X56" i="26"/>
  <c r="P57" i="26"/>
  <c r="Q57" i="26"/>
  <c r="Q61" i="26"/>
  <c r="AB63" i="26"/>
  <c r="V63" i="26"/>
  <c r="X64" i="26"/>
  <c r="P65" i="26"/>
  <c r="Q65" i="26"/>
  <c r="E122" i="26"/>
  <c r="Y69" i="26"/>
  <c r="S70" i="26"/>
  <c r="AA79" i="26"/>
  <c r="W83" i="26"/>
  <c r="V84" i="26"/>
  <c r="P84" i="26"/>
  <c r="Q84" i="26"/>
  <c r="Z91" i="26"/>
  <c r="S91" i="26"/>
  <c r="Y93" i="26"/>
  <c r="Z104" i="26"/>
  <c r="V104" i="26"/>
  <c r="B121" i="26"/>
  <c r="AC21" i="26"/>
  <c r="AC22" i="26" s="1"/>
  <c r="AC23" i="26" s="1"/>
  <c r="AC24" i="26" s="1"/>
  <c r="AC25" i="26" s="1"/>
  <c r="AC26" i="26" s="1"/>
  <c r="AC27" i="26" s="1"/>
  <c r="AC28" i="26" s="1"/>
  <c r="AC29" i="26" s="1"/>
  <c r="AC30" i="26" s="1"/>
  <c r="AC31" i="26" s="1"/>
  <c r="AC32" i="26" s="1"/>
  <c r="AC33" i="26" s="1"/>
  <c r="AC34" i="26" s="1"/>
  <c r="AC35" i="26" s="1"/>
  <c r="AC36" i="26" s="1"/>
  <c r="AC37" i="26" s="1"/>
  <c r="AC38" i="26" s="1"/>
  <c r="AC39" i="26" s="1"/>
  <c r="AC40" i="26" s="1"/>
  <c r="AC41" i="26" s="1"/>
  <c r="AC42" i="26" s="1"/>
  <c r="AC43" i="26" s="1"/>
  <c r="AC44" i="26" s="1"/>
  <c r="AC45" i="26" s="1"/>
  <c r="AC46" i="26" s="1"/>
  <c r="AC47" i="26" s="1"/>
  <c r="AC48" i="26" s="1"/>
  <c r="AC49" i="26" s="1"/>
  <c r="AC50" i="26" s="1"/>
  <c r="AC51" i="26" s="1"/>
  <c r="AC52" i="26" s="1"/>
  <c r="AC53" i="26" s="1"/>
  <c r="AC54" i="26" s="1"/>
  <c r="AC55" i="26" s="1"/>
  <c r="AC56" i="26" s="1"/>
  <c r="AC57" i="26" s="1"/>
  <c r="AC58" i="26" s="1"/>
  <c r="AC59" i="26" s="1"/>
  <c r="AC60" i="26" s="1"/>
  <c r="AC61" i="26" s="1"/>
  <c r="AC62" i="26" s="1"/>
  <c r="AC63" i="26" s="1"/>
  <c r="AC64" i="26" s="1"/>
  <c r="AC65" i="26" s="1"/>
  <c r="AC66" i="26" s="1"/>
  <c r="AC67" i="26" s="1"/>
  <c r="AC68" i="26" s="1"/>
  <c r="AC69" i="26" s="1"/>
  <c r="AC70" i="26" s="1"/>
  <c r="AC71" i="26" s="1"/>
  <c r="AC72" i="26" s="1"/>
  <c r="AC73" i="26" s="1"/>
  <c r="AC74" i="26" s="1"/>
  <c r="AC75" i="26" s="1"/>
  <c r="AC76" i="26" s="1"/>
  <c r="AC77" i="26" s="1"/>
  <c r="AC78" i="26" s="1"/>
  <c r="AC79" i="26" s="1"/>
  <c r="AC80" i="26" s="1"/>
  <c r="AC81" i="26" s="1"/>
  <c r="AC82" i="26" s="1"/>
  <c r="AC83" i="26" s="1"/>
  <c r="AC84" i="26" s="1"/>
  <c r="AC85" i="26" s="1"/>
  <c r="AC86" i="26" s="1"/>
  <c r="AC87" i="26" s="1"/>
  <c r="AC88" i="26" s="1"/>
  <c r="AC89" i="26" s="1"/>
  <c r="AC90" i="26" s="1"/>
  <c r="AC91" i="26" s="1"/>
  <c r="AC92" i="26" s="1"/>
  <c r="AC93" i="26" s="1"/>
  <c r="AC94" i="26" s="1"/>
  <c r="AC95" i="26" s="1"/>
  <c r="AC96" i="26" s="1"/>
  <c r="AC97" i="26" s="1"/>
  <c r="AC98" i="26" s="1"/>
  <c r="AC99" i="26" s="1"/>
  <c r="AC100" i="26" s="1"/>
  <c r="AC101" i="26" s="1"/>
  <c r="AC102" i="26" s="1"/>
  <c r="AC103" i="26" s="1"/>
  <c r="AC104" i="26" s="1"/>
  <c r="AC105" i="26" s="1"/>
  <c r="AC106" i="26" s="1"/>
  <c r="AC107" i="26" s="1"/>
  <c r="AC108" i="26" s="1"/>
  <c r="AC109" i="26" s="1"/>
  <c r="AC110" i="26" s="1"/>
  <c r="AC111" i="26" s="1"/>
  <c r="AC112" i="26" s="1"/>
  <c r="AC113" i="26" s="1"/>
  <c r="AC114" i="26" s="1"/>
  <c r="AC115" i="26" s="1"/>
  <c r="AC116" i="26" s="1"/>
  <c r="AC117" i="26" s="1"/>
  <c r="AC118" i="26" s="1"/>
  <c r="X27" i="26"/>
  <c r="AE27" i="26" s="1"/>
  <c r="AE28" i="26" s="1"/>
  <c r="AE29" i="26" s="1"/>
  <c r="AE30" i="26" s="1"/>
  <c r="AE31" i="26" s="1"/>
  <c r="AE32" i="26" s="1"/>
  <c r="AE33" i="26" s="1"/>
  <c r="AE34" i="26" s="1"/>
  <c r="AE35" i="26" s="1"/>
  <c r="AE36" i="26" s="1"/>
  <c r="AE37" i="26" s="1"/>
  <c r="AE38" i="26" s="1"/>
  <c r="AE39" i="26" s="1"/>
  <c r="AE40" i="26" s="1"/>
  <c r="AE41" i="26" s="1"/>
  <c r="AE42" i="26" s="1"/>
  <c r="AE43" i="26" s="1"/>
  <c r="AE44" i="26" s="1"/>
  <c r="AE45" i="26" s="1"/>
  <c r="AE46" i="26" s="1"/>
  <c r="AE47" i="26" s="1"/>
  <c r="AE48" i="26" s="1"/>
  <c r="AE49" i="26" s="1"/>
  <c r="AE50" i="26" s="1"/>
  <c r="AE51" i="26" s="1"/>
  <c r="AE52" i="26" s="1"/>
  <c r="AE53" i="26" s="1"/>
  <c r="AE54" i="26" s="1"/>
  <c r="AE55" i="26" s="1"/>
  <c r="AE56" i="26" s="1"/>
  <c r="AE57" i="26" s="1"/>
  <c r="AE58" i="26" s="1"/>
  <c r="AE59" i="26" s="1"/>
  <c r="AE60" i="26" s="1"/>
  <c r="AE61" i="26" s="1"/>
  <c r="AE62" i="26" s="1"/>
  <c r="AE63" i="26" s="1"/>
  <c r="AE64" i="26" s="1"/>
  <c r="AE65" i="26" s="1"/>
  <c r="AE66" i="26" s="1"/>
  <c r="AE67" i="26" s="1"/>
  <c r="AE68" i="26" s="1"/>
  <c r="AE69" i="26" s="1"/>
  <c r="AE70" i="26" s="1"/>
  <c r="AE71" i="26" s="1"/>
  <c r="AE72" i="26" s="1"/>
  <c r="AE73" i="26" s="1"/>
  <c r="AE74" i="26" s="1"/>
  <c r="AE75" i="26" s="1"/>
  <c r="AE76" i="26" s="1"/>
  <c r="AE77" i="26" s="1"/>
  <c r="AE78" i="26" s="1"/>
  <c r="AE79" i="26" s="1"/>
  <c r="AE80" i="26" s="1"/>
  <c r="AE81" i="26" s="1"/>
  <c r="AE82" i="26" s="1"/>
  <c r="AE83" i="26" s="1"/>
  <c r="AE84" i="26" s="1"/>
  <c r="AE85" i="26" s="1"/>
  <c r="AE86" i="26" s="1"/>
  <c r="AE87" i="26" s="1"/>
  <c r="AE88" i="26" s="1"/>
  <c r="AE89" i="26" s="1"/>
  <c r="AE90" i="26" s="1"/>
  <c r="AE91" i="26" s="1"/>
  <c r="AE92" i="26" s="1"/>
  <c r="AE93" i="26" s="1"/>
  <c r="AE94" i="26" s="1"/>
  <c r="AE95" i="26" s="1"/>
  <c r="AE96" i="26" s="1"/>
  <c r="AE97" i="26" s="1"/>
  <c r="AE98" i="26" s="1"/>
  <c r="AE99" i="26" s="1"/>
  <c r="AE100" i="26" s="1"/>
  <c r="AE101" i="26" s="1"/>
  <c r="AE102" i="26" s="1"/>
  <c r="AE103" i="26" s="1"/>
  <c r="AE104" i="26" s="1"/>
  <c r="AE105" i="26" s="1"/>
  <c r="AE106" i="26" s="1"/>
  <c r="AE107" i="26" s="1"/>
  <c r="AE108" i="26" s="1"/>
  <c r="AE109" i="26" s="1"/>
  <c r="AE110" i="26" s="1"/>
  <c r="AE111" i="26" s="1"/>
  <c r="AE112" i="26" s="1"/>
  <c r="AE113" i="26" s="1"/>
  <c r="AE114" i="26" s="1"/>
  <c r="AE115" i="26" s="1"/>
  <c r="AE116" i="26" s="1"/>
  <c r="AE117" i="26" s="1"/>
  <c r="AE118" i="26" s="1"/>
  <c r="V40" i="26"/>
  <c r="Q46" i="26"/>
  <c r="V48" i="26"/>
  <c r="X49" i="26"/>
  <c r="Q51" i="26"/>
  <c r="Y51" i="26"/>
  <c r="AB55" i="26"/>
  <c r="W55" i="26"/>
  <c r="Y56" i="26"/>
  <c r="Y58" i="26"/>
  <c r="V60" i="26"/>
  <c r="Q60" i="26"/>
  <c r="AA63" i="26"/>
  <c r="W63" i="26"/>
  <c r="Y64" i="26"/>
  <c r="Y66" i="26"/>
  <c r="V68" i="26"/>
  <c r="Q68" i="26"/>
  <c r="P81" i="26"/>
  <c r="V81" i="26"/>
  <c r="Q81" i="26"/>
  <c r="S81" i="26"/>
  <c r="X83" i="26"/>
  <c r="Z85" i="26"/>
  <c r="S85" i="26"/>
  <c r="W87" i="26"/>
  <c r="Z93" i="26"/>
  <c r="S58" i="26"/>
  <c r="AB60" i="26"/>
  <c r="S66" i="26"/>
  <c r="AB68" i="26"/>
  <c r="B122" i="26"/>
  <c r="P69" i="26"/>
  <c r="V69" i="26"/>
  <c r="Q69" i="26"/>
  <c r="Y75" i="26"/>
  <c r="X93" i="26"/>
  <c r="Q96" i="26"/>
  <c r="P96" i="26"/>
  <c r="S96" i="26"/>
  <c r="Q100" i="26"/>
  <c r="S100" i="26"/>
  <c r="P100" i="26"/>
  <c r="V100" i="26"/>
  <c r="V54" i="26"/>
  <c r="AB56" i="26"/>
  <c r="S62" i="26"/>
  <c r="AB64" i="26"/>
  <c r="S69" i="26"/>
  <c r="S76" i="26"/>
  <c r="P77" i="26"/>
  <c r="V77" i="26"/>
  <c r="Q77" i="26"/>
  <c r="W79" i="26"/>
  <c r="X81" i="26"/>
  <c r="Y83" i="26"/>
  <c r="AA95" i="26"/>
  <c r="AB95" i="26"/>
  <c r="V96" i="26"/>
  <c r="Z112" i="26"/>
  <c r="S112" i="26"/>
  <c r="P58" i="26"/>
  <c r="P63" i="26"/>
  <c r="S63" i="26"/>
  <c r="P66" i="26"/>
  <c r="AH124" i="26"/>
  <c r="S74" i="26"/>
  <c r="P75" i="26"/>
  <c r="V75" i="26"/>
  <c r="Q75" i="26"/>
  <c r="W77" i="26"/>
  <c r="X79" i="26"/>
  <c r="Y81" i="26"/>
  <c r="Z102" i="26"/>
  <c r="S102" i="26"/>
  <c r="C123" i="26"/>
  <c r="Q124" i="26" s="1"/>
  <c r="W109" i="26"/>
  <c r="W124" i="26" s="1"/>
  <c r="X55" i="26"/>
  <c r="AB58" i="26"/>
  <c r="AB66" i="26"/>
  <c r="Z68" i="26"/>
  <c r="AI124" i="26"/>
  <c r="S72" i="26"/>
  <c r="P73" i="26"/>
  <c r="N123" i="26" s="1"/>
  <c r="V73" i="26"/>
  <c r="Q73" i="26"/>
  <c r="W75" i="26"/>
  <c r="X77" i="26"/>
  <c r="Y79" i="26"/>
  <c r="S80" i="26"/>
  <c r="Z80" i="26"/>
  <c r="Q87" i="26"/>
  <c r="P87" i="26"/>
  <c r="S87" i="26"/>
  <c r="X124" i="26"/>
  <c r="D123" i="26"/>
  <c r="S86" i="26"/>
  <c r="Q89" i="26"/>
  <c r="P89" i="26"/>
  <c r="V89" i="26"/>
  <c r="S90" i="26"/>
  <c r="V90" i="26"/>
  <c r="Q91" i="26"/>
  <c r="P101" i="26"/>
  <c r="X104" i="26"/>
  <c r="B123" i="26"/>
  <c r="Q109" i="26"/>
  <c r="P109" i="26"/>
  <c r="S109" i="26"/>
  <c r="X87" i="26"/>
  <c r="S88" i="26"/>
  <c r="S89" i="26"/>
  <c r="AB93" i="26"/>
  <c r="Q95" i="26"/>
  <c r="P95" i="26"/>
  <c r="Q108" i="26"/>
  <c r="S108" i="26"/>
  <c r="P108" i="26"/>
  <c r="G122" i="26"/>
  <c r="Q85" i="26"/>
  <c r="P85" i="26"/>
  <c r="V85" i="26"/>
  <c r="Y87" i="26"/>
  <c r="W95" i="26"/>
  <c r="S101" i="26"/>
  <c r="Q104" i="26"/>
  <c r="P104" i="26"/>
  <c r="W108" i="26"/>
  <c r="R124" i="26"/>
  <c r="V109" i="26"/>
  <c r="H122" i="26"/>
  <c r="W85" i="26"/>
  <c r="V86" i="26"/>
  <c r="S92" i="26"/>
  <c r="V92" i="26"/>
  <c r="X95" i="26"/>
  <c r="Z96" i="26"/>
  <c r="AB100" i="26"/>
  <c r="W104" i="26"/>
  <c r="X108" i="26"/>
  <c r="Q118" i="26"/>
  <c r="P118" i="26"/>
  <c r="S118" i="26"/>
  <c r="V118" i="26"/>
  <c r="Q93" i="26"/>
  <c r="S94" i="26"/>
  <c r="Q110" i="26"/>
  <c r="P110" i="26"/>
  <c r="P93" i="26"/>
  <c r="P94" i="26"/>
  <c r="Y95" i="26"/>
  <c r="Q101" i="26"/>
  <c r="Q105" i="26"/>
  <c r="Z109" i="26"/>
  <c r="F123" i="26"/>
  <c r="P91" i="26"/>
  <c r="Q98" i="26"/>
  <c r="Y100" i="26"/>
  <c r="G123" i="26"/>
  <c r="AH125" i="26"/>
  <c r="AB110" i="26"/>
  <c r="AB124" i="26" s="1"/>
  <c r="S110" i="26"/>
  <c r="Q112" i="26"/>
  <c r="P112" i="26"/>
  <c r="V113" i="26"/>
  <c r="P113" i="26"/>
  <c r="S93" i="26"/>
  <c r="V98" i="26"/>
  <c r="Q102" i="26"/>
  <c r="P102" i="26"/>
  <c r="S105" i="26"/>
  <c r="Q106" i="26"/>
  <c r="Y108" i="26"/>
  <c r="H123" i="26"/>
  <c r="AA109" i="26"/>
  <c r="AA124" i="26" s="1"/>
  <c r="AB118" i="26"/>
  <c r="AI125" i="26"/>
  <c r="Y118" i="26"/>
  <c r="Y124" i="26" s="1"/>
  <c r="Q114" i="26"/>
  <c r="Y96" i="26"/>
  <c r="Y104" i="26"/>
  <c r="Y112" i="26"/>
  <c r="Q36" i="1"/>
  <c r="B25" i="13"/>
  <c r="X127" i="26" l="1"/>
  <c r="X126" i="26"/>
  <c r="X128" i="26"/>
  <c r="L123" i="26"/>
  <c r="M123" i="26"/>
  <c r="W123" i="26"/>
  <c r="X123" i="26"/>
  <c r="E128" i="26"/>
  <c r="E127" i="26"/>
  <c r="E126" i="26"/>
  <c r="Q122" i="26"/>
  <c r="H126" i="26"/>
  <c r="H128" i="26"/>
  <c r="H127" i="26"/>
  <c r="AA122" i="26"/>
  <c r="AH21" i="26"/>
  <c r="AH22" i="26" s="1"/>
  <c r="AH23" i="26" s="1"/>
  <c r="AH24" i="26" s="1"/>
  <c r="AH25" i="26" s="1"/>
  <c r="AH26" i="26" s="1"/>
  <c r="AH27" i="26" s="1"/>
  <c r="AH28" i="26" s="1"/>
  <c r="AH29" i="26" s="1"/>
  <c r="AH30" i="26" s="1"/>
  <c r="AH31" i="26" s="1"/>
  <c r="AH32" i="26" s="1"/>
  <c r="AH33" i="26" s="1"/>
  <c r="AH34" i="26" s="1"/>
  <c r="AH35" i="26" s="1"/>
  <c r="AH36" i="26" s="1"/>
  <c r="AH37" i="26" s="1"/>
  <c r="AH38" i="26" s="1"/>
  <c r="AH39" i="26" s="1"/>
  <c r="AH40" i="26" s="1"/>
  <c r="AH41" i="26" s="1"/>
  <c r="AH42" i="26" s="1"/>
  <c r="AH43" i="26" s="1"/>
  <c r="AH44" i="26" s="1"/>
  <c r="AH45" i="26" s="1"/>
  <c r="AH46" i="26" s="1"/>
  <c r="AH47" i="26" s="1"/>
  <c r="AH48" i="26" s="1"/>
  <c r="AH49" i="26" s="1"/>
  <c r="AH50" i="26" s="1"/>
  <c r="AH51" i="26" s="1"/>
  <c r="AH52" i="26" s="1"/>
  <c r="AH53" i="26" s="1"/>
  <c r="AH54" i="26" s="1"/>
  <c r="AH55" i="26" s="1"/>
  <c r="AH56" i="26" s="1"/>
  <c r="AH57" i="26" s="1"/>
  <c r="AH58" i="26" s="1"/>
  <c r="AH59" i="26" s="1"/>
  <c r="AH60" i="26" s="1"/>
  <c r="AH61" i="26" s="1"/>
  <c r="AH62" i="26" s="1"/>
  <c r="AH63" i="26" s="1"/>
  <c r="AH64" i="26" s="1"/>
  <c r="AH65" i="26" s="1"/>
  <c r="AH66" i="26" s="1"/>
  <c r="AH67" i="26" s="1"/>
  <c r="AH68" i="26" s="1"/>
  <c r="AH69" i="26" s="1"/>
  <c r="AH70" i="26" s="1"/>
  <c r="AH71" i="26" s="1"/>
  <c r="AH72" i="26" s="1"/>
  <c r="AH73" i="26" s="1"/>
  <c r="AH74" i="26" s="1"/>
  <c r="AH75" i="26" s="1"/>
  <c r="AH76" i="26" s="1"/>
  <c r="AH77" i="26" s="1"/>
  <c r="AH78" i="26" s="1"/>
  <c r="AH79" i="26" s="1"/>
  <c r="AH80" i="26" s="1"/>
  <c r="AH81" i="26" s="1"/>
  <c r="AH82" i="26" s="1"/>
  <c r="AH83" i="26" s="1"/>
  <c r="AH84" i="26" s="1"/>
  <c r="AH85" i="26" s="1"/>
  <c r="AH86" i="26" s="1"/>
  <c r="AH87" i="26" s="1"/>
  <c r="AH88" i="26" s="1"/>
  <c r="AH89" i="26" s="1"/>
  <c r="AH90" i="26" s="1"/>
  <c r="AH91" i="26" s="1"/>
  <c r="AH92" i="26" s="1"/>
  <c r="AH93" i="26" s="1"/>
  <c r="AH94" i="26" s="1"/>
  <c r="AH95" i="26" s="1"/>
  <c r="AH96" i="26" s="1"/>
  <c r="AH97" i="26" s="1"/>
  <c r="AH98" i="26" s="1"/>
  <c r="AH99" i="26" s="1"/>
  <c r="AH100" i="26" s="1"/>
  <c r="AH101" i="26" s="1"/>
  <c r="AH102" i="26" s="1"/>
  <c r="AH103" i="26" s="1"/>
  <c r="AH104" i="26" s="1"/>
  <c r="AH105" i="26" s="1"/>
  <c r="AH106" i="26" s="1"/>
  <c r="AH107" i="26" s="1"/>
  <c r="AH108" i="26" s="1"/>
  <c r="AH109" i="26" s="1"/>
  <c r="AH110" i="26" s="1"/>
  <c r="AH111" i="26" s="1"/>
  <c r="AH112" i="26" s="1"/>
  <c r="AH113" i="26" s="1"/>
  <c r="AH114" i="26" s="1"/>
  <c r="AH115" i="26" s="1"/>
  <c r="AH116" i="26" s="1"/>
  <c r="AH117" i="26" s="1"/>
  <c r="AH118" i="26" s="1"/>
  <c r="Z122" i="26"/>
  <c r="AG21" i="26"/>
  <c r="AG22" i="26" s="1"/>
  <c r="AG23" i="26" s="1"/>
  <c r="AG24" i="26" s="1"/>
  <c r="AG25" i="26" s="1"/>
  <c r="AG26" i="26" s="1"/>
  <c r="AG27" i="26" s="1"/>
  <c r="AG28" i="26" s="1"/>
  <c r="AG29" i="26" s="1"/>
  <c r="AG30" i="26" s="1"/>
  <c r="AG31" i="26" s="1"/>
  <c r="AG32" i="26" s="1"/>
  <c r="AG33" i="26" s="1"/>
  <c r="AG34" i="26" s="1"/>
  <c r="AG35" i="26" s="1"/>
  <c r="AG36" i="26" s="1"/>
  <c r="AG37" i="26" s="1"/>
  <c r="AG38" i="26" s="1"/>
  <c r="AG39" i="26" s="1"/>
  <c r="AG40" i="26" s="1"/>
  <c r="AG41" i="26" s="1"/>
  <c r="AG42" i="26" s="1"/>
  <c r="AG43" i="26" s="1"/>
  <c r="AG44" i="26" s="1"/>
  <c r="AG45" i="26" s="1"/>
  <c r="AG46" i="26" s="1"/>
  <c r="AG47" i="26" s="1"/>
  <c r="AG48" i="26" s="1"/>
  <c r="AG49" i="26" s="1"/>
  <c r="AG50" i="26" s="1"/>
  <c r="AG51" i="26" s="1"/>
  <c r="AG52" i="26" s="1"/>
  <c r="AG53" i="26" s="1"/>
  <c r="AG54" i="26" s="1"/>
  <c r="AG55" i="26" s="1"/>
  <c r="AG56" i="26" s="1"/>
  <c r="AG57" i="26" s="1"/>
  <c r="AG58" i="26" s="1"/>
  <c r="AG59" i="26" s="1"/>
  <c r="AG60" i="26" s="1"/>
  <c r="AG61" i="26" s="1"/>
  <c r="AG62" i="26" s="1"/>
  <c r="AG63" i="26" s="1"/>
  <c r="AG64" i="26" s="1"/>
  <c r="AG65" i="26" s="1"/>
  <c r="AG66" i="26" s="1"/>
  <c r="AG67" i="26" s="1"/>
  <c r="AG68" i="26" s="1"/>
  <c r="AG69" i="26" s="1"/>
  <c r="AG70" i="26" s="1"/>
  <c r="AG71" i="26" s="1"/>
  <c r="AG72" i="26" s="1"/>
  <c r="AG73" i="26" s="1"/>
  <c r="AG74" i="26" s="1"/>
  <c r="AG75" i="26" s="1"/>
  <c r="AG76" i="26" s="1"/>
  <c r="AG77" i="26" s="1"/>
  <c r="AG78" i="26" s="1"/>
  <c r="AG79" i="26" s="1"/>
  <c r="AG80" i="26" s="1"/>
  <c r="AG81" i="26" s="1"/>
  <c r="AG82" i="26" s="1"/>
  <c r="AG83" i="26" s="1"/>
  <c r="AG84" i="26" s="1"/>
  <c r="AG85" i="26" s="1"/>
  <c r="AG86" i="26" s="1"/>
  <c r="AG87" i="26" s="1"/>
  <c r="AG88" i="26" s="1"/>
  <c r="AG89" i="26" s="1"/>
  <c r="AG90" i="26" s="1"/>
  <c r="AG91" i="26" s="1"/>
  <c r="AG92" i="26" s="1"/>
  <c r="AG93" i="26" s="1"/>
  <c r="AG94" i="26" s="1"/>
  <c r="AG95" i="26" s="1"/>
  <c r="AG96" i="26" s="1"/>
  <c r="AG97" i="26" s="1"/>
  <c r="AG98" i="26" s="1"/>
  <c r="AG99" i="26" s="1"/>
  <c r="AG100" i="26" s="1"/>
  <c r="AG101" i="26" s="1"/>
  <c r="AG102" i="26" s="1"/>
  <c r="AG103" i="26" s="1"/>
  <c r="AG104" i="26" s="1"/>
  <c r="AG105" i="26" s="1"/>
  <c r="AG106" i="26" s="1"/>
  <c r="AG107" i="26" s="1"/>
  <c r="AG108" i="26" s="1"/>
  <c r="AG109" i="26" s="1"/>
  <c r="AG110" i="26" s="1"/>
  <c r="AG111" i="26" s="1"/>
  <c r="AG112" i="26" s="1"/>
  <c r="AG113" i="26" s="1"/>
  <c r="AG114" i="26" s="1"/>
  <c r="AG115" i="26" s="1"/>
  <c r="AG116" i="26" s="1"/>
  <c r="AG117" i="26" s="1"/>
  <c r="AG118" i="26" s="1"/>
  <c r="Z124" i="26"/>
  <c r="AB122" i="26"/>
  <c r="AI21" i="26"/>
  <c r="AI22" i="26" s="1"/>
  <c r="AI23" i="26" s="1"/>
  <c r="AI24" i="26" s="1"/>
  <c r="AI25" i="26" s="1"/>
  <c r="AI26" i="26" s="1"/>
  <c r="AI27" i="26" s="1"/>
  <c r="AI28" i="26" s="1"/>
  <c r="AI29" i="26" s="1"/>
  <c r="AI30" i="26" s="1"/>
  <c r="AI31" i="26" s="1"/>
  <c r="AI32" i="26" s="1"/>
  <c r="AI33" i="26" s="1"/>
  <c r="AI34" i="26" s="1"/>
  <c r="AI35" i="26" s="1"/>
  <c r="AI36" i="26" s="1"/>
  <c r="AI37" i="26" s="1"/>
  <c r="AI38" i="26" s="1"/>
  <c r="AI39" i="26" s="1"/>
  <c r="AI40" i="26" s="1"/>
  <c r="AI41" i="26" s="1"/>
  <c r="AI42" i="26" s="1"/>
  <c r="AI43" i="26" s="1"/>
  <c r="AI44" i="26" s="1"/>
  <c r="AI45" i="26" s="1"/>
  <c r="AI46" i="26" s="1"/>
  <c r="AI47" i="26" s="1"/>
  <c r="AI48" i="26" s="1"/>
  <c r="AI49" i="26" s="1"/>
  <c r="AI50" i="26" s="1"/>
  <c r="AI51" i="26" s="1"/>
  <c r="AI52" i="26" s="1"/>
  <c r="AI53" i="26" s="1"/>
  <c r="AI54" i="26" s="1"/>
  <c r="AI55" i="26" s="1"/>
  <c r="AI56" i="26" s="1"/>
  <c r="AI57" i="26" s="1"/>
  <c r="AI58" i="26" s="1"/>
  <c r="AI59" i="26" s="1"/>
  <c r="AI60" i="26" s="1"/>
  <c r="AI61" i="26" s="1"/>
  <c r="AI62" i="26" s="1"/>
  <c r="AI63" i="26" s="1"/>
  <c r="AI64" i="26" s="1"/>
  <c r="AI65" i="26" s="1"/>
  <c r="AI66" i="26" s="1"/>
  <c r="AI67" i="26" s="1"/>
  <c r="AI68" i="26" s="1"/>
  <c r="AI69" i="26" s="1"/>
  <c r="AI70" i="26" s="1"/>
  <c r="AI71" i="26" s="1"/>
  <c r="AI72" i="26" s="1"/>
  <c r="AI73" i="26" s="1"/>
  <c r="AI74" i="26" s="1"/>
  <c r="AI75" i="26" s="1"/>
  <c r="AI76" i="26" s="1"/>
  <c r="AI77" i="26" s="1"/>
  <c r="AI78" i="26" s="1"/>
  <c r="AI79" i="26" s="1"/>
  <c r="AI80" i="26" s="1"/>
  <c r="AI81" i="26" s="1"/>
  <c r="AI82" i="26" s="1"/>
  <c r="AI83" i="26" s="1"/>
  <c r="AI84" i="26" s="1"/>
  <c r="AI85" i="26" s="1"/>
  <c r="AI86" i="26" s="1"/>
  <c r="AI87" i="26" s="1"/>
  <c r="AI88" i="26" s="1"/>
  <c r="AI89" i="26" s="1"/>
  <c r="AI90" i="26" s="1"/>
  <c r="AI91" i="26" s="1"/>
  <c r="AI92" i="26" s="1"/>
  <c r="AI93" i="26" s="1"/>
  <c r="AI94" i="26" s="1"/>
  <c r="AI95" i="26" s="1"/>
  <c r="AI96" i="26" s="1"/>
  <c r="AI97" i="26" s="1"/>
  <c r="AI98" i="26" s="1"/>
  <c r="AI99" i="26" s="1"/>
  <c r="AI100" i="26" s="1"/>
  <c r="AI101" i="26" s="1"/>
  <c r="AI102" i="26" s="1"/>
  <c r="AI103" i="26" s="1"/>
  <c r="AI104" i="26" s="1"/>
  <c r="AI105" i="26" s="1"/>
  <c r="AI106" i="26" s="1"/>
  <c r="AI107" i="26" s="1"/>
  <c r="AI108" i="26" s="1"/>
  <c r="AI109" i="26" s="1"/>
  <c r="AI110" i="26" s="1"/>
  <c r="AI111" i="26" s="1"/>
  <c r="AI112" i="26" s="1"/>
  <c r="AI113" i="26" s="1"/>
  <c r="AI114" i="26" s="1"/>
  <c r="AI115" i="26" s="1"/>
  <c r="AI116" i="26" s="1"/>
  <c r="AI117" i="26" s="1"/>
  <c r="AI118" i="26" s="1"/>
  <c r="AD22" i="26"/>
  <c r="AD23" i="26" s="1"/>
  <c r="AD24" i="26" s="1"/>
  <c r="AD25" i="26" s="1"/>
  <c r="AD26" i="26" s="1"/>
  <c r="AD27" i="26" s="1"/>
  <c r="AD28" i="26" s="1"/>
  <c r="AD29" i="26" s="1"/>
  <c r="AD30" i="26" s="1"/>
  <c r="AD31" i="26" s="1"/>
  <c r="AD32" i="26" s="1"/>
  <c r="AD33" i="26" s="1"/>
  <c r="AD34" i="26" s="1"/>
  <c r="AD35" i="26" s="1"/>
  <c r="AD36" i="26" s="1"/>
  <c r="AD37" i="26" s="1"/>
  <c r="AD38" i="26" s="1"/>
  <c r="AD39" i="26" s="1"/>
  <c r="AD40" i="26" s="1"/>
  <c r="AD41" i="26" s="1"/>
  <c r="AD42" i="26" s="1"/>
  <c r="AD43" i="26" s="1"/>
  <c r="AD44" i="26" s="1"/>
  <c r="AD45" i="26" s="1"/>
  <c r="AD46" i="26" s="1"/>
  <c r="AD47" i="26" s="1"/>
  <c r="AD48" i="26" s="1"/>
  <c r="AD49" i="26" s="1"/>
  <c r="AD50" i="26" s="1"/>
  <c r="AD51" i="26" s="1"/>
  <c r="AD52" i="26" s="1"/>
  <c r="AD53" i="26" s="1"/>
  <c r="AD54" i="26" s="1"/>
  <c r="AD55" i="26" s="1"/>
  <c r="AD56" i="26" s="1"/>
  <c r="AD57" i="26" s="1"/>
  <c r="AD58" i="26" s="1"/>
  <c r="AD59" i="26" s="1"/>
  <c r="AD60" i="26" s="1"/>
  <c r="AD61" i="26" s="1"/>
  <c r="AD62" i="26" s="1"/>
  <c r="AD63" i="26" s="1"/>
  <c r="AD64" i="26" s="1"/>
  <c r="AD65" i="26" s="1"/>
  <c r="AD66" i="26" s="1"/>
  <c r="AD67" i="26" s="1"/>
  <c r="AD68" i="26" s="1"/>
  <c r="AD69" i="26" s="1"/>
  <c r="AD70" i="26" s="1"/>
  <c r="AD71" i="26" s="1"/>
  <c r="AD72" i="26" s="1"/>
  <c r="AD73" i="26" s="1"/>
  <c r="AD74" i="26" s="1"/>
  <c r="AD75" i="26" s="1"/>
  <c r="AD76" i="26" s="1"/>
  <c r="AD77" i="26" s="1"/>
  <c r="AD78" i="26" s="1"/>
  <c r="AD79" i="26" s="1"/>
  <c r="AD80" i="26" s="1"/>
  <c r="AD81" i="26" s="1"/>
  <c r="AD82" i="26" s="1"/>
  <c r="AD83" i="26" s="1"/>
  <c r="AD84" i="26" s="1"/>
  <c r="AD85" i="26" s="1"/>
  <c r="AD86" i="26" s="1"/>
  <c r="AD87" i="26" s="1"/>
  <c r="AD88" i="26" s="1"/>
  <c r="AD89" i="26" s="1"/>
  <c r="AD90" i="26" s="1"/>
  <c r="AD91" i="26" s="1"/>
  <c r="AD92" i="26" s="1"/>
  <c r="AD93" i="26" s="1"/>
  <c r="AD94" i="26" s="1"/>
  <c r="AD95" i="26" s="1"/>
  <c r="AD96" i="26" s="1"/>
  <c r="AD97" i="26" s="1"/>
  <c r="AD98" i="26" s="1"/>
  <c r="AD99" i="26" s="1"/>
  <c r="AD100" i="26" s="1"/>
  <c r="AD101" i="26" s="1"/>
  <c r="AD102" i="26" s="1"/>
  <c r="AD103" i="26" s="1"/>
  <c r="AD104" i="26" s="1"/>
  <c r="AD105" i="26" s="1"/>
  <c r="AD106" i="26" s="1"/>
  <c r="AD107" i="26" s="1"/>
  <c r="AD108" i="26" s="1"/>
  <c r="AD109" i="26" s="1"/>
  <c r="AD110" i="26" s="1"/>
  <c r="AD111" i="26" s="1"/>
  <c r="AD112" i="26" s="1"/>
  <c r="AD113" i="26" s="1"/>
  <c r="AD114" i="26" s="1"/>
  <c r="AD115" i="26" s="1"/>
  <c r="AD116" i="26" s="1"/>
  <c r="AD117" i="26" s="1"/>
  <c r="AD118" i="26" s="1"/>
  <c r="X122" i="26"/>
  <c r="V124" i="26"/>
  <c r="M124" i="26"/>
  <c r="L124" i="26"/>
  <c r="N124" i="26"/>
  <c r="M122" i="26"/>
  <c r="L122" i="26"/>
  <c r="F127" i="26"/>
  <c r="F126" i="26"/>
  <c r="F128" i="26"/>
  <c r="T53" i="26"/>
  <c r="I54" i="26"/>
  <c r="V128" i="26"/>
  <c r="V127" i="26"/>
  <c r="V126" i="26"/>
  <c r="O124" i="26"/>
  <c r="AF51" i="26"/>
  <c r="AF52" i="26" s="1"/>
  <c r="AF53" i="26" s="1"/>
  <c r="AF54" i="26" s="1"/>
  <c r="AF55" i="26" s="1"/>
  <c r="AF56" i="26" s="1"/>
  <c r="AF57" i="26" s="1"/>
  <c r="AF58" i="26" s="1"/>
  <c r="AF59" i="26" s="1"/>
  <c r="AF60" i="26" s="1"/>
  <c r="AF61" i="26" s="1"/>
  <c r="AF62" i="26" s="1"/>
  <c r="AF63" i="26" s="1"/>
  <c r="AF64" i="26" s="1"/>
  <c r="AF65" i="26" s="1"/>
  <c r="AF66" i="26" s="1"/>
  <c r="AF67" i="26" s="1"/>
  <c r="AF68" i="26" s="1"/>
  <c r="AF69" i="26" s="1"/>
  <c r="AF70" i="26" s="1"/>
  <c r="AF71" i="26" s="1"/>
  <c r="AF72" i="26" s="1"/>
  <c r="AF73" i="26" s="1"/>
  <c r="AF74" i="26" s="1"/>
  <c r="AF75" i="26" s="1"/>
  <c r="AF76" i="26" s="1"/>
  <c r="AF77" i="26" s="1"/>
  <c r="AF78" i="26" s="1"/>
  <c r="AF79" i="26" s="1"/>
  <c r="AF80" i="26" s="1"/>
  <c r="AF81" i="26" s="1"/>
  <c r="AF82" i="26" s="1"/>
  <c r="AF83" i="26" s="1"/>
  <c r="AF84" i="26" s="1"/>
  <c r="AF85" i="26" s="1"/>
  <c r="AF86" i="26" s="1"/>
  <c r="AF87" i="26" s="1"/>
  <c r="AF88" i="26" s="1"/>
  <c r="AF89" i="26" s="1"/>
  <c r="AF90" i="26" s="1"/>
  <c r="AF91" i="26" s="1"/>
  <c r="AF92" i="26" s="1"/>
  <c r="AF93" i="26" s="1"/>
  <c r="AF94" i="26" s="1"/>
  <c r="AF95" i="26" s="1"/>
  <c r="AF96" i="26" s="1"/>
  <c r="AF97" i="26" s="1"/>
  <c r="AF98" i="26" s="1"/>
  <c r="AF99" i="26" s="1"/>
  <c r="AF100" i="26" s="1"/>
  <c r="AF101" i="26" s="1"/>
  <c r="AF102" i="26" s="1"/>
  <c r="AF103" i="26" s="1"/>
  <c r="AF104" i="26" s="1"/>
  <c r="AF105" i="26" s="1"/>
  <c r="AF106" i="26" s="1"/>
  <c r="AF107" i="26" s="1"/>
  <c r="AF108" i="26" s="1"/>
  <c r="AF109" i="26" s="1"/>
  <c r="AF110" i="26" s="1"/>
  <c r="AF111" i="26" s="1"/>
  <c r="AF112" i="26" s="1"/>
  <c r="AF113" i="26" s="1"/>
  <c r="AF114" i="26" s="1"/>
  <c r="AF115" i="26" s="1"/>
  <c r="AF116" i="26" s="1"/>
  <c r="AF117" i="26" s="1"/>
  <c r="AF118" i="26" s="1"/>
  <c r="V123" i="26"/>
  <c r="O123" i="26"/>
  <c r="Y123" i="26"/>
  <c r="Q123" i="26"/>
  <c r="O122" i="26"/>
  <c r="I4" i="10"/>
  <c r="I3" i="10"/>
  <c r="I7" i="10"/>
  <c r="I6" i="10"/>
  <c r="AH3" i="2"/>
  <c r="D12" i="1"/>
  <c r="Q479" i="2" s="1"/>
  <c r="W37" i="5"/>
  <c r="W36" i="5"/>
  <c r="W35" i="5"/>
  <c r="W34" i="5"/>
  <c r="V31" i="5"/>
  <c r="W27" i="5"/>
  <c r="W20" i="5"/>
  <c r="W19" i="5"/>
  <c r="W17" i="5"/>
  <c r="AB722" i="2"/>
  <c r="AB721" i="2"/>
  <c r="AB720" i="2"/>
  <c r="AB719" i="2"/>
  <c r="AB718" i="2"/>
  <c r="AB717" i="2"/>
  <c r="AB716" i="2"/>
  <c r="AB715" i="2"/>
  <c r="AB714" i="2"/>
  <c r="AB713" i="2"/>
  <c r="AB712" i="2"/>
  <c r="AB711" i="2"/>
  <c r="AB710" i="2"/>
  <c r="AB709" i="2"/>
  <c r="AB708" i="2"/>
  <c r="AB707" i="2"/>
  <c r="AB706" i="2"/>
  <c r="AB705" i="2"/>
  <c r="AB704" i="2"/>
  <c r="AB703" i="2"/>
  <c r="AB702" i="2"/>
  <c r="AB701" i="2"/>
  <c r="AB700" i="2"/>
  <c r="AB699" i="2"/>
  <c r="AB698" i="2"/>
  <c r="AB697" i="2"/>
  <c r="AB696" i="2"/>
  <c r="AB695" i="2"/>
  <c r="AB694" i="2"/>
  <c r="AB693" i="2"/>
  <c r="AB692" i="2"/>
  <c r="AB691" i="2"/>
  <c r="AB690" i="2"/>
  <c r="AB689" i="2"/>
  <c r="AB688" i="2"/>
  <c r="AB687" i="2"/>
  <c r="AB686" i="2"/>
  <c r="AB685" i="2"/>
  <c r="AB684" i="2"/>
  <c r="AB683" i="2"/>
  <c r="AB682" i="2"/>
  <c r="AB681" i="2"/>
  <c r="AB680" i="2"/>
  <c r="AB679" i="2"/>
  <c r="AB678" i="2"/>
  <c r="AB677" i="2"/>
  <c r="AB676" i="2"/>
  <c r="AB675" i="2"/>
  <c r="AB674" i="2"/>
  <c r="AB673" i="2"/>
  <c r="AB672" i="2"/>
  <c r="AB671" i="2"/>
  <c r="AB670" i="2"/>
  <c r="AB669" i="2"/>
  <c r="AB668" i="2"/>
  <c r="AB667" i="2"/>
  <c r="AB666" i="2"/>
  <c r="AB665" i="2"/>
  <c r="AB664" i="2"/>
  <c r="AB662" i="2"/>
  <c r="AB661" i="2"/>
  <c r="AB660" i="2"/>
  <c r="AB659" i="2"/>
  <c r="AB658" i="2"/>
  <c r="AB657" i="2"/>
  <c r="AB656" i="2"/>
  <c r="AB655" i="2"/>
  <c r="AB654" i="2"/>
  <c r="AB653" i="2"/>
  <c r="AB652" i="2"/>
  <c r="AB651" i="2"/>
  <c r="AB650" i="2"/>
  <c r="AB649" i="2"/>
  <c r="AB648" i="2"/>
  <c r="AB647" i="2"/>
  <c r="AB646" i="2"/>
  <c r="AB645" i="2"/>
  <c r="AB644" i="2"/>
  <c r="AB643" i="2"/>
  <c r="AB642" i="2"/>
  <c r="AB641" i="2"/>
  <c r="AB640" i="2"/>
  <c r="AB639" i="2"/>
  <c r="AB638" i="2"/>
  <c r="AB637" i="2"/>
  <c r="AB636" i="2"/>
  <c r="AB635" i="2"/>
  <c r="AB634" i="2"/>
  <c r="AB633" i="2"/>
  <c r="AB632" i="2"/>
  <c r="AB631" i="2"/>
  <c r="AB630" i="2"/>
  <c r="AB629" i="2"/>
  <c r="AB628" i="2"/>
  <c r="AB627" i="2"/>
  <c r="AB626" i="2"/>
  <c r="AB625" i="2"/>
  <c r="AB624" i="2"/>
  <c r="AB623" i="2"/>
  <c r="AB622" i="2"/>
  <c r="AB621" i="2"/>
  <c r="AB620" i="2"/>
  <c r="AB619" i="2"/>
  <c r="AB618" i="2"/>
  <c r="AB617" i="2"/>
  <c r="AB616" i="2"/>
  <c r="AB615" i="2"/>
  <c r="AB614" i="2"/>
  <c r="AB613" i="2"/>
  <c r="AB612" i="2"/>
  <c r="AB611" i="2"/>
  <c r="AB610" i="2"/>
  <c r="AB609" i="2"/>
  <c r="AB608" i="2"/>
  <c r="AB607" i="2"/>
  <c r="AB606" i="2"/>
  <c r="AB605" i="2"/>
  <c r="AB604" i="2"/>
  <c r="AB602" i="2"/>
  <c r="AB601" i="2"/>
  <c r="AB600" i="2"/>
  <c r="AB599" i="2"/>
  <c r="AB598" i="2"/>
  <c r="AB597" i="2"/>
  <c r="AB596" i="2"/>
  <c r="AB595" i="2"/>
  <c r="AB594" i="2"/>
  <c r="AB593" i="2"/>
  <c r="AB592" i="2"/>
  <c r="AB591" i="2"/>
  <c r="AB590" i="2"/>
  <c r="AB589" i="2"/>
  <c r="AB588" i="2"/>
  <c r="AB587" i="2"/>
  <c r="AB586" i="2"/>
  <c r="AB585" i="2"/>
  <c r="AB584" i="2"/>
  <c r="AB583" i="2"/>
  <c r="AB582" i="2"/>
  <c r="AB581" i="2"/>
  <c r="AB580" i="2"/>
  <c r="AB579" i="2"/>
  <c r="AB578" i="2"/>
  <c r="AB577" i="2"/>
  <c r="AB576" i="2"/>
  <c r="AB575" i="2"/>
  <c r="AB574" i="2"/>
  <c r="AB573" i="2"/>
  <c r="AB572" i="2"/>
  <c r="AB571" i="2"/>
  <c r="AB570" i="2"/>
  <c r="AB569" i="2"/>
  <c r="AB568" i="2"/>
  <c r="AB567" i="2"/>
  <c r="AB566" i="2"/>
  <c r="AB565" i="2"/>
  <c r="AB564" i="2"/>
  <c r="AB563" i="2"/>
  <c r="AB562" i="2"/>
  <c r="AB561" i="2"/>
  <c r="AB560" i="2"/>
  <c r="AB559" i="2"/>
  <c r="AB558" i="2"/>
  <c r="AB557" i="2"/>
  <c r="AB556" i="2"/>
  <c r="AB555" i="2"/>
  <c r="AB554" i="2"/>
  <c r="AB553" i="2"/>
  <c r="AB552" i="2"/>
  <c r="AB551" i="2"/>
  <c r="AB550" i="2"/>
  <c r="AB549" i="2"/>
  <c r="AB548" i="2"/>
  <c r="AB547" i="2"/>
  <c r="AB546" i="2"/>
  <c r="AB545" i="2"/>
  <c r="AB544" i="2"/>
  <c r="AB542" i="2"/>
  <c r="AB541" i="2"/>
  <c r="AB540" i="2"/>
  <c r="AB539" i="2"/>
  <c r="AB538" i="2"/>
  <c r="AB537" i="2"/>
  <c r="AB536" i="2"/>
  <c r="AB535" i="2"/>
  <c r="AB534" i="2"/>
  <c r="AB533" i="2"/>
  <c r="AB532" i="2"/>
  <c r="AB530" i="2"/>
  <c r="AB529" i="2"/>
  <c r="AB528" i="2"/>
  <c r="AB527" i="2"/>
  <c r="AB526" i="2"/>
  <c r="AB525" i="2"/>
  <c r="AB524" i="2"/>
  <c r="AB523" i="2"/>
  <c r="AB522" i="2"/>
  <c r="AB521" i="2"/>
  <c r="AB520" i="2"/>
  <c r="AB518" i="2"/>
  <c r="AB517" i="2"/>
  <c r="AB516" i="2"/>
  <c r="AB515" i="2"/>
  <c r="AB514" i="2"/>
  <c r="AB513" i="2"/>
  <c r="AB512" i="2"/>
  <c r="AB511" i="2"/>
  <c r="AB510" i="2"/>
  <c r="AB509" i="2"/>
  <c r="AB508" i="2"/>
  <c r="AB507" i="2"/>
  <c r="AB506" i="2"/>
  <c r="AB505" i="2"/>
  <c r="AB504" i="2"/>
  <c r="AB503" i="2"/>
  <c r="AB502" i="2"/>
  <c r="AB501" i="2"/>
  <c r="AB500" i="2"/>
  <c r="AB499" i="2"/>
  <c r="AB498" i="2"/>
  <c r="AB497" i="2"/>
  <c r="AB496" i="2"/>
  <c r="AB495" i="2"/>
  <c r="AB494" i="2"/>
  <c r="AB493" i="2"/>
  <c r="AB492" i="2"/>
  <c r="AB491" i="2"/>
  <c r="AB490" i="2"/>
  <c r="AB489" i="2"/>
  <c r="AB488" i="2"/>
  <c r="AB487" i="2"/>
  <c r="AB486" i="2"/>
  <c r="AB485" i="2"/>
  <c r="AB484" i="2"/>
  <c r="AB482" i="2"/>
  <c r="AB481" i="2"/>
  <c r="AB480" i="2"/>
  <c r="AB479" i="2"/>
  <c r="AB478" i="2"/>
  <c r="AB477" i="2"/>
  <c r="AB476" i="2"/>
  <c r="AB475" i="2"/>
  <c r="AB474" i="2"/>
  <c r="AB473" i="2"/>
  <c r="AB472" i="2"/>
  <c r="AB471" i="2"/>
  <c r="AB470" i="2"/>
  <c r="AB469" i="2"/>
  <c r="AB468" i="2"/>
  <c r="AB467" i="2"/>
  <c r="AB466" i="2"/>
  <c r="AB465" i="2"/>
  <c r="AB464" i="2"/>
  <c r="AB463" i="2"/>
  <c r="AB462" i="2"/>
  <c r="AB461" i="2"/>
  <c r="AB460" i="2"/>
  <c r="AB459" i="2"/>
  <c r="AB458" i="2"/>
  <c r="AB457" i="2"/>
  <c r="AB456" i="2"/>
  <c r="AB455" i="2"/>
  <c r="AB454" i="2"/>
  <c r="AB453" i="2"/>
  <c r="AB452" i="2"/>
  <c r="AB451" i="2"/>
  <c r="AB450" i="2"/>
  <c r="AB449" i="2"/>
  <c r="AB448" i="2"/>
  <c r="AB447" i="2"/>
  <c r="AB446" i="2"/>
  <c r="AB445" i="2"/>
  <c r="AB444" i="2"/>
  <c r="AB443" i="2"/>
  <c r="AB442" i="2"/>
  <c r="AB441" i="2"/>
  <c r="AB440" i="2"/>
  <c r="AB439" i="2"/>
  <c r="AB438" i="2"/>
  <c r="AB437" i="2"/>
  <c r="AB436" i="2"/>
  <c r="AB435" i="2"/>
  <c r="AB434" i="2"/>
  <c r="AB433" i="2"/>
  <c r="AB432" i="2"/>
  <c r="AB431" i="2"/>
  <c r="AB430" i="2"/>
  <c r="AB429" i="2"/>
  <c r="AB428" i="2"/>
  <c r="AB427" i="2"/>
  <c r="AB426" i="2"/>
  <c r="AB425" i="2"/>
  <c r="AB424" i="2"/>
  <c r="AB423" i="2"/>
  <c r="AB422" i="2"/>
  <c r="AB421" i="2"/>
  <c r="AB420" i="2"/>
  <c r="AB419" i="2"/>
  <c r="AB418" i="2"/>
  <c r="AB417" i="2"/>
  <c r="AB416" i="2"/>
  <c r="AB415" i="2"/>
  <c r="AB414" i="2"/>
  <c r="AB413" i="2"/>
  <c r="AB412" i="2"/>
  <c r="AB411" i="2"/>
  <c r="AB410" i="2"/>
  <c r="AB409" i="2"/>
  <c r="AB408" i="2"/>
  <c r="AB407" i="2"/>
  <c r="AB406" i="2"/>
  <c r="AB405" i="2"/>
  <c r="AB404" i="2"/>
  <c r="AB403" i="2"/>
  <c r="AB402" i="2"/>
  <c r="AB401" i="2"/>
  <c r="AB400" i="2"/>
  <c r="AB399" i="2"/>
  <c r="AB398" i="2"/>
  <c r="AB397" i="2"/>
  <c r="AB396" i="2"/>
  <c r="AB395" i="2"/>
  <c r="AB394" i="2"/>
  <c r="AB393" i="2"/>
  <c r="AB392" i="2"/>
  <c r="AB391" i="2"/>
  <c r="AB390" i="2"/>
  <c r="AB389" i="2"/>
  <c r="AB388" i="2"/>
  <c r="AB387" i="2"/>
  <c r="AB386" i="2"/>
  <c r="AB385" i="2"/>
  <c r="AB384" i="2"/>
  <c r="AB383" i="2"/>
  <c r="AB382" i="2"/>
  <c r="AB381" i="2"/>
  <c r="AB380" i="2"/>
  <c r="AB379" i="2"/>
  <c r="AB378" i="2"/>
  <c r="AB377" i="2"/>
  <c r="AB376" i="2"/>
  <c r="AB375" i="2"/>
  <c r="AB374" i="2"/>
  <c r="AB373" i="2"/>
  <c r="AB372" i="2"/>
  <c r="AB371" i="2"/>
  <c r="AB370" i="2"/>
  <c r="AB369" i="2"/>
  <c r="AB368" i="2"/>
  <c r="AB367" i="2"/>
  <c r="AB366" i="2"/>
  <c r="AB365" i="2"/>
  <c r="AB364" i="2"/>
  <c r="AB362" i="2"/>
  <c r="AB361" i="2"/>
  <c r="AB360" i="2"/>
  <c r="AB359" i="2"/>
  <c r="AB358" i="2"/>
  <c r="AB357" i="2"/>
  <c r="AB356" i="2"/>
  <c r="AB355" i="2"/>
  <c r="AB354" i="2"/>
  <c r="AB353" i="2"/>
  <c r="AB352" i="2"/>
  <c r="AB351" i="2"/>
  <c r="AB350" i="2"/>
  <c r="AB349" i="2"/>
  <c r="AB348" i="2"/>
  <c r="AB347" i="2"/>
  <c r="AB346" i="2"/>
  <c r="AB345" i="2"/>
  <c r="AB344" i="2"/>
  <c r="AB343" i="2"/>
  <c r="AB342" i="2"/>
  <c r="AB341" i="2"/>
  <c r="AB340" i="2"/>
  <c r="AB339" i="2"/>
  <c r="AB338" i="2"/>
  <c r="AB337" i="2"/>
  <c r="AB336" i="2"/>
  <c r="AB335" i="2"/>
  <c r="AB334" i="2"/>
  <c r="AB333" i="2"/>
  <c r="AB332" i="2"/>
  <c r="AB331" i="2"/>
  <c r="AB330" i="2"/>
  <c r="AB329" i="2"/>
  <c r="AB328" i="2"/>
  <c r="AB327" i="2"/>
  <c r="AB326" i="2"/>
  <c r="AB325" i="2"/>
  <c r="AB324" i="2"/>
  <c r="AB323" i="2"/>
  <c r="AB322" i="2"/>
  <c r="AB321" i="2"/>
  <c r="AB320" i="2"/>
  <c r="AB319" i="2"/>
  <c r="AB318" i="2"/>
  <c r="AB317" i="2"/>
  <c r="AB316" i="2"/>
  <c r="AB315" i="2"/>
  <c r="AB314" i="2"/>
  <c r="AB313" i="2"/>
  <c r="AB312" i="2"/>
  <c r="AB311" i="2"/>
  <c r="AB310" i="2"/>
  <c r="AB309" i="2"/>
  <c r="AB308" i="2"/>
  <c r="AB307" i="2"/>
  <c r="AB306" i="2"/>
  <c r="AB305" i="2"/>
  <c r="AB304" i="2"/>
  <c r="AB303" i="2"/>
  <c r="AB302" i="2"/>
  <c r="AB301" i="2"/>
  <c r="AB300" i="2"/>
  <c r="AB299" i="2"/>
  <c r="AB298" i="2"/>
  <c r="AB297" i="2"/>
  <c r="AB296" i="2"/>
  <c r="AB295" i="2"/>
  <c r="AB294" i="2"/>
  <c r="AB293" i="2"/>
  <c r="AB292" i="2"/>
  <c r="AB291" i="2"/>
  <c r="AB290" i="2"/>
  <c r="AB289" i="2"/>
  <c r="AB288" i="2"/>
  <c r="AB287" i="2"/>
  <c r="AB286" i="2"/>
  <c r="AB285" i="2"/>
  <c r="AB284" i="2"/>
  <c r="AB283" i="2"/>
  <c r="AB282" i="2"/>
  <c r="AB281" i="2"/>
  <c r="AB280" i="2"/>
  <c r="AB279" i="2"/>
  <c r="AB278" i="2"/>
  <c r="AB277" i="2"/>
  <c r="AB276" i="2"/>
  <c r="AB275" i="2"/>
  <c r="AB274" i="2"/>
  <c r="AB273" i="2"/>
  <c r="AB272" i="2"/>
  <c r="AB271" i="2"/>
  <c r="AB270" i="2"/>
  <c r="AB269" i="2"/>
  <c r="AB268" i="2"/>
  <c r="AB267" i="2"/>
  <c r="AB266" i="2"/>
  <c r="AB265" i="2"/>
  <c r="AB264" i="2"/>
  <c r="AB263" i="2"/>
  <c r="AB262" i="2"/>
  <c r="AB261" i="2"/>
  <c r="AB260" i="2"/>
  <c r="AB259" i="2"/>
  <c r="AB258" i="2"/>
  <c r="AB257" i="2"/>
  <c r="AB256" i="2"/>
  <c r="AB255" i="2"/>
  <c r="AB254" i="2"/>
  <c r="AB253" i="2"/>
  <c r="AB252" i="2"/>
  <c r="AB251" i="2"/>
  <c r="AB250" i="2"/>
  <c r="AB249" i="2"/>
  <c r="AB248" i="2"/>
  <c r="AB247" i="2"/>
  <c r="AB246" i="2"/>
  <c r="AB245" i="2"/>
  <c r="AB244" i="2"/>
  <c r="AB242" i="2"/>
  <c r="AB241" i="2"/>
  <c r="AB240" i="2"/>
  <c r="AB239" i="2"/>
  <c r="AB238" i="2"/>
  <c r="AB237" i="2"/>
  <c r="AB236" i="2"/>
  <c r="AB235" i="2"/>
  <c r="AB234" i="2"/>
  <c r="AB233" i="2"/>
  <c r="AB232" i="2"/>
  <c r="AB231" i="2"/>
  <c r="AB230" i="2"/>
  <c r="AB229" i="2"/>
  <c r="AB228" i="2"/>
  <c r="AB227" i="2"/>
  <c r="AB226" i="2"/>
  <c r="AB225" i="2"/>
  <c r="AB224" i="2"/>
  <c r="AB223" i="2"/>
  <c r="AB222" i="2"/>
  <c r="AB221" i="2"/>
  <c r="AB220" i="2"/>
  <c r="AB219" i="2"/>
  <c r="AB218" i="2"/>
  <c r="AB217" i="2"/>
  <c r="AB216" i="2"/>
  <c r="AB215" i="2"/>
  <c r="AB214" i="2"/>
  <c r="AB213" i="2"/>
  <c r="AB212" i="2"/>
  <c r="AB211" i="2"/>
  <c r="AB210" i="2"/>
  <c r="AB209" i="2"/>
  <c r="AB208" i="2"/>
  <c r="AB207" i="2"/>
  <c r="AB206" i="2"/>
  <c r="AB205" i="2"/>
  <c r="AB204" i="2"/>
  <c r="AB203" i="2"/>
  <c r="AB202" i="2"/>
  <c r="AB201" i="2"/>
  <c r="AB200" i="2"/>
  <c r="AB199" i="2"/>
  <c r="AB198" i="2"/>
  <c r="AB197" i="2"/>
  <c r="AB196" i="2"/>
  <c r="AB195" i="2"/>
  <c r="AB194" i="2"/>
  <c r="AB193" i="2"/>
  <c r="AB192" i="2"/>
  <c r="AB191" i="2"/>
  <c r="AB190" i="2"/>
  <c r="AB189" i="2"/>
  <c r="AB188" i="2"/>
  <c r="AB187" i="2"/>
  <c r="AB186" i="2"/>
  <c r="AB185" i="2"/>
  <c r="AB184"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2" i="2"/>
  <c r="AB61" i="2"/>
  <c r="AB60" i="2"/>
  <c r="AB59" i="2"/>
  <c r="AB58" i="2"/>
  <c r="AB57" i="2"/>
  <c r="AB56" i="2"/>
  <c r="AB55" i="2"/>
  <c r="AB54" i="2"/>
  <c r="AB53" i="2"/>
  <c r="AB52" i="2"/>
  <c r="AB50" i="2"/>
  <c r="AB49" i="2"/>
  <c r="AB48" i="2"/>
  <c r="AB47" i="2"/>
  <c r="AB46" i="2"/>
  <c r="AB45" i="2"/>
  <c r="AB44" i="2"/>
  <c r="AB43" i="2"/>
  <c r="AB42" i="2"/>
  <c r="AB41" i="2"/>
  <c r="AB40" i="2"/>
  <c r="AB38" i="2"/>
  <c r="AB37" i="2"/>
  <c r="AB36" i="2"/>
  <c r="AB35" i="2"/>
  <c r="AB34" i="2"/>
  <c r="AB33" i="2"/>
  <c r="AB32" i="2"/>
  <c r="AB31" i="2"/>
  <c r="AB30" i="2"/>
  <c r="AB29" i="2"/>
  <c r="AB28" i="2"/>
  <c r="AB26" i="2"/>
  <c r="AB25" i="2"/>
  <c r="AB24" i="2"/>
  <c r="AB23" i="2"/>
  <c r="AB22" i="2"/>
  <c r="AB21" i="2"/>
  <c r="AB20" i="2"/>
  <c r="AB19" i="2"/>
  <c r="AB18" i="2"/>
  <c r="AB17" i="2"/>
  <c r="AB16" i="2"/>
  <c r="AB14" i="2"/>
  <c r="AB13" i="2"/>
  <c r="AB12" i="2"/>
  <c r="AB11" i="2"/>
  <c r="AB10" i="2"/>
  <c r="AB9" i="2"/>
  <c r="AB8" i="2"/>
  <c r="AB7" i="2"/>
  <c r="AB6" i="2"/>
  <c r="AB5" i="2"/>
  <c r="AC723" i="2"/>
  <c r="AC722" i="2"/>
  <c r="AC721" i="2"/>
  <c r="AC720" i="2"/>
  <c r="AC719" i="2"/>
  <c r="AC718" i="2"/>
  <c r="AC717" i="2"/>
  <c r="AC716" i="2"/>
  <c r="AC715" i="2"/>
  <c r="AC714" i="2"/>
  <c r="AC713" i="2"/>
  <c r="AC712" i="2"/>
  <c r="AC711" i="2"/>
  <c r="AC710" i="2"/>
  <c r="AC709" i="2"/>
  <c r="AC708" i="2"/>
  <c r="AC707" i="2"/>
  <c r="AC706" i="2"/>
  <c r="AC705" i="2"/>
  <c r="AC704" i="2"/>
  <c r="AC703" i="2"/>
  <c r="AC702" i="2"/>
  <c r="AC701" i="2"/>
  <c r="AC700" i="2"/>
  <c r="AC699" i="2"/>
  <c r="AC698" i="2"/>
  <c r="AC697" i="2"/>
  <c r="AC696" i="2"/>
  <c r="AC695" i="2"/>
  <c r="AC694" i="2"/>
  <c r="AC693" i="2"/>
  <c r="AC692" i="2"/>
  <c r="AC691" i="2"/>
  <c r="AC690" i="2"/>
  <c r="AC689" i="2"/>
  <c r="AC688" i="2"/>
  <c r="AC687" i="2"/>
  <c r="AC686" i="2"/>
  <c r="AC685" i="2"/>
  <c r="AC684" i="2"/>
  <c r="AC683" i="2"/>
  <c r="AC682" i="2"/>
  <c r="AC681" i="2"/>
  <c r="AC680" i="2"/>
  <c r="AC679" i="2"/>
  <c r="AC678" i="2"/>
  <c r="AC677" i="2"/>
  <c r="AC676" i="2"/>
  <c r="AC675" i="2"/>
  <c r="AC674" i="2"/>
  <c r="AC673" i="2"/>
  <c r="AC672" i="2"/>
  <c r="AC671" i="2"/>
  <c r="AC670" i="2"/>
  <c r="AC669" i="2"/>
  <c r="AC668" i="2"/>
  <c r="AC667" i="2"/>
  <c r="AC666" i="2"/>
  <c r="AC665" i="2"/>
  <c r="AC664" i="2"/>
  <c r="AC663" i="2"/>
  <c r="AC662" i="2"/>
  <c r="AC661" i="2"/>
  <c r="AC660" i="2"/>
  <c r="AC659" i="2"/>
  <c r="AC658" i="2"/>
  <c r="AC657" i="2"/>
  <c r="AC656" i="2"/>
  <c r="AC655" i="2"/>
  <c r="AC654" i="2"/>
  <c r="AC653" i="2"/>
  <c r="AC652" i="2"/>
  <c r="AC651" i="2"/>
  <c r="AC650" i="2"/>
  <c r="AC649" i="2"/>
  <c r="AC648" i="2"/>
  <c r="AC647" i="2"/>
  <c r="AC646" i="2"/>
  <c r="AC645" i="2"/>
  <c r="AC644" i="2"/>
  <c r="AC643" i="2"/>
  <c r="AC642" i="2"/>
  <c r="AC641" i="2"/>
  <c r="AC640" i="2"/>
  <c r="AC639" i="2"/>
  <c r="AC638" i="2"/>
  <c r="AC637" i="2"/>
  <c r="AC636" i="2"/>
  <c r="AC635" i="2"/>
  <c r="AC634" i="2"/>
  <c r="AC633" i="2"/>
  <c r="AC632" i="2"/>
  <c r="AC631" i="2"/>
  <c r="AC630" i="2"/>
  <c r="AC629" i="2"/>
  <c r="AC628" i="2"/>
  <c r="AC627" i="2"/>
  <c r="AC626" i="2"/>
  <c r="AC625" i="2"/>
  <c r="AC624" i="2"/>
  <c r="AC623" i="2"/>
  <c r="AC622" i="2"/>
  <c r="AC621" i="2"/>
  <c r="AC620" i="2"/>
  <c r="AC619" i="2"/>
  <c r="AC618" i="2"/>
  <c r="AC617" i="2"/>
  <c r="AC616" i="2"/>
  <c r="AC615" i="2"/>
  <c r="AC614" i="2"/>
  <c r="AC613" i="2"/>
  <c r="AC612" i="2"/>
  <c r="AC611" i="2"/>
  <c r="AC610" i="2"/>
  <c r="AC609" i="2"/>
  <c r="AC608" i="2"/>
  <c r="AC607" i="2"/>
  <c r="AC606" i="2"/>
  <c r="AC605" i="2"/>
  <c r="AC604" i="2"/>
  <c r="AC603" i="2"/>
  <c r="AC602" i="2"/>
  <c r="AC601" i="2"/>
  <c r="AC600" i="2"/>
  <c r="AC599" i="2"/>
  <c r="AC598" i="2"/>
  <c r="AC597" i="2"/>
  <c r="AC596" i="2"/>
  <c r="AC595" i="2"/>
  <c r="AC594" i="2"/>
  <c r="AC593" i="2"/>
  <c r="AC592" i="2"/>
  <c r="AC591" i="2"/>
  <c r="AC590" i="2"/>
  <c r="AC589" i="2"/>
  <c r="AC588" i="2"/>
  <c r="AC587" i="2"/>
  <c r="AC586" i="2"/>
  <c r="AC585" i="2"/>
  <c r="AC584" i="2"/>
  <c r="AC583" i="2"/>
  <c r="AC582" i="2"/>
  <c r="AC581" i="2"/>
  <c r="AC580" i="2"/>
  <c r="AC579" i="2"/>
  <c r="AC578" i="2"/>
  <c r="AC577" i="2"/>
  <c r="AC576" i="2"/>
  <c r="AC575" i="2"/>
  <c r="AC574" i="2"/>
  <c r="AC573" i="2"/>
  <c r="AC572" i="2"/>
  <c r="AC571" i="2"/>
  <c r="AC570" i="2"/>
  <c r="AC569" i="2"/>
  <c r="AC568" i="2"/>
  <c r="AC567" i="2"/>
  <c r="AC566" i="2"/>
  <c r="AC565" i="2"/>
  <c r="AC564" i="2"/>
  <c r="AC563" i="2"/>
  <c r="AC562" i="2"/>
  <c r="AC561" i="2"/>
  <c r="AC560" i="2"/>
  <c r="AC559" i="2"/>
  <c r="AC558" i="2"/>
  <c r="AC557" i="2"/>
  <c r="AC556" i="2"/>
  <c r="AC555" i="2"/>
  <c r="AC554" i="2"/>
  <c r="AC553" i="2"/>
  <c r="AC552" i="2"/>
  <c r="AC551" i="2"/>
  <c r="AC550" i="2"/>
  <c r="AC549" i="2"/>
  <c r="AC548" i="2"/>
  <c r="AC547" i="2"/>
  <c r="AC546" i="2"/>
  <c r="AC545" i="2"/>
  <c r="AC544" i="2"/>
  <c r="AC543" i="2"/>
  <c r="AC542" i="2"/>
  <c r="AC541" i="2"/>
  <c r="AC540" i="2"/>
  <c r="AC539" i="2"/>
  <c r="AC538" i="2"/>
  <c r="AC537" i="2"/>
  <c r="AC536" i="2"/>
  <c r="AC535" i="2"/>
  <c r="AC534" i="2"/>
  <c r="AC533" i="2"/>
  <c r="AC532" i="2"/>
  <c r="AC531" i="2"/>
  <c r="AC530" i="2"/>
  <c r="AC529" i="2"/>
  <c r="AC528" i="2"/>
  <c r="AC527" i="2"/>
  <c r="AC526" i="2"/>
  <c r="AC525" i="2"/>
  <c r="AC524" i="2"/>
  <c r="AC523" i="2"/>
  <c r="AC522" i="2"/>
  <c r="AC521" i="2"/>
  <c r="AC520" i="2"/>
  <c r="AC519" i="2"/>
  <c r="AC518" i="2"/>
  <c r="AC517" i="2"/>
  <c r="AC516" i="2"/>
  <c r="AC515" i="2"/>
  <c r="AC514" i="2"/>
  <c r="AC513" i="2"/>
  <c r="AC512" i="2"/>
  <c r="AC511" i="2"/>
  <c r="AC510" i="2"/>
  <c r="AC509" i="2"/>
  <c r="AC508" i="2"/>
  <c r="AC507" i="2"/>
  <c r="AC506" i="2"/>
  <c r="AC505" i="2"/>
  <c r="AC504" i="2"/>
  <c r="AC503" i="2"/>
  <c r="AC502" i="2"/>
  <c r="AC501" i="2"/>
  <c r="AC500" i="2"/>
  <c r="AC499" i="2"/>
  <c r="AC498" i="2"/>
  <c r="AC497" i="2"/>
  <c r="AC496" i="2"/>
  <c r="AC495" i="2"/>
  <c r="AC494" i="2"/>
  <c r="AC493" i="2"/>
  <c r="AC492" i="2"/>
  <c r="AC491" i="2"/>
  <c r="AC490" i="2"/>
  <c r="AC489" i="2"/>
  <c r="AC488" i="2"/>
  <c r="AC487" i="2"/>
  <c r="AC486" i="2"/>
  <c r="AC485" i="2"/>
  <c r="AC484" i="2"/>
  <c r="AC483" i="2"/>
  <c r="AC482" i="2"/>
  <c r="AC481" i="2"/>
  <c r="AC480" i="2"/>
  <c r="AC479" i="2"/>
  <c r="AC478" i="2"/>
  <c r="AC477" i="2"/>
  <c r="AC476" i="2"/>
  <c r="AC475" i="2"/>
  <c r="AC474" i="2"/>
  <c r="AC473" i="2"/>
  <c r="AC472" i="2"/>
  <c r="AC471" i="2"/>
  <c r="AC470" i="2"/>
  <c r="AC469" i="2"/>
  <c r="AC468" i="2"/>
  <c r="AC467" i="2"/>
  <c r="AC466" i="2"/>
  <c r="AC465" i="2"/>
  <c r="AC464" i="2"/>
  <c r="AC463" i="2"/>
  <c r="AC462" i="2"/>
  <c r="AC461" i="2"/>
  <c r="AC460" i="2"/>
  <c r="AC459" i="2"/>
  <c r="AC458" i="2"/>
  <c r="AC457" i="2"/>
  <c r="AC456" i="2"/>
  <c r="AC455" i="2"/>
  <c r="AC454" i="2"/>
  <c r="AC453" i="2"/>
  <c r="AC452" i="2"/>
  <c r="AC451" i="2"/>
  <c r="AC450" i="2"/>
  <c r="AC449" i="2"/>
  <c r="AC448" i="2"/>
  <c r="AC447" i="2"/>
  <c r="AC446" i="2"/>
  <c r="AC445" i="2"/>
  <c r="AC444" i="2"/>
  <c r="AC443" i="2"/>
  <c r="AC442" i="2"/>
  <c r="AC441" i="2"/>
  <c r="AC440" i="2"/>
  <c r="AC439" i="2"/>
  <c r="AC438" i="2"/>
  <c r="AC437" i="2"/>
  <c r="AC436" i="2"/>
  <c r="AC435" i="2"/>
  <c r="AC434" i="2"/>
  <c r="AC433" i="2"/>
  <c r="AC432" i="2"/>
  <c r="AC431" i="2"/>
  <c r="AC430" i="2"/>
  <c r="AC429" i="2"/>
  <c r="AC428" i="2"/>
  <c r="AC427" i="2"/>
  <c r="AC426" i="2"/>
  <c r="AC425" i="2"/>
  <c r="AC424" i="2"/>
  <c r="AC423" i="2"/>
  <c r="AC422" i="2"/>
  <c r="AC421" i="2"/>
  <c r="AC420" i="2"/>
  <c r="AC419" i="2"/>
  <c r="AC418" i="2"/>
  <c r="AC417" i="2"/>
  <c r="AC416" i="2"/>
  <c r="AC415" i="2"/>
  <c r="AC414" i="2"/>
  <c r="AC413" i="2"/>
  <c r="AC412" i="2"/>
  <c r="AC411" i="2"/>
  <c r="AC410" i="2"/>
  <c r="AC409" i="2"/>
  <c r="AC408" i="2"/>
  <c r="AC407" i="2"/>
  <c r="AC406" i="2"/>
  <c r="AC405" i="2"/>
  <c r="AC404" i="2"/>
  <c r="AC403" i="2"/>
  <c r="AC402" i="2"/>
  <c r="AC401" i="2"/>
  <c r="AC400" i="2"/>
  <c r="AC399" i="2"/>
  <c r="AC398" i="2"/>
  <c r="AC397" i="2"/>
  <c r="AC396" i="2"/>
  <c r="AC395" i="2"/>
  <c r="AC394" i="2"/>
  <c r="AC393" i="2"/>
  <c r="AC392" i="2"/>
  <c r="AC391" i="2"/>
  <c r="AC390" i="2"/>
  <c r="AC389" i="2"/>
  <c r="AC388" i="2"/>
  <c r="AC387" i="2"/>
  <c r="AC386" i="2"/>
  <c r="AC385" i="2"/>
  <c r="AC384" i="2"/>
  <c r="AC383" i="2"/>
  <c r="AC382" i="2"/>
  <c r="AC381" i="2"/>
  <c r="AC380" i="2"/>
  <c r="AC379" i="2"/>
  <c r="AC378" i="2"/>
  <c r="AC377" i="2"/>
  <c r="AC376" i="2"/>
  <c r="AC375" i="2"/>
  <c r="AC374" i="2"/>
  <c r="AC373" i="2"/>
  <c r="AC372" i="2"/>
  <c r="AC371" i="2"/>
  <c r="AC370" i="2"/>
  <c r="AC369" i="2"/>
  <c r="AC368" i="2"/>
  <c r="AC367" i="2"/>
  <c r="AC366" i="2"/>
  <c r="AC365" i="2"/>
  <c r="AC364" i="2"/>
  <c r="AC363" i="2"/>
  <c r="AC362" i="2"/>
  <c r="AC361" i="2"/>
  <c r="AC360" i="2"/>
  <c r="AC359" i="2"/>
  <c r="AC358" i="2"/>
  <c r="AC357" i="2"/>
  <c r="AC356" i="2"/>
  <c r="AC355" i="2"/>
  <c r="AC354" i="2"/>
  <c r="AC353" i="2"/>
  <c r="AC352" i="2"/>
  <c r="AC351" i="2"/>
  <c r="AC350" i="2"/>
  <c r="AC349" i="2"/>
  <c r="AC348" i="2"/>
  <c r="AC347" i="2"/>
  <c r="AC346" i="2"/>
  <c r="AC345" i="2"/>
  <c r="AC344" i="2"/>
  <c r="AC343" i="2"/>
  <c r="AC342" i="2"/>
  <c r="AC341" i="2"/>
  <c r="AC340" i="2"/>
  <c r="AC339" i="2"/>
  <c r="AC338" i="2"/>
  <c r="AC337" i="2"/>
  <c r="AC336" i="2"/>
  <c r="AC335" i="2"/>
  <c r="AC334" i="2"/>
  <c r="AC333" i="2"/>
  <c r="AC332" i="2"/>
  <c r="AC331" i="2"/>
  <c r="AC330" i="2"/>
  <c r="AC329" i="2"/>
  <c r="AC328" i="2"/>
  <c r="AC327" i="2"/>
  <c r="AC326" i="2"/>
  <c r="AC325" i="2"/>
  <c r="AC324" i="2"/>
  <c r="AC323" i="2"/>
  <c r="AC322" i="2"/>
  <c r="AC321" i="2"/>
  <c r="AC320" i="2"/>
  <c r="AC319" i="2"/>
  <c r="AC318" i="2"/>
  <c r="AC317" i="2"/>
  <c r="AC316" i="2"/>
  <c r="AC315" i="2"/>
  <c r="AC314" i="2"/>
  <c r="AC313" i="2"/>
  <c r="AC312" i="2"/>
  <c r="AC311" i="2"/>
  <c r="AC310" i="2"/>
  <c r="AC309" i="2"/>
  <c r="AC308" i="2"/>
  <c r="AC307" i="2"/>
  <c r="AC306" i="2"/>
  <c r="AC305" i="2"/>
  <c r="AC304" i="2"/>
  <c r="AC303" i="2"/>
  <c r="AC302" i="2"/>
  <c r="AC301" i="2"/>
  <c r="AC300" i="2"/>
  <c r="AC299" i="2"/>
  <c r="AC298" i="2"/>
  <c r="AC297" i="2"/>
  <c r="AC296" i="2"/>
  <c r="AC295" i="2"/>
  <c r="AC294" i="2"/>
  <c r="AC293" i="2"/>
  <c r="AC292" i="2"/>
  <c r="AC291" i="2"/>
  <c r="AC290" i="2"/>
  <c r="AC289" i="2"/>
  <c r="AC288" i="2"/>
  <c r="AC287" i="2"/>
  <c r="AC286" i="2"/>
  <c r="AC285" i="2"/>
  <c r="AC284" i="2"/>
  <c r="AC283" i="2"/>
  <c r="AC282" i="2"/>
  <c r="AC281" i="2"/>
  <c r="AC280" i="2"/>
  <c r="AC279" i="2"/>
  <c r="AC278" i="2"/>
  <c r="AC277" i="2"/>
  <c r="AC276" i="2"/>
  <c r="AC275" i="2"/>
  <c r="AC274" i="2"/>
  <c r="AC273" i="2"/>
  <c r="AC272" i="2"/>
  <c r="AC271" i="2"/>
  <c r="AC270" i="2"/>
  <c r="AC269" i="2"/>
  <c r="AC268" i="2"/>
  <c r="AC267" i="2"/>
  <c r="AC266" i="2"/>
  <c r="AC265" i="2"/>
  <c r="AC264" i="2"/>
  <c r="AC263" i="2"/>
  <c r="AC262" i="2"/>
  <c r="AC261" i="2"/>
  <c r="AC260" i="2"/>
  <c r="AC259" i="2"/>
  <c r="AC258" i="2"/>
  <c r="AC257" i="2"/>
  <c r="AC256" i="2"/>
  <c r="AC255" i="2"/>
  <c r="AC254" i="2"/>
  <c r="AC253" i="2"/>
  <c r="AC252" i="2"/>
  <c r="AC251" i="2"/>
  <c r="AC250" i="2"/>
  <c r="AC249" i="2"/>
  <c r="AC248" i="2"/>
  <c r="AC247" i="2"/>
  <c r="AC246" i="2"/>
  <c r="AC245" i="2"/>
  <c r="AC244" i="2"/>
  <c r="AC243" i="2"/>
  <c r="AC242" i="2"/>
  <c r="AC241" i="2"/>
  <c r="AC240" i="2"/>
  <c r="AC239" i="2"/>
  <c r="AC238" i="2"/>
  <c r="AC237" i="2"/>
  <c r="AC236" i="2"/>
  <c r="AC235" i="2"/>
  <c r="AC234" i="2"/>
  <c r="AC233" i="2"/>
  <c r="AC232" i="2"/>
  <c r="AC231" i="2"/>
  <c r="AC230" i="2"/>
  <c r="AC229" i="2"/>
  <c r="AC228" i="2"/>
  <c r="AC227" i="2"/>
  <c r="AC226" i="2"/>
  <c r="AC225" i="2"/>
  <c r="AC224" i="2"/>
  <c r="AC223" i="2"/>
  <c r="AC222" i="2"/>
  <c r="AC221" i="2"/>
  <c r="AC220" i="2"/>
  <c r="AC219" i="2"/>
  <c r="AC218" i="2"/>
  <c r="AC217" i="2"/>
  <c r="AC216" i="2"/>
  <c r="AC215" i="2"/>
  <c r="AC214" i="2"/>
  <c r="AC213" i="2"/>
  <c r="AC212" i="2"/>
  <c r="AC211" i="2"/>
  <c r="AC210" i="2"/>
  <c r="AC209" i="2"/>
  <c r="AC208" i="2"/>
  <c r="AC207" i="2"/>
  <c r="AC206" i="2"/>
  <c r="AC205" i="2"/>
  <c r="AC204" i="2"/>
  <c r="AC203" i="2"/>
  <c r="AC202" i="2"/>
  <c r="AC201" i="2"/>
  <c r="AC200"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9" i="2"/>
  <c r="AC168" i="2"/>
  <c r="AC167" i="2"/>
  <c r="AC166" i="2"/>
  <c r="AC165" i="2"/>
  <c r="AC164" i="2"/>
  <c r="AC163" i="2"/>
  <c r="AC162" i="2"/>
  <c r="AC161" i="2"/>
  <c r="AC160" i="2"/>
  <c r="AC159" i="2"/>
  <c r="AC158" i="2"/>
  <c r="AC157" i="2"/>
  <c r="AC156" i="2"/>
  <c r="AC155" i="2"/>
  <c r="AC154" i="2"/>
  <c r="AC153" i="2"/>
  <c r="AC152" i="2"/>
  <c r="AC151" i="2"/>
  <c r="AC150" i="2"/>
  <c r="AC149" i="2"/>
  <c r="AC148" i="2"/>
  <c r="AC147" i="2"/>
  <c r="AC146" i="2"/>
  <c r="AC145" i="2"/>
  <c r="AC144" i="2"/>
  <c r="AC143" i="2"/>
  <c r="AC142" i="2"/>
  <c r="AC141" i="2"/>
  <c r="AC140" i="2"/>
  <c r="AC139" i="2"/>
  <c r="AC138" i="2"/>
  <c r="AC137" i="2"/>
  <c r="AC136" i="2"/>
  <c r="AC135" i="2"/>
  <c r="AC134" i="2"/>
  <c r="AC133" i="2"/>
  <c r="AC132" i="2"/>
  <c r="AC131" i="2"/>
  <c r="AC130" i="2"/>
  <c r="AC129" i="2"/>
  <c r="AC128" i="2"/>
  <c r="AC127" i="2"/>
  <c r="AC126" i="2"/>
  <c r="AC125" i="2"/>
  <c r="AC124" i="2"/>
  <c r="AC123" i="2"/>
  <c r="AC122" i="2"/>
  <c r="AC121" i="2"/>
  <c r="AC120" i="2"/>
  <c r="AC119"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AC6" i="2"/>
  <c r="AC5" i="2"/>
  <c r="X723" i="2"/>
  <c r="AB723" i="2" s="1"/>
  <c r="X722" i="2"/>
  <c r="X721" i="2"/>
  <c r="X720" i="2"/>
  <c r="X719" i="2"/>
  <c r="X718" i="2"/>
  <c r="X717" i="2"/>
  <c r="X716" i="2"/>
  <c r="X715" i="2"/>
  <c r="X714" i="2"/>
  <c r="X713" i="2"/>
  <c r="X712" i="2"/>
  <c r="X711" i="2"/>
  <c r="X710" i="2"/>
  <c r="X709" i="2"/>
  <c r="X708" i="2"/>
  <c r="X707" i="2"/>
  <c r="X706" i="2"/>
  <c r="X705" i="2"/>
  <c r="X704" i="2"/>
  <c r="X703" i="2"/>
  <c r="X702" i="2"/>
  <c r="X701" i="2"/>
  <c r="X700" i="2"/>
  <c r="X699" i="2"/>
  <c r="X698" i="2"/>
  <c r="X697" i="2"/>
  <c r="X696" i="2"/>
  <c r="X695" i="2"/>
  <c r="X694" i="2"/>
  <c r="X693" i="2"/>
  <c r="X692" i="2"/>
  <c r="X691" i="2"/>
  <c r="X690" i="2"/>
  <c r="X689" i="2"/>
  <c r="X688" i="2"/>
  <c r="X687" i="2"/>
  <c r="X686" i="2"/>
  <c r="X685" i="2"/>
  <c r="X684" i="2"/>
  <c r="X683" i="2"/>
  <c r="X682" i="2"/>
  <c r="X681" i="2"/>
  <c r="X680" i="2"/>
  <c r="X679" i="2"/>
  <c r="X678" i="2"/>
  <c r="X677" i="2"/>
  <c r="X676" i="2"/>
  <c r="X675" i="2"/>
  <c r="X674" i="2"/>
  <c r="X673" i="2"/>
  <c r="X672" i="2"/>
  <c r="X671" i="2"/>
  <c r="X670" i="2"/>
  <c r="X669" i="2"/>
  <c r="X668" i="2"/>
  <c r="X667" i="2"/>
  <c r="X666" i="2"/>
  <c r="X665" i="2"/>
  <c r="X664" i="2"/>
  <c r="X663" i="2"/>
  <c r="AB663" i="2" s="1"/>
  <c r="X662" i="2"/>
  <c r="X661" i="2"/>
  <c r="X660" i="2"/>
  <c r="X659" i="2"/>
  <c r="X658" i="2"/>
  <c r="X657" i="2"/>
  <c r="X656" i="2"/>
  <c r="X655" i="2"/>
  <c r="X654" i="2"/>
  <c r="X653" i="2"/>
  <c r="X652" i="2"/>
  <c r="X651" i="2"/>
  <c r="X650" i="2"/>
  <c r="X649" i="2"/>
  <c r="X648" i="2"/>
  <c r="X647" i="2"/>
  <c r="X646" i="2"/>
  <c r="X645" i="2"/>
  <c r="X644" i="2"/>
  <c r="X643" i="2"/>
  <c r="X642" i="2"/>
  <c r="X641" i="2"/>
  <c r="X640" i="2"/>
  <c r="X639" i="2"/>
  <c r="X638" i="2"/>
  <c r="X637" i="2"/>
  <c r="X636" i="2"/>
  <c r="X635" i="2"/>
  <c r="X634" i="2"/>
  <c r="X633" i="2"/>
  <c r="X632" i="2"/>
  <c r="X631" i="2"/>
  <c r="X630" i="2"/>
  <c r="X629" i="2"/>
  <c r="X628" i="2"/>
  <c r="X627" i="2"/>
  <c r="X626" i="2"/>
  <c r="X625" i="2"/>
  <c r="X624" i="2"/>
  <c r="X623" i="2"/>
  <c r="X622" i="2"/>
  <c r="X621" i="2"/>
  <c r="X620" i="2"/>
  <c r="X619" i="2"/>
  <c r="X618" i="2"/>
  <c r="X617" i="2"/>
  <c r="X616" i="2"/>
  <c r="X615" i="2"/>
  <c r="X614" i="2"/>
  <c r="X613" i="2"/>
  <c r="X612" i="2"/>
  <c r="X611" i="2"/>
  <c r="X610" i="2"/>
  <c r="X609" i="2"/>
  <c r="X608" i="2"/>
  <c r="X607" i="2"/>
  <c r="X606" i="2"/>
  <c r="X605" i="2"/>
  <c r="X604" i="2"/>
  <c r="X603" i="2"/>
  <c r="AB603" i="2" s="1"/>
  <c r="X602" i="2"/>
  <c r="X601" i="2"/>
  <c r="X600" i="2"/>
  <c r="X599" i="2"/>
  <c r="X598" i="2"/>
  <c r="X597" i="2"/>
  <c r="X596" i="2"/>
  <c r="X595" i="2"/>
  <c r="X594" i="2"/>
  <c r="X593" i="2"/>
  <c r="X592" i="2"/>
  <c r="X591" i="2"/>
  <c r="X590" i="2"/>
  <c r="X589" i="2"/>
  <c r="X588" i="2"/>
  <c r="X587" i="2"/>
  <c r="X586" i="2"/>
  <c r="X585" i="2"/>
  <c r="X584" i="2"/>
  <c r="X583" i="2"/>
  <c r="X582" i="2"/>
  <c r="X581" i="2"/>
  <c r="X580" i="2"/>
  <c r="X579" i="2"/>
  <c r="X578" i="2"/>
  <c r="X577" i="2"/>
  <c r="X576" i="2"/>
  <c r="X575" i="2"/>
  <c r="X574" i="2"/>
  <c r="X573" i="2"/>
  <c r="X572" i="2"/>
  <c r="X571" i="2"/>
  <c r="X570" i="2"/>
  <c r="X569" i="2"/>
  <c r="X568" i="2"/>
  <c r="X567" i="2"/>
  <c r="X566" i="2"/>
  <c r="X565" i="2"/>
  <c r="X564" i="2"/>
  <c r="X563" i="2"/>
  <c r="X562" i="2"/>
  <c r="X561" i="2"/>
  <c r="X560" i="2"/>
  <c r="X559" i="2"/>
  <c r="X558" i="2"/>
  <c r="X557" i="2"/>
  <c r="X556" i="2"/>
  <c r="X555" i="2"/>
  <c r="X554" i="2"/>
  <c r="X553" i="2"/>
  <c r="X552" i="2"/>
  <c r="X551" i="2"/>
  <c r="X550" i="2"/>
  <c r="X549" i="2"/>
  <c r="X548" i="2"/>
  <c r="X547" i="2"/>
  <c r="X546" i="2"/>
  <c r="X545" i="2"/>
  <c r="X544" i="2"/>
  <c r="X543" i="2"/>
  <c r="AB543" i="2" s="1"/>
  <c r="X542" i="2"/>
  <c r="X541" i="2"/>
  <c r="X540" i="2"/>
  <c r="X539" i="2"/>
  <c r="X538" i="2"/>
  <c r="X537" i="2"/>
  <c r="X536" i="2"/>
  <c r="X535" i="2"/>
  <c r="X534" i="2"/>
  <c r="X533" i="2"/>
  <c r="X532" i="2"/>
  <c r="X531" i="2"/>
  <c r="AB531" i="2" s="1"/>
  <c r="X530" i="2"/>
  <c r="X529" i="2"/>
  <c r="X528" i="2"/>
  <c r="X527" i="2"/>
  <c r="X526" i="2"/>
  <c r="X525" i="2"/>
  <c r="X524" i="2"/>
  <c r="X523" i="2"/>
  <c r="X522" i="2"/>
  <c r="X521" i="2"/>
  <c r="X520" i="2"/>
  <c r="X519" i="2"/>
  <c r="AB519" i="2" s="1"/>
  <c r="X518" i="2"/>
  <c r="X517" i="2"/>
  <c r="X516" i="2"/>
  <c r="X515" i="2"/>
  <c r="X514" i="2"/>
  <c r="X513" i="2"/>
  <c r="X512" i="2"/>
  <c r="X511" i="2"/>
  <c r="X510" i="2"/>
  <c r="X509" i="2"/>
  <c r="X508" i="2"/>
  <c r="X507" i="2"/>
  <c r="X506" i="2"/>
  <c r="X505" i="2"/>
  <c r="X504" i="2"/>
  <c r="X503" i="2"/>
  <c r="X502" i="2"/>
  <c r="X501" i="2"/>
  <c r="X500" i="2"/>
  <c r="X499" i="2"/>
  <c r="X498" i="2"/>
  <c r="X497" i="2"/>
  <c r="X496" i="2"/>
  <c r="X495" i="2"/>
  <c r="X494" i="2"/>
  <c r="X493" i="2"/>
  <c r="X492" i="2"/>
  <c r="X491" i="2"/>
  <c r="X490" i="2"/>
  <c r="X489" i="2"/>
  <c r="X488" i="2"/>
  <c r="X487" i="2"/>
  <c r="X486" i="2"/>
  <c r="X485" i="2"/>
  <c r="X48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Q723" i="2"/>
  <c r="Q722" i="2"/>
  <c r="Q721" i="2"/>
  <c r="Q720" i="2"/>
  <c r="Q719" i="2"/>
  <c r="Q718" i="2"/>
  <c r="Q717" i="2"/>
  <c r="Q716" i="2"/>
  <c r="Q715" i="2"/>
  <c r="Q714" i="2"/>
  <c r="Q713" i="2"/>
  <c r="Q712" i="2"/>
  <c r="Q711" i="2"/>
  <c r="Q710" i="2"/>
  <c r="Q709" i="2"/>
  <c r="Q708" i="2"/>
  <c r="Q707" i="2"/>
  <c r="Q706" i="2"/>
  <c r="Q705" i="2"/>
  <c r="Q704" i="2"/>
  <c r="Q703" i="2"/>
  <c r="Q702" i="2"/>
  <c r="Q701" i="2"/>
  <c r="Q700" i="2"/>
  <c r="Q699" i="2"/>
  <c r="Q698" i="2"/>
  <c r="Q697" i="2"/>
  <c r="Q696" i="2"/>
  <c r="Q695" i="2"/>
  <c r="Q694" i="2"/>
  <c r="Q693" i="2"/>
  <c r="Q692" i="2"/>
  <c r="Q691" i="2"/>
  <c r="Q690" i="2"/>
  <c r="Q689" i="2"/>
  <c r="Q688" i="2"/>
  <c r="Q687" i="2"/>
  <c r="Q686" i="2"/>
  <c r="Q685" i="2"/>
  <c r="Q684" i="2"/>
  <c r="Q683" i="2"/>
  <c r="Q682" i="2"/>
  <c r="Q681" i="2"/>
  <c r="Q680" i="2"/>
  <c r="Q679" i="2"/>
  <c r="Q678" i="2"/>
  <c r="Q677" i="2"/>
  <c r="Q676" i="2"/>
  <c r="Q675" i="2"/>
  <c r="Q674" i="2"/>
  <c r="Q673" i="2"/>
  <c r="Q672" i="2"/>
  <c r="Q671" i="2"/>
  <c r="Q670" i="2"/>
  <c r="Q669" i="2"/>
  <c r="Q668" i="2"/>
  <c r="Q667" i="2"/>
  <c r="Q666" i="2"/>
  <c r="Q665" i="2"/>
  <c r="Q664" i="2"/>
  <c r="Q663" i="2"/>
  <c r="Q662" i="2"/>
  <c r="Q661" i="2"/>
  <c r="Q660" i="2"/>
  <c r="Q659" i="2"/>
  <c r="Q658" i="2"/>
  <c r="Q657" i="2"/>
  <c r="Q656" i="2"/>
  <c r="Q655" i="2"/>
  <c r="Q654" i="2"/>
  <c r="Q653" i="2"/>
  <c r="Q652" i="2"/>
  <c r="Q651" i="2"/>
  <c r="Q650" i="2"/>
  <c r="Q649" i="2"/>
  <c r="Q648" i="2"/>
  <c r="Q647" i="2"/>
  <c r="Q646" i="2"/>
  <c r="Q645" i="2"/>
  <c r="Q644" i="2"/>
  <c r="Q643" i="2"/>
  <c r="Q642" i="2"/>
  <c r="Q641" i="2"/>
  <c r="Q640" i="2"/>
  <c r="Q639" i="2"/>
  <c r="Q638" i="2"/>
  <c r="Q637" i="2"/>
  <c r="Q636"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0" i="2"/>
  <c r="Q462" i="2"/>
  <c r="Q461" i="2"/>
  <c r="Q456" i="2"/>
  <c r="Q453" i="2"/>
  <c r="Q452" i="2"/>
  <c r="Q449" i="2"/>
  <c r="Q448" i="2"/>
  <c r="Q446" i="2"/>
  <c r="Q444" i="2"/>
  <c r="Q440" i="2"/>
  <c r="Q438" i="2"/>
  <c r="Q437" i="2"/>
  <c r="Q436" i="2"/>
  <c r="Q433" i="2"/>
  <c r="Q430" i="2"/>
  <c r="Q428" i="2"/>
  <c r="Q425" i="2"/>
  <c r="Q424" i="2"/>
  <c r="Q422" i="2"/>
  <c r="Q421" i="2"/>
  <c r="Q417" i="2"/>
  <c r="Q414" i="2"/>
  <c r="Q413" i="2"/>
  <c r="Q412" i="2"/>
  <c r="Q409" i="2"/>
  <c r="Q408" i="2"/>
  <c r="Q406" i="2"/>
  <c r="Q404" i="2"/>
  <c r="Q401" i="2"/>
  <c r="Q400" i="2"/>
  <c r="Q399" i="2"/>
  <c r="Q398" i="2"/>
  <c r="Q396" i="2"/>
  <c r="Q392" i="2"/>
  <c r="Q391" i="2"/>
  <c r="Q390" i="2"/>
  <c r="Q389" i="2"/>
  <c r="Q388" i="2"/>
  <c r="Q384" i="2"/>
  <c r="Q382" i="2"/>
  <c r="Q381" i="2"/>
  <c r="Q380" i="2"/>
  <c r="Q377" i="2"/>
  <c r="Q376" i="2"/>
  <c r="Q374" i="2"/>
  <c r="Q372" i="2"/>
  <c r="Q369" i="2"/>
  <c r="Q368" i="2"/>
  <c r="Q367" i="2"/>
  <c r="Q366" i="2"/>
  <c r="Q364" i="2"/>
  <c r="Q360" i="2"/>
  <c r="Q359" i="2"/>
  <c r="Q358" i="2"/>
  <c r="Q357" i="2"/>
  <c r="Q356" i="2"/>
  <c r="Q352" i="2"/>
  <c r="Q350" i="2"/>
  <c r="Q349" i="2"/>
  <c r="Q348" i="2"/>
  <c r="Q345" i="2"/>
  <c r="Q344" i="2"/>
  <c r="Q342" i="2"/>
  <c r="Q340" i="2"/>
  <c r="Q337" i="2"/>
  <c r="Q336" i="2"/>
  <c r="Q335" i="2"/>
  <c r="Q334" i="2"/>
  <c r="Q332" i="2"/>
  <c r="Q328" i="2"/>
  <c r="Q327" i="2"/>
  <c r="Q326" i="2"/>
  <c r="Q325" i="2"/>
  <c r="Q324" i="2"/>
  <c r="Q320" i="2"/>
  <c r="Q318" i="2"/>
  <c r="Q317" i="2"/>
  <c r="Q316" i="2"/>
  <c r="Q313" i="2"/>
  <c r="Q312" i="2"/>
  <c r="Q310" i="2"/>
  <c r="Q308" i="2"/>
  <c r="Q305" i="2"/>
  <c r="Q304" i="2"/>
  <c r="Q303" i="2"/>
  <c r="Q302" i="2"/>
  <c r="Q300" i="2"/>
  <c r="Q296" i="2"/>
  <c r="Q295" i="2"/>
  <c r="Q294" i="2"/>
  <c r="Q293" i="2"/>
  <c r="Q292" i="2"/>
  <c r="Q288" i="2"/>
  <c r="Q286" i="2"/>
  <c r="Q285" i="2"/>
  <c r="Q284" i="2"/>
  <c r="Q281" i="2"/>
  <c r="Q280" i="2"/>
  <c r="Q278" i="2"/>
  <c r="Q276" i="2"/>
  <c r="Q273" i="2"/>
  <c r="Q272" i="2"/>
  <c r="Q271" i="2"/>
  <c r="Q270" i="2"/>
  <c r="Q268" i="2"/>
  <c r="Q264" i="2"/>
  <c r="Q263" i="2"/>
  <c r="Q262" i="2"/>
  <c r="Q261" i="2"/>
  <c r="Q260" i="2"/>
  <c r="Q256" i="2"/>
  <c r="Q254" i="2"/>
  <c r="Q253" i="2"/>
  <c r="Q252" i="2"/>
  <c r="Q249" i="2"/>
  <c r="Q248" i="2"/>
  <c r="Q246" i="2"/>
  <c r="Q244" i="2"/>
  <c r="Q241" i="2"/>
  <c r="Q240" i="2"/>
  <c r="Q239" i="2"/>
  <c r="Q238" i="2"/>
  <c r="Q236" i="2"/>
  <c r="Q232" i="2"/>
  <c r="Q231" i="2"/>
  <c r="Q230" i="2"/>
  <c r="Q229" i="2"/>
  <c r="Q228" i="2"/>
  <c r="Q224" i="2"/>
  <c r="Q222" i="2"/>
  <c r="Q221" i="2"/>
  <c r="Q220" i="2"/>
  <c r="Q217" i="2"/>
  <c r="Q216" i="2"/>
  <c r="Q214" i="2"/>
  <c r="Q212" i="2"/>
  <c r="Q209" i="2"/>
  <c r="Q208" i="2"/>
  <c r="Q207" i="2"/>
  <c r="Q206" i="2"/>
  <c r="Q204" i="2"/>
  <c r="Q200" i="2"/>
  <c r="Q199" i="2"/>
  <c r="Q198" i="2"/>
  <c r="Q197" i="2"/>
  <c r="Q196" i="2"/>
  <c r="Q192" i="2"/>
  <c r="Q190" i="2"/>
  <c r="Q189" i="2"/>
  <c r="Q188" i="2"/>
  <c r="Q185" i="2"/>
  <c r="Q184" i="2"/>
  <c r="Q182" i="2"/>
  <c r="Q180" i="2"/>
  <c r="Q177" i="2"/>
  <c r="Q176" i="2"/>
  <c r="Q175" i="2"/>
  <c r="Q174" i="2"/>
  <c r="Q172" i="2"/>
  <c r="Q168" i="2"/>
  <c r="Q167" i="2"/>
  <c r="Q166" i="2"/>
  <c r="Q165" i="2"/>
  <c r="Q164" i="2"/>
  <c r="Q160" i="2"/>
  <c r="Q158" i="2"/>
  <c r="Q157" i="2"/>
  <c r="Q156" i="2"/>
  <c r="Q153" i="2"/>
  <c r="Q152" i="2"/>
  <c r="Q150" i="2"/>
  <c r="Q148" i="2"/>
  <c r="Q145" i="2"/>
  <c r="Q144" i="2"/>
  <c r="Q143" i="2"/>
  <c r="Q142" i="2"/>
  <c r="Q140" i="2"/>
  <c r="Q136" i="2"/>
  <c r="Q135" i="2"/>
  <c r="Q134" i="2"/>
  <c r="Q133" i="2"/>
  <c r="Q132" i="2"/>
  <c r="Q130" i="2"/>
  <c r="Q128" i="2"/>
  <c r="Q127" i="2"/>
  <c r="Q126" i="2"/>
  <c r="Q125" i="2"/>
  <c r="Q124"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R723" i="2"/>
  <c r="R722" i="2"/>
  <c r="R721" i="2"/>
  <c r="R720" i="2"/>
  <c r="R719" i="2"/>
  <c r="R718" i="2"/>
  <c r="R717" i="2"/>
  <c r="R716" i="2"/>
  <c r="R715" i="2"/>
  <c r="R714" i="2"/>
  <c r="R713" i="2"/>
  <c r="R712" i="2"/>
  <c r="R711" i="2"/>
  <c r="R710" i="2"/>
  <c r="R709" i="2"/>
  <c r="R708" i="2"/>
  <c r="R707" i="2"/>
  <c r="R706" i="2"/>
  <c r="R705" i="2"/>
  <c r="R704" i="2"/>
  <c r="R703" i="2"/>
  <c r="R702" i="2"/>
  <c r="R701" i="2"/>
  <c r="R700" i="2"/>
  <c r="R699" i="2"/>
  <c r="R698" i="2"/>
  <c r="R697" i="2"/>
  <c r="R696" i="2"/>
  <c r="R695" i="2"/>
  <c r="R694" i="2"/>
  <c r="R693" i="2"/>
  <c r="R692" i="2"/>
  <c r="R691" i="2"/>
  <c r="R690" i="2"/>
  <c r="R689" i="2"/>
  <c r="R688" i="2"/>
  <c r="R687" i="2"/>
  <c r="R686" i="2"/>
  <c r="R685" i="2"/>
  <c r="R684" i="2"/>
  <c r="R683" i="2"/>
  <c r="R682" i="2"/>
  <c r="R681" i="2"/>
  <c r="R680" i="2"/>
  <c r="R679" i="2"/>
  <c r="R678" i="2"/>
  <c r="R677" i="2"/>
  <c r="R676" i="2"/>
  <c r="R675" i="2"/>
  <c r="R674" i="2"/>
  <c r="R673" i="2"/>
  <c r="R672" i="2"/>
  <c r="R671" i="2"/>
  <c r="R670" i="2"/>
  <c r="R669" i="2"/>
  <c r="R668" i="2"/>
  <c r="R667" i="2"/>
  <c r="R666" i="2"/>
  <c r="R665" i="2"/>
  <c r="R664" i="2"/>
  <c r="R663" i="2"/>
  <c r="R662" i="2"/>
  <c r="R661" i="2"/>
  <c r="R660" i="2"/>
  <c r="R659" i="2"/>
  <c r="R658" i="2"/>
  <c r="R657" i="2"/>
  <c r="R656" i="2"/>
  <c r="R655" i="2"/>
  <c r="R654" i="2"/>
  <c r="R653" i="2"/>
  <c r="R652" i="2"/>
  <c r="R651" i="2"/>
  <c r="R650" i="2"/>
  <c r="R649" i="2"/>
  <c r="R648" i="2"/>
  <c r="R647" i="2"/>
  <c r="R646" i="2"/>
  <c r="R645" i="2"/>
  <c r="R644" i="2"/>
  <c r="R643" i="2"/>
  <c r="R642" i="2"/>
  <c r="R641" i="2"/>
  <c r="R640" i="2"/>
  <c r="R639" i="2"/>
  <c r="R638" i="2"/>
  <c r="R637" i="2"/>
  <c r="R636" i="2"/>
  <c r="R635" i="2"/>
  <c r="R634" i="2"/>
  <c r="R633" i="2"/>
  <c r="R632" i="2"/>
  <c r="R631" i="2"/>
  <c r="R630" i="2"/>
  <c r="R629" i="2"/>
  <c r="R628" i="2"/>
  <c r="R627" i="2"/>
  <c r="R626" i="2"/>
  <c r="R625" i="2"/>
  <c r="R624" i="2"/>
  <c r="R623" i="2"/>
  <c r="R622" i="2"/>
  <c r="R621" i="2"/>
  <c r="R620" i="2"/>
  <c r="R619" i="2"/>
  <c r="R618" i="2"/>
  <c r="R617" i="2"/>
  <c r="R616" i="2"/>
  <c r="R615" i="2"/>
  <c r="R614" i="2"/>
  <c r="R613" i="2"/>
  <c r="R612" i="2"/>
  <c r="R611" i="2"/>
  <c r="R610" i="2"/>
  <c r="R609" i="2"/>
  <c r="R608" i="2"/>
  <c r="R607" i="2"/>
  <c r="R606" i="2"/>
  <c r="R605" i="2"/>
  <c r="R604" i="2"/>
  <c r="R603" i="2"/>
  <c r="R602" i="2"/>
  <c r="R601" i="2"/>
  <c r="R600" i="2"/>
  <c r="R599" i="2"/>
  <c r="R598" i="2"/>
  <c r="R597" i="2"/>
  <c r="R596" i="2"/>
  <c r="R595" i="2"/>
  <c r="R594" i="2"/>
  <c r="R593" i="2"/>
  <c r="R592" i="2"/>
  <c r="R591" i="2"/>
  <c r="R590" i="2"/>
  <c r="R589" i="2"/>
  <c r="R588" i="2"/>
  <c r="R587" i="2"/>
  <c r="R586" i="2"/>
  <c r="R585" i="2"/>
  <c r="R584" i="2"/>
  <c r="R583" i="2"/>
  <c r="R582" i="2"/>
  <c r="R581" i="2"/>
  <c r="R580" i="2"/>
  <c r="R579" i="2"/>
  <c r="R578" i="2"/>
  <c r="R577" i="2"/>
  <c r="R576" i="2"/>
  <c r="R575" i="2"/>
  <c r="R574" i="2"/>
  <c r="R573" i="2"/>
  <c r="R572" i="2"/>
  <c r="R571" i="2"/>
  <c r="R570" i="2"/>
  <c r="R569" i="2"/>
  <c r="R568" i="2"/>
  <c r="R567" i="2"/>
  <c r="R566" i="2"/>
  <c r="R565" i="2"/>
  <c r="R564" i="2"/>
  <c r="R563" i="2"/>
  <c r="R562" i="2"/>
  <c r="R561" i="2"/>
  <c r="R560" i="2"/>
  <c r="R559" i="2"/>
  <c r="R558" i="2"/>
  <c r="R557" i="2"/>
  <c r="R556" i="2"/>
  <c r="R555" i="2"/>
  <c r="R554" i="2"/>
  <c r="R553" i="2"/>
  <c r="R552" i="2"/>
  <c r="R551" i="2"/>
  <c r="R550" i="2"/>
  <c r="R549" i="2"/>
  <c r="R548" i="2"/>
  <c r="R547" i="2"/>
  <c r="R546" i="2"/>
  <c r="R545" i="2"/>
  <c r="R544" i="2"/>
  <c r="R543" i="2"/>
  <c r="R542" i="2"/>
  <c r="R541" i="2"/>
  <c r="R540" i="2"/>
  <c r="R539" i="2"/>
  <c r="R538" i="2"/>
  <c r="R537" i="2"/>
  <c r="R536" i="2"/>
  <c r="R535" i="2"/>
  <c r="R534" i="2"/>
  <c r="R533" i="2"/>
  <c r="R532" i="2"/>
  <c r="R531" i="2"/>
  <c r="R530" i="2"/>
  <c r="R529" i="2"/>
  <c r="R528" i="2"/>
  <c r="R527" i="2"/>
  <c r="R526" i="2"/>
  <c r="R525" i="2"/>
  <c r="R524" i="2"/>
  <c r="R523" i="2"/>
  <c r="R522" i="2"/>
  <c r="R521" i="2"/>
  <c r="R520" i="2"/>
  <c r="R519" i="2"/>
  <c r="R518" i="2"/>
  <c r="R517" i="2"/>
  <c r="R516" i="2"/>
  <c r="R515" i="2"/>
  <c r="R514" i="2"/>
  <c r="R513" i="2"/>
  <c r="R512" i="2"/>
  <c r="R511" i="2"/>
  <c r="R510" i="2"/>
  <c r="R509" i="2"/>
  <c r="R508" i="2"/>
  <c r="R507" i="2"/>
  <c r="R506" i="2"/>
  <c r="R505" i="2"/>
  <c r="R504" i="2"/>
  <c r="R503" i="2"/>
  <c r="R502" i="2"/>
  <c r="R501" i="2"/>
  <c r="R500" i="2"/>
  <c r="R499" i="2"/>
  <c r="R498" i="2"/>
  <c r="R497" i="2"/>
  <c r="R496" i="2"/>
  <c r="R495" i="2"/>
  <c r="R494" i="2"/>
  <c r="R493" i="2"/>
  <c r="R492" i="2"/>
  <c r="R491" i="2"/>
  <c r="R490" i="2"/>
  <c r="R489" i="2"/>
  <c r="R488" i="2"/>
  <c r="R487" i="2"/>
  <c r="R486" i="2"/>
  <c r="R485" i="2"/>
  <c r="R484" i="2"/>
  <c r="R483" i="2"/>
  <c r="R482" i="2"/>
  <c r="R481" i="2"/>
  <c r="R480" i="2"/>
  <c r="R479" i="2"/>
  <c r="R478" i="2"/>
  <c r="R477" i="2"/>
  <c r="R476" i="2"/>
  <c r="R475" i="2"/>
  <c r="R474" i="2"/>
  <c r="R473" i="2"/>
  <c r="R472" i="2"/>
  <c r="R471" i="2"/>
  <c r="R470" i="2"/>
  <c r="R469" i="2"/>
  <c r="R468" i="2"/>
  <c r="R467" i="2"/>
  <c r="R466" i="2"/>
  <c r="R465" i="2"/>
  <c r="R464" i="2"/>
  <c r="R463" i="2"/>
  <c r="R462" i="2"/>
  <c r="R461" i="2"/>
  <c r="R460" i="2"/>
  <c r="R459" i="2"/>
  <c r="R458" i="2"/>
  <c r="R457" i="2"/>
  <c r="R456" i="2"/>
  <c r="R455" i="2"/>
  <c r="R454" i="2"/>
  <c r="R453" i="2"/>
  <c r="R452" i="2"/>
  <c r="R451" i="2"/>
  <c r="R450" i="2"/>
  <c r="R449" i="2"/>
  <c r="R448" i="2"/>
  <c r="R447" i="2"/>
  <c r="R446" i="2"/>
  <c r="R445" i="2"/>
  <c r="R444" i="2"/>
  <c r="R443" i="2"/>
  <c r="R442" i="2"/>
  <c r="R441" i="2"/>
  <c r="R440" i="2"/>
  <c r="R439" i="2"/>
  <c r="R438" i="2"/>
  <c r="R437" i="2"/>
  <c r="R436" i="2"/>
  <c r="R435" i="2"/>
  <c r="R434" i="2"/>
  <c r="R433" i="2"/>
  <c r="R432" i="2"/>
  <c r="R431" i="2"/>
  <c r="R430" i="2"/>
  <c r="R429" i="2"/>
  <c r="R428" i="2"/>
  <c r="R427" i="2"/>
  <c r="R426" i="2"/>
  <c r="R425" i="2"/>
  <c r="R424" i="2"/>
  <c r="R423" i="2"/>
  <c r="R422" i="2"/>
  <c r="R421" i="2"/>
  <c r="R420" i="2"/>
  <c r="R419" i="2"/>
  <c r="R418" i="2"/>
  <c r="R417" i="2"/>
  <c r="R416" i="2"/>
  <c r="R415" i="2"/>
  <c r="R414" i="2"/>
  <c r="R413" i="2"/>
  <c r="R412" i="2"/>
  <c r="R411" i="2"/>
  <c r="R410" i="2"/>
  <c r="R409" i="2"/>
  <c r="R408" i="2"/>
  <c r="R407" i="2"/>
  <c r="R406" i="2"/>
  <c r="R405" i="2"/>
  <c r="R404" i="2"/>
  <c r="R403" i="2"/>
  <c r="R402" i="2"/>
  <c r="R401" i="2"/>
  <c r="R400" i="2"/>
  <c r="R399" i="2"/>
  <c r="R398" i="2"/>
  <c r="R397" i="2"/>
  <c r="R396" i="2"/>
  <c r="R395" i="2"/>
  <c r="R394" i="2"/>
  <c r="R393" i="2"/>
  <c r="R392" i="2"/>
  <c r="R391" i="2"/>
  <c r="R390" i="2"/>
  <c r="R389" i="2"/>
  <c r="R388" i="2"/>
  <c r="R387" i="2"/>
  <c r="R386" i="2"/>
  <c r="R385" i="2"/>
  <c r="R384" i="2"/>
  <c r="R383" i="2"/>
  <c r="R382" i="2"/>
  <c r="R381" i="2"/>
  <c r="R380" i="2"/>
  <c r="R379" i="2"/>
  <c r="R378" i="2"/>
  <c r="R377" i="2"/>
  <c r="R376" i="2"/>
  <c r="R375" i="2"/>
  <c r="R374" i="2"/>
  <c r="R373" i="2"/>
  <c r="R372" i="2"/>
  <c r="R371" i="2"/>
  <c r="R370" i="2"/>
  <c r="R369" i="2"/>
  <c r="R368" i="2"/>
  <c r="R367" i="2"/>
  <c r="R366" i="2"/>
  <c r="R365" i="2"/>
  <c r="R364" i="2"/>
  <c r="R363" i="2"/>
  <c r="R362" i="2"/>
  <c r="R361" i="2"/>
  <c r="R360" i="2"/>
  <c r="R359" i="2"/>
  <c r="R358" i="2"/>
  <c r="R357" i="2"/>
  <c r="R356" i="2"/>
  <c r="R355" i="2"/>
  <c r="R354" i="2"/>
  <c r="R353" i="2"/>
  <c r="R352" i="2"/>
  <c r="R351" i="2"/>
  <c r="R350" i="2"/>
  <c r="R349" i="2"/>
  <c r="R348" i="2"/>
  <c r="R347" i="2"/>
  <c r="R346" i="2"/>
  <c r="R345" i="2"/>
  <c r="R344" i="2"/>
  <c r="R343" i="2"/>
  <c r="R342" i="2"/>
  <c r="R341" i="2"/>
  <c r="R340" i="2"/>
  <c r="R339" i="2"/>
  <c r="R338" i="2"/>
  <c r="R337" i="2"/>
  <c r="R336" i="2"/>
  <c r="R335" i="2"/>
  <c r="R334" i="2"/>
  <c r="R333" i="2"/>
  <c r="R332" i="2"/>
  <c r="R331" i="2"/>
  <c r="R330" i="2"/>
  <c r="R329" i="2"/>
  <c r="R328" i="2"/>
  <c r="R327" i="2"/>
  <c r="R326" i="2"/>
  <c r="R325" i="2"/>
  <c r="R324" i="2"/>
  <c r="R323" i="2"/>
  <c r="R322" i="2"/>
  <c r="R321" i="2"/>
  <c r="R320" i="2"/>
  <c r="R319" i="2"/>
  <c r="R318" i="2"/>
  <c r="R317" i="2"/>
  <c r="R316" i="2"/>
  <c r="R315" i="2"/>
  <c r="R314" i="2"/>
  <c r="R313" i="2"/>
  <c r="R312" i="2"/>
  <c r="R311" i="2"/>
  <c r="R310" i="2"/>
  <c r="R309" i="2"/>
  <c r="R308" i="2"/>
  <c r="R307" i="2"/>
  <c r="R306" i="2"/>
  <c r="R305" i="2"/>
  <c r="R304" i="2"/>
  <c r="R303" i="2"/>
  <c r="R302" i="2"/>
  <c r="R301" i="2"/>
  <c r="R300" i="2"/>
  <c r="R299" i="2"/>
  <c r="R298" i="2"/>
  <c r="R297" i="2"/>
  <c r="R296" i="2"/>
  <c r="R295" i="2"/>
  <c r="R294" i="2"/>
  <c r="R293" i="2"/>
  <c r="R292" i="2"/>
  <c r="R291" i="2"/>
  <c r="R290" i="2"/>
  <c r="R289" i="2"/>
  <c r="R288" i="2"/>
  <c r="R287" i="2"/>
  <c r="R286" i="2"/>
  <c r="R285" i="2"/>
  <c r="R284" i="2"/>
  <c r="R283" i="2"/>
  <c r="R282" i="2"/>
  <c r="R281" i="2"/>
  <c r="R280" i="2"/>
  <c r="R279" i="2"/>
  <c r="R278" i="2"/>
  <c r="R277" i="2"/>
  <c r="R276" i="2"/>
  <c r="R275" i="2"/>
  <c r="R274" i="2"/>
  <c r="R273" i="2"/>
  <c r="R272" i="2"/>
  <c r="R271" i="2"/>
  <c r="R270" i="2"/>
  <c r="R269" i="2"/>
  <c r="R268" i="2"/>
  <c r="R267" i="2"/>
  <c r="R266" i="2"/>
  <c r="R265" i="2"/>
  <c r="R264" i="2"/>
  <c r="R263" i="2"/>
  <c r="R262" i="2"/>
  <c r="R261" i="2"/>
  <c r="R260" i="2"/>
  <c r="R259" i="2"/>
  <c r="R258" i="2"/>
  <c r="R257" i="2"/>
  <c r="R256" i="2"/>
  <c r="R255" i="2"/>
  <c r="R254" i="2"/>
  <c r="R253" i="2"/>
  <c r="R252" i="2"/>
  <c r="R251" i="2"/>
  <c r="R250" i="2"/>
  <c r="R249" i="2"/>
  <c r="R248" i="2"/>
  <c r="R247" i="2"/>
  <c r="R246" i="2"/>
  <c r="R245" i="2"/>
  <c r="R244" i="2"/>
  <c r="R243" i="2"/>
  <c r="R242" i="2"/>
  <c r="R241" i="2"/>
  <c r="R240" i="2"/>
  <c r="R239" i="2"/>
  <c r="R238" i="2"/>
  <c r="R237" i="2"/>
  <c r="R236" i="2"/>
  <c r="R235" i="2"/>
  <c r="R234" i="2"/>
  <c r="R233" i="2"/>
  <c r="R232" i="2"/>
  <c r="R231" i="2"/>
  <c r="R230" i="2"/>
  <c r="R229" i="2"/>
  <c r="R228" i="2"/>
  <c r="R227" i="2"/>
  <c r="R226" i="2"/>
  <c r="R225" i="2"/>
  <c r="R224" i="2"/>
  <c r="R223" i="2"/>
  <c r="R222" i="2"/>
  <c r="R221" i="2"/>
  <c r="R220" i="2"/>
  <c r="R219" i="2"/>
  <c r="R218" i="2"/>
  <c r="R217" i="2"/>
  <c r="R216" i="2"/>
  <c r="R215" i="2"/>
  <c r="R214" i="2"/>
  <c r="R213" i="2"/>
  <c r="R212" i="2"/>
  <c r="R211" i="2"/>
  <c r="R210" i="2"/>
  <c r="R209" i="2"/>
  <c r="R208" i="2"/>
  <c r="R207" i="2"/>
  <c r="R206" i="2"/>
  <c r="R205" i="2"/>
  <c r="R204" i="2"/>
  <c r="R203" i="2"/>
  <c r="R202" i="2"/>
  <c r="R201" i="2"/>
  <c r="R200" i="2"/>
  <c r="R199" i="2"/>
  <c r="R198" i="2"/>
  <c r="R197" i="2"/>
  <c r="R196" i="2"/>
  <c r="R195" i="2"/>
  <c r="R194" i="2"/>
  <c r="R193" i="2"/>
  <c r="R192" i="2"/>
  <c r="R191" i="2"/>
  <c r="R190" i="2"/>
  <c r="R189" i="2"/>
  <c r="R188" i="2"/>
  <c r="R187" i="2"/>
  <c r="R186" i="2"/>
  <c r="R185" i="2"/>
  <c r="R184" i="2"/>
  <c r="R183" i="2"/>
  <c r="R182" i="2"/>
  <c r="R181" i="2"/>
  <c r="R180" i="2"/>
  <c r="R179" i="2"/>
  <c r="R178" i="2"/>
  <c r="R177" i="2"/>
  <c r="R176" i="2"/>
  <c r="R175" i="2"/>
  <c r="R174" i="2"/>
  <c r="R173" i="2"/>
  <c r="R172" i="2"/>
  <c r="R171" i="2"/>
  <c r="R170" i="2"/>
  <c r="R169" i="2"/>
  <c r="R168" i="2"/>
  <c r="R167" i="2"/>
  <c r="R166" i="2"/>
  <c r="R165" i="2"/>
  <c r="R164"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E15" i="1"/>
  <c r="G6" i="10"/>
  <c r="G3" i="10"/>
  <c r="F40" i="10"/>
  <c r="F39" i="10"/>
  <c r="F37" i="10"/>
  <c r="F36" i="10"/>
  <c r="F34" i="10"/>
  <c r="F33" i="10"/>
  <c r="F31" i="10"/>
  <c r="F30" i="10"/>
  <c r="F28" i="10"/>
  <c r="F27" i="10"/>
  <c r="F25" i="10"/>
  <c r="F24" i="10"/>
  <c r="F22" i="10"/>
  <c r="F21" i="10"/>
  <c r="F19" i="10"/>
  <c r="F18" i="10"/>
  <c r="F16" i="10"/>
  <c r="F15" i="10"/>
  <c r="F13" i="10"/>
  <c r="F12" i="10"/>
  <c r="F10" i="10"/>
  <c r="F9" i="10"/>
  <c r="F7" i="10"/>
  <c r="F6" i="10"/>
  <c r="D4" i="10"/>
  <c r="D3" i="10"/>
  <c r="AB128" i="26" l="1"/>
  <c r="AB127" i="26"/>
  <c r="AB126" i="26"/>
  <c r="T54" i="26"/>
  <c r="I55" i="26"/>
  <c r="Z128" i="26"/>
  <c r="Z127" i="26"/>
  <c r="Z126" i="26"/>
  <c r="Y126" i="26"/>
  <c r="Y128" i="26"/>
  <c r="Y127" i="26"/>
  <c r="AA128" i="26"/>
  <c r="AA127" i="26"/>
  <c r="AA126" i="26"/>
  <c r="W128" i="26"/>
  <c r="W127" i="26"/>
  <c r="W126" i="26"/>
  <c r="S649" i="2"/>
  <c r="S673" i="2"/>
  <c r="S697" i="2"/>
  <c r="S721" i="2"/>
  <c r="S610" i="2"/>
  <c r="S618" i="2"/>
  <c r="S626" i="2"/>
  <c r="S634" i="2"/>
  <c r="S642" i="2"/>
  <c r="S650" i="2"/>
  <c r="S658" i="2"/>
  <c r="S666" i="2"/>
  <c r="S674" i="2"/>
  <c r="S682" i="2"/>
  <c r="S690" i="2"/>
  <c r="S698" i="2"/>
  <c r="S706" i="2"/>
  <c r="S714" i="2"/>
  <c r="S722" i="2"/>
  <c r="S609" i="2"/>
  <c r="S657" i="2"/>
  <c r="S681" i="2"/>
  <c r="S705" i="2"/>
  <c r="S627" i="2"/>
  <c r="S667" i="2"/>
  <c r="S723" i="2"/>
  <c r="S617" i="2"/>
  <c r="S611" i="2"/>
  <c r="S619" i="2"/>
  <c r="S635" i="2"/>
  <c r="S643" i="2"/>
  <c r="S651" i="2"/>
  <c r="S659" i="2"/>
  <c r="S675" i="2"/>
  <c r="S683" i="2"/>
  <c r="S691" i="2"/>
  <c r="S699" i="2"/>
  <c r="S707" i="2"/>
  <c r="S715" i="2"/>
  <c r="S604" i="2"/>
  <c r="S612" i="2"/>
  <c r="S620" i="2"/>
  <c r="S628" i="2"/>
  <c r="S636" i="2"/>
  <c r="S644" i="2"/>
  <c r="S652" i="2"/>
  <c r="S660" i="2"/>
  <c r="S668" i="2"/>
  <c r="S676" i="2"/>
  <c r="S684" i="2"/>
  <c r="S692" i="2"/>
  <c r="S700" i="2"/>
  <c r="S708" i="2"/>
  <c r="S716" i="2"/>
  <c r="S665" i="2"/>
  <c r="S689" i="2"/>
  <c r="S713" i="2"/>
  <c r="S629" i="2"/>
  <c r="S685" i="2"/>
  <c r="S709" i="2"/>
  <c r="S641" i="2"/>
  <c r="S605" i="2"/>
  <c r="S637" i="2"/>
  <c r="S661" i="2"/>
  <c r="S693" i="2"/>
  <c r="S606" i="2"/>
  <c r="S614" i="2"/>
  <c r="S622" i="2"/>
  <c r="S630" i="2"/>
  <c r="S638" i="2"/>
  <c r="S646" i="2"/>
  <c r="S654" i="2"/>
  <c r="S662" i="2"/>
  <c r="S670" i="2"/>
  <c r="S678" i="2"/>
  <c r="S686" i="2"/>
  <c r="S694" i="2"/>
  <c r="S702" i="2"/>
  <c r="S710" i="2"/>
  <c r="S718" i="2"/>
  <c r="S633" i="2"/>
  <c r="S613" i="2"/>
  <c r="S645" i="2"/>
  <c r="S669" i="2"/>
  <c r="S701" i="2"/>
  <c r="S607" i="2"/>
  <c r="S615" i="2"/>
  <c r="S623" i="2"/>
  <c r="S631" i="2"/>
  <c r="S639" i="2"/>
  <c r="S647" i="2"/>
  <c r="S655" i="2"/>
  <c r="S663" i="2"/>
  <c r="S671" i="2"/>
  <c r="S679" i="2"/>
  <c r="S687" i="2"/>
  <c r="S695" i="2"/>
  <c r="S703" i="2"/>
  <c r="S711" i="2"/>
  <c r="S719" i="2"/>
  <c r="S625" i="2"/>
  <c r="S621" i="2"/>
  <c r="S653" i="2"/>
  <c r="S677" i="2"/>
  <c r="S717" i="2"/>
  <c r="S608" i="2"/>
  <c r="S616" i="2"/>
  <c r="S624" i="2"/>
  <c r="S632" i="2"/>
  <c r="S640" i="2"/>
  <c r="S648" i="2"/>
  <c r="S656" i="2"/>
  <c r="S664" i="2"/>
  <c r="S672" i="2"/>
  <c r="S680" i="2"/>
  <c r="S688" i="2"/>
  <c r="S696" i="2"/>
  <c r="S704" i="2"/>
  <c r="S712" i="2"/>
  <c r="S720" i="2"/>
  <c r="S489" i="2"/>
  <c r="S497" i="2"/>
  <c r="S505" i="2"/>
  <c r="S513" i="2"/>
  <c r="S521" i="2"/>
  <c r="S529" i="2"/>
  <c r="S537" i="2"/>
  <c r="S545" i="2"/>
  <c r="S553" i="2"/>
  <c r="S561" i="2"/>
  <c r="S569" i="2"/>
  <c r="S577" i="2"/>
  <c r="S585" i="2"/>
  <c r="S593" i="2"/>
  <c r="S601" i="2"/>
  <c r="S490" i="2"/>
  <c r="S498" i="2"/>
  <c r="S506" i="2"/>
  <c r="S514" i="2"/>
  <c r="S522" i="2"/>
  <c r="S530" i="2"/>
  <c r="S538" i="2"/>
  <c r="S546" i="2"/>
  <c r="S554" i="2"/>
  <c r="S562" i="2"/>
  <c r="S570" i="2"/>
  <c r="S578" i="2"/>
  <c r="S586" i="2"/>
  <c r="S594" i="2"/>
  <c r="S602" i="2"/>
  <c r="S491" i="2"/>
  <c r="S499" i="2"/>
  <c r="S507" i="2"/>
  <c r="S515" i="2"/>
  <c r="S523" i="2"/>
  <c r="S531" i="2"/>
  <c r="S539" i="2"/>
  <c r="S547" i="2"/>
  <c r="S555" i="2"/>
  <c r="S563" i="2"/>
  <c r="S571" i="2"/>
  <c r="S579" i="2"/>
  <c r="S587" i="2"/>
  <c r="S595" i="2"/>
  <c r="S603" i="2"/>
  <c r="S484" i="2"/>
  <c r="S492" i="2"/>
  <c r="S500" i="2"/>
  <c r="S508" i="2"/>
  <c r="S516" i="2"/>
  <c r="S524" i="2"/>
  <c r="S532" i="2"/>
  <c r="S540" i="2"/>
  <c r="S548" i="2"/>
  <c r="S556" i="2"/>
  <c r="S564" i="2"/>
  <c r="S572" i="2"/>
  <c r="S580" i="2"/>
  <c r="S588" i="2"/>
  <c r="S596" i="2"/>
  <c r="S485" i="2"/>
  <c r="S493" i="2"/>
  <c r="S501" i="2"/>
  <c r="S509" i="2"/>
  <c r="S517" i="2"/>
  <c r="S525" i="2"/>
  <c r="S533" i="2"/>
  <c r="S541" i="2"/>
  <c r="S549" i="2"/>
  <c r="S557" i="2"/>
  <c r="S565" i="2"/>
  <c r="S573" i="2"/>
  <c r="S581" i="2"/>
  <c r="S589" i="2"/>
  <c r="S597" i="2"/>
  <c r="S486" i="2"/>
  <c r="S494" i="2"/>
  <c r="S502" i="2"/>
  <c r="S510" i="2"/>
  <c r="S518" i="2"/>
  <c r="S526" i="2"/>
  <c r="S534" i="2"/>
  <c r="S542" i="2"/>
  <c r="S550" i="2"/>
  <c r="S558" i="2"/>
  <c r="S566" i="2"/>
  <c r="S574" i="2"/>
  <c r="S582" i="2"/>
  <c r="S590" i="2"/>
  <c r="S598" i="2"/>
  <c r="S487" i="2"/>
  <c r="S495" i="2"/>
  <c r="S503" i="2"/>
  <c r="S511" i="2"/>
  <c r="S519" i="2"/>
  <c r="S527" i="2"/>
  <c r="S535" i="2"/>
  <c r="S543" i="2"/>
  <c r="S551" i="2"/>
  <c r="S559" i="2"/>
  <c r="S567" i="2"/>
  <c r="S575" i="2"/>
  <c r="S583" i="2"/>
  <c r="S591" i="2"/>
  <c r="S599" i="2"/>
  <c r="S488" i="2"/>
  <c r="S496" i="2"/>
  <c r="S504" i="2"/>
  <c r="S512" i="2"/>
  <c r="S520" i="2"/>
  <c r="S528" i="2"/>
  <c r="S536" i="2"/>
  <c r="S544" i="2"/>
  <c r="S552" i="2"/>
  <c r="S560" i="2"/>
  <c r="S568" i="2"/>
  <c r="S576" i="2"/>
  <c r="S584" i="2"/>
  <c r="S592" i="2"/>
  <c r="S600" i="2"/>
  <c r="Q129" i="2"/>
  <c r="Q137" i="2"/>
  <c r="Q149" i="2"/>
  <c r="Q159" i="2"/>
  <c r="Q169" i="2"/>
  <c r="Q181" i="2"/>
  <c r="Q191" i="2"/>
  <c r="Q201" i="2"/>
  <c r="Q213" i="2"/>
  <c r="Q223" i="2"/>
  <c r="Q233" i="2"/>
  <c r="Q245" i="2"/>
  <c r="Q255" i="2"/>
  <c r="Q265" i="2"/>
  <c r="Q277" i="2"/>
  <c r="Q287" i="2"/>
  <c r="Q297" i="2"/>
  <c r="Q309" i="2"/>
  <c r="Q319" i="2"/>
  <c r="Q329" i="2"/>
  <c r="Q341" i="2"/>
  <c r="Q351" i="2"/>
  <c r="Q361" i="2"/>
  <c r="Q373" i="2"/>
  <c r="Q383" i="2"/>
  <c r="Q393" i="2"/>
  <c r="Q405" i="2"/>
  <c r="Q416" i="2"/>
  <c r="Q429" i="2"/>
  <c r="Q441" i="2"/>
  <c r="Q454" i="2"/>
  <c r="Q123" i="2"/>
  <c r="H16" i="15" s="1"/>
  <c r="Q131" i="2"/>
  <c r="Q141" i="2"/>
  <c r="Q151" i="2"/>
  <c r="Q161" i="2"/>
  <c r="Q173" i="2"/>
  <c r="Q183" i="2"/>
  <c r="Q193" i="2"/>
  <c r="Q205" i="2"/>
  <c r="Q215" i="2"/>
  <c r="Q225" i="2"/>
  <c r="Q237" i="2"/>
  <c r="Q247" i="2"/>
  <c r="Q257" i="2"/>
  <c r="Q269" i="2"/>
  <c r="Q279" i="2"/>
  <c r="Q289" i="2"/>
  <c r="Q301" i="2"/>
  <c r="Q311" i="2"/>
  <c r="Q321" i="2"/>
  <c r="Q333" i="2"/>
  <c r="Q343" i="2"/>
  <c r="Q353" i="2"/>
  <c r="Q365" i="2"/>
  <c r="Q375" i="2"/>
  <c r="Q385" i="2"/>
  <c r="Q397" i="2"/>
  <c r="Q407" i="2"/>
  <c r="Q420" i="2"/>
  <c r="Q432" i="2"/>
  <c r="Q445" i="2"/>
  <c r="Q457" i="2"/>
  <c r="Q460" i="2"/>
  <c r="Q464" i="2"/>
  <c r="Q465" i="2"/>
  <c r="Q468" i="2"/>
  <c r="Q469" i="2"/>
  <c r="Q470" i="2"/>
  <c r="Q472" i="2"/>
  <c r="Q473" i="2"/>
  <c r="Q481" i="2"/>
  <c r="Q138" i="2"/>
  <c r="Q146" i="2"/>
  <c r="Q154" i="2"/>
  <c r="Q162" i="2"/>
  <c r="Q170" i="2"/>
  <c r="Q178" i="2"/>
  <c r="Q186" i="2"/>
  <c r="Q194" i="2"/>
  <c r="Q202" i="2"/>
  <c r="Q210" i="2"/>
  <c r="Q218" i="2"/>
  <c r="Q226" i="2"/>
  <c r="Q234" i="2"/>
  <c r="Q242" i="2"/>
  <c r="Q250" i="2"/>
  <c r="Q258" i="2"/>
  <c r="Q266" i="2"/>
  <c r="Q274" i="2"/>
  <c r="Q282" i="2"/>
  <c r="Q290" i="2"/>
  <c r="Q298" i="2"/>
  <c r="Q306" i="2"/>
  <c r="Q314" i="2"/>
  <c r="Q322" i="2"/>
  <c r="Q330" i="2"/>
  <c r="Q338" i="2"/>
  <c r="Q346" i="2"/>
  <c r="Q354" i="2"/>
  <c r="Q362" i="2"/>
  <c r="Q370" i="2"/>
  <c r="Q378" i="2"/>
  <c r="Q386" i="2"/>
  <c r="Q394" i="2"/>
  <c r="Q402" i="2"/>
  <c r="Q410" i="2"/>
  <c r="Q418" i="2"/>
  <c r="Q426" i="2"/>
  <c r="Q434" i="2"/>
  <c r="Q442" i="2"/>
  <c r="Q450" i="2"/>
  <c r="Q458" i="2"/>
  <c r="Q466" i="2"/>
  <c r="Q474" i="2"/>
  <c r="Q482" i="2"/>
  <c r="Q139" i="2"/>
  <c r="Q147" i="2"/>
  <c r="Q155" i="2"/>
  <c r="Q163" i="2"/>
  <c r="Q171" i="2"/>
  <c r="Q179" i="2"/>
  <c r="Q187" i="2"/>
  <c r="Q195" i="2"/>
  <c r="Q203" i="2"/>
  <c r="Q211" i="2"/>
  <c r="Q219" i="2"/>
  <c r="Q227" i="2"/>
  <c r="Q235" i="2"/>
  <c r="Q243" i="2"/>
  <c r="Q251" i="2"/>
  <c r="Q259" i="2"/>
  <c r="Q267" i="2"/>
  <c r="Q275" i="2"/>
  <c r="Q283" i="2"/>
  <c r="Q291" i="2"/>
  <c r="Q299" i="2"/>
  <c r="Q307" i="2"/>
  <c r="Q315" i="2"/>
  <c r="Q323" i="2"/>
  <c r="Q331" i="2"/>
  <c r="Q339" i="2"/>
  <c r="Q347" i="2"/>
  <c r="Q355" i="2"/>
  <c r="Q363" i="2"/>
  <c r="Q371" i="2"/>
  <c r="Q379" i="2"/>
  <c r="Q387" i="2"/>
  <c r="Q395" i="2"/>
  <c r="Q403" i="2"/>
  <c r="Q411" i="2"/>
  <c r="Q419" i="2"/>
  <c r="Q427" i="2"/>
  <c r="Q435" i="2"/>
  <c r="Q443" i="2"/>
  <c r="Q451" i="2"/>
  <c r="Q459" i="2"/>
  <c r="Q467" i="2"/>
  <c r="Q475" i="2"/>
  <c r="Q483" i="2"/>
  <c r="Q476" i="2"/>
  <c r="Q477" i="2"/>
  <c r="Q478" i="2"/>
  <c r="Q415" i="2"/>
  <c r="Q423" i="2"/>
  <c r="Q431" i="2"/>
  <c r="Q439" i="2"/>
  <c r="Q447" i="2"/>
  <c r="Q455" i="2"/>
  <c r="Q463" i="2"/>
  <c r="Q471" i="2"/>
  <c r="C109" i="15"/>
  <c r="AD603" i="2"/>
  <c r="C77" i="15"/>
  <c r="C80" i="15"/>
  <c r="C83" i="15"/>
  <c r="C86" i="15"/>
  <c r="C88" i="15"/>
  <c r="C90" i="15"/>
  <c r="C92" i="15"/>
  <c r="C101" i="15"/>
  <c r="C102" i="15"/>
  <c r="C103" i="15"/>
  <c r="C104" i="15"/>
  <c r="C105" i="15"/>
  <c r="C106" i="15"/>
  <c r="C107" i="15"/>
  <c r="C108" i="15"/>
  <c r="C110" i="15"/>
  <c r="C111" i="15"/>
  <c r="C112" i="15"/>
  <c r="C76" i="15"/>
  <c r="C78" i="15"/>
  <c r="C81" i="15"/>
  <c r="C84" i="15"/>
  <c r="C87" i="15"/>
  <c r="C89" i="15"/>
  <c r="C91" i="15"/>
  <c r="C93" i="15"/>
  <c r="C95" i="15"/>
  <c r="C96" i="15"/>
  <c r="C97" i="15"/>
  <c r="C98" i="15"/>
  <c r="C99" i="15"/>
  <c r="C114" i="15"/>
  <c r="C113" i="15"/>
  <c r="C118" i="15"/>
  <c r="C120" i="15"/>
  <c r="G10" i="15"/>
  <c r="G14" i="15"/>
  <c r="G42" i="15"/>
  <c r="G46" i="15"/>
  <c r="C100" i="15"/>
  <c r="C94" i="15"/>
  <c r="C82" i="15"/>
  <c r="B117" i="15"/>
  <c r="B119" i="15"/>
  <c r="B121" i="15"/>
  <c r="B123" i="15"/>
  <c r="B125" i="15"/>
  <c r="B127" i="15"/>
  <c r="C116" i="15"/>
  <c r="B129" i="15"/>
  <c r="B131" i="15"/>
  <c r="B133" i="15"/>
  <c r="E26" i="15"/>
  <c r="H10" i="15"/>
  <c r="H48" i="15"/>
  <c r="H50" i="15"/>
  <c r="H52" i="15"/>
  <c r="H54" i="15"/>
  <c r="H58" i="15"/>
  <c r="C122" i="15"/>
  <c r="E22" i="15"/>
  <c r="E38" i="15"/>
  <c r="E9" i="15"/>
  <c r="E11" i="15"/>
  <c r="E13" i="15"/>
  <c r="E15" i="15"/>
  <c r="E17" i="15"/>
  <c r="E19" i="15"/>
  <c r="E21" i="15"/>
  <c r="E23" i="15"/>
  <c r="E25" i="15"/>
  <c r="E27" i="15"/>
  <c r="E29" i="15"/>
  <c r="E30" i="15"/>
  <c r="E31" i="15"/>
  <c r="E33" i="15"/>
  <c r="E34" i="15"/>
  <c r="E35" i="15"/>
  <c r="E37" i="15"/>
  <c r="E39" i="15"/>
  <c r="E41" i="15"/>
  <c r="E43" i="15"/>
  <c r="B115" i="15"/>
  <c r="G26" i="15"/>
  <c r="H60" i="15"/>
  <c r="H62" i="15"/>
  <c r="H64" i="15"/>
  <c r="H66" i="15"/>
  <c r="G7" i="15"/>
  <c r="G8" i="15"/>
  <c r="G9" i="15"/>
  <c r="G11" i="15"/>
  <c r="G12" i="15"/>
  <c r="G13" i="15"/>
  <c r="G15" i="15"/>
  <c r="G16" i="15"/>
  <c r="G17" i="15"/>
  <c r="G18" i="15"/>
  <c r="G22" i="15"/>
  <c r="G30" i="15"/>
  <c r="G34" i="15"/>
  <c r="G38" i="15"/>
  <c r="H56" i="15"/>
  <c r="E14" i="15"/>
  <c r="E28" i="15"/>
  <c r="E32" i="15"/>
  <c r="E36" i="15"/>
  <c r="E40" i="15"/>
  <c r="E42" i="15"/>
  <c r="E44" i="15"/>
  <c r="E46" i="15"/>
  <c r="E8" i="15"/>
  <c r="E10" i="15"/>
  <c r="E20" i="15"/>
  <c r="E12" i="15"/>
  <c r="E18" i="15"/>
  <c r="B10" i="13"/>
  <c r="S43" i="13" s="1"/>
  <c r="E16" i="15"/>
  <c r="E24" i="15"/>
  <c r="G19" i="15"/>
  <c r="G23" i="15"/>
  <c r="G27" i="15"/>
  <c r="G31" i="15"/>
  <c r="G37" i="15"/>
  <c r="G41" i="15"/>
  <c r="G43" i="15"/>
  <c r="G45" i="15"/>
  <c r="G50" i="15"/>
  <c r="G58" i="15"/>
  <c r="G64" i="15"/>
  <c r="F48" i="15"/>
  <c r="F50" i="15"/>
  <c r="F52" i="15"/>
  <c r="F56" i="15"/>
  <c r="F58" i="15"/>
  <c r="C124" i="15"/>
  <c r="G20" i="15"/>
  <c r="G25" i="15"/>
  <c r="G28" i="15"/>
  <c r="G33" i="15"/>
  <c r="G52" i="15"/>
  <c r="G56" i="15"/>
  <c r="G60" i="15"/>
  <c r="G32" i="15"/>
  <c r="G35" i="15"/>
  <c r="G40" i="15"/>
  <c r="G44" i="15"/>
  <c r="G48" i="15"/>
  <c r="G54" i="15"/>
  <c r="G62" i="15"/>
  <c r="G21" i="15"/>
  <c r="G24" i="15"/>
  <c r="G29" i="15"/>
  <c r="G36" i="15"/>
  <c r="G39" i="15"/>
  <c r="G66" i="15"/>
  <c r="E45" i="15"/>
  <c r="E47" i="15"/>
  <c r="E49" i="15"/>
  <c r="E51" i="15"/>
  <c r="E53" i="15"/>
  <c r="E55" i="15"/>
  <c r="E57" i="15"/>
  <c r="E59" i="15"/>
  <c r="E61" i="15"/>
  <c r="E63" i="15"/>
  <c r="E65" i="15"/>
  <c r="F54" i="15"/>
  <c r="E7" i="15"/>
  <c r="E48" i="15"/>
  <c r="E50" i="15"/>
  <c r="E52" i="15"/>
  <c r="E54" i="15"/>
  <c r="E56" i="15"/>
  <c r="E58" i="15"/>
  <c r="E60" i="15"/>
  <c r="E62" i="15"/>
  <c r="E64" i="15"/>
  <c r="E66" i="15"/>
  <c r="H17" i="15"/>
  <c r="H47" i="15"/>
  <c r="H49" i="15"/>
  <c r="H51" i="15"/>
  <c r="H53" i="15"/>
  <c r="H55" i="15"/>
  <c r="H57" i="15"/>
  <c r="H59" i="15"/>
  <c r="H61" i="15"/>
  <c r="H63" i="15"/>
  <c r="H65" i="15"/>
  <c r="B12" i="13"/>
  <c r="G47" i="15"/>
  <c r="G49" i="15"/>
  <c r="G51" i="15"/>
  <c r="G53" i="15"/>
  <c r="G55" i="15"/>
  <c r="G57" i="15"/>
  <c r="B23" i="13"/>
  <c r="F60" i="15"/>
  <c r="F62" i="15"/>
  <c r="F64" i="15"/>
  <c r="F66" i="15"/>
  <c r="B116" i="15"/>
  <c r="B118" i="15"/>
  <c r="B120" i="15"/>
  <c r="B122" i="15"/>
  <c r="B124" i="15"/>
  <c r="B126" i="15"/>
  <c r="B128" i="15"/>
  <c r="B130" i="15"/>
  <c r="B132" i="15"/>
  <c r="B134" i="15"/>
  <c r="C126" i="15"/>
  <c r="C128" i="15"/>
  <c r="C130" i="15"/>
  <c r="C132" i="15"/>
  <c r="C134" i="15"/>
  <c r="G59" i="15"/>
  <c r="G61" i="15"/>
  <c r="G63" i="15"/>
  <c r="G65" i="15"/>
  <c r="F47" i="15"/>
  <c r="F49" i="15"/>
  <c r="F51" i="15"/>
  <c r="F53" i="15"/>
  <c r="F55" i="15"/>
  <c r="F57" i="15"/>
  <c r="F59" i="15"/>
  <c r="F61" i="15"/>
  <c r="F63" i="15"/>
  <c r="F65" i="15"/>
  <c r="C79" i="15"/>
  <c r="C85" i="15"/>
  <c r="C115" i="15"/>
  <c r="C117" i="15"/>
  <c r="C119" i="15"/>
  <c r="C121" i="15"/>
  <c r="C123" i="15"/>
  <c r="C125" i="15"/>
  <c r="C127" i="15"/>
  <c r="C129" i="15"/>
  <c r="C131" i="15"/>
  <c r="C133" i="15"/>
  <c r="C75" i="15"/>
  <c r="H11" i="15"/>
  <c r="H13" i="15"/>
  <c r="H14" i="15"/>
  <c r="H7" i="15"/>
  <c r="H15" i="15"/>
  <c r="H12" i="15"/>
  <c r="H8" i="15"/>
  <c r="H9" i="15"/>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E25" i="1"/>
  <c r="E24" i="1"/>
  <c r="E23" i="1"/>
  <c r="E22" i="1"/>
  <c r="D19" i="1"/>
  <c r="E8" i="1"/>
  <c r="E7" i="1"/>
  <c r="E5" i="1"/>
  <c r="P82" i="2"/>
  <c r="P78" i="2"/>
  <c r="P70" i="2"/>
  <c r="P66" i="2"/>
  <c r="P58" i="2"/>
  <c r="P54" i="2"/>
  <c r="P53" i="2"/>
  <c r="P46" i="2"/>
  <c r="P42" i="2"/>
  <c r="P38" i="2"/>
  <c r="P30" i="2"/>
  <c r="D27" i="2"/>
  <c r="D39" i="2" s="1"/>
  <c r="D51" i="2" s="1"/>
  <c r="D63" i="2" s="1"/>
  <c r="D75" i="2" s="1"/>
  <c r="C27" i="2"/>
  <c r="C39" i="2" s="1"/>
  <c r="C51" i="2" s="1"/>
  <c r="D26" i="2"/>
  <c r="D38" i="2" s="1"/>
  <c r="D50" i="2" s="1"/>
  <c r="D62" i="2" s="1"/>
  <c r="D74" i="2" s="1"/>
  <c r="D86" i="2" s="1"/>
  <c r="C26" i="2"/>
  <c r="C38" i="2" s="1"/>
  <c r="C50" i="2" s="1"/>
  <c r="D25" i="2"/>
  <c r="D37" i="2" s="1"/>
  <c r="D49" i="2" s="1"/>
  <c r="D61" i="2" s="1"/>
  <c r="D73" i="2" s="1"/>
  <c r="C25" i="2"/>
  <c r="C37" i="2" s="1"/>
  <c r="C49" i="2" s="1"/>
  <c r="D24" i="2"/>
  <c r="D36" i="2" s="1"/>
  <c r="C24" i="2"/>
  <c r="D23" i="2"/>
  <c r="D35" i="2" s="1"/>
  <c r="D47" i="2" s="1"/>
  <c r="D59" i="2" s="1"/>
  <c r="P59" i="2" s="1"/>
  <c r="C23" i="2"/>
  <c r="C35" i="2" s="1"/>
  <c r="C47" i="2" s="1"/>
  <c r="D22" i="2"/>
  <c r="D34" i="2" s="1"/>
  <c r="D46" i="2" s="1"/>
  <c r="D58" i="2" s="1"/>
  <c r="D70" i="2" s="1"/>
  <c r="D82" i="2" s="1"/>
  <c r="D94" i="2" s="1"/>
  <c r="C22" i="2"/>
  <c r="C34" i="2" s="1"/>
  <c r="C46" i="2" s="1"/>
  <c r="D21" i="2"/>
  <c r="D33" i="2" s="1"/>
  <c r="D45" i="2" s="1"/>
  <c r="D57" i="2" s="1"/>
  <c r="P57" i="2" s="1"/>
  <c r="C21" i="2"/>
  <c r="C33" i="2" s="1"/>
  <c r="C45" i="2" s="1"/>
  <c r="C57" i="2" s="1"/>
  <c r="D20" i="2"/>
  <c r="D32" i="2" s="1"/>
  <c r="D44" i="2" s="1"/>
  <c r="C20" i="2"/>
  <c r="D19" i="2"/>
  <c r="D31" i="2" s="1"/>
  <c r="D43" i="2" s="1"/>
  <c r="D55" i="2" s="1"/>
  <c r="D67" i="2" s="1"/>
  <c r="C19" i="2"/>
  <c r="C31" i="2" s="1"/>
  <c r="D18" i="2"/>
  <c r="D30" i="2" s="1"/>
  <c r="D42" i="2" s="1"/>
  <c r="D54" i="2" s="1"/>
  <c r="D66" i="2" s="1"/>
  <c r="D78" i="2" s="1"/>
  <c r="D90" i="2" s="1"/>
  <c r="C18" i="2"/>
  <c r="C30" i="2" s="1"/>
  <c r="C42" i="2" s="1"/>
  <c r="C54" i="2" s="1"/>
  <c r="D17" i="2"/>
  <c r="D29" i="2" s="1"/>
  <c r="D41" i="2" s="1"/>
  <c r="D53" i="2" s="1"/>
  <c r="D65" i="2" s="1"/>
  <c r="D77" i="2" s="1"/>
  <c r="C17" i="2"/>
  <c r="C29" i="2" s="1"/>
  <c r="D16" i="2"/>
  <c r="D28" i="2" s="1"/>
  <c r="C16" i="2"/>
  <c r="B4" i="2"/>
  <c r="I3" i="2"/>
  <c r="T55" i="26" l="1"/>
  <c r="I56" i="26"/>
  <c r="H45" i="15"/>
  <c r="H25" i="15"/>
  <c r="H42" i="15"/>
  <c r="H31" i="15"/>
  <c r="H26" i="15"/>
  <c r="H39" i="15"/>
  <c r="H34" i="15"/>
  <c r="H23" i="15"/>
  <c r="H41" i="15"/>
  <c r="H33" i="15"/>
  <c r="H28" i="15"/>
  <c r="H44" i="15"/>
  <c r="H38" i="15"/>
  <c r="H21" i="15"/>
  <c r="H32" i="15"/>
  <c r="H43" i="15"/>
  <c r="H46" i="15"/>
  <c r="H35" i="15"/>
  <c r="H30" i="15"/>
  <c r="H19" i="15"/>
  <c r="H40" i="15"/>
  <c r="H29" i="15"/>
  <c r="H24" i="15"/>
  <c r="B13" i="13"/>
  <c r="W43" i="13" s="1"/>
  <c r="H18" i="15"/>
  <c r="H36" i="15"/>
  <c r="H20" i="15"/>
  <c r="H27" i="15"/>
  <c r="H22" i="15"/>
  <c r="H37" i="15"/>
  <c r="J483" i="2"/>
  <c r="K483" i="2" s="1"/>
  <c r="J475" i="2"/>
  <c r="K475" i="2" s="1"/>
  <c r="J467" i="2"/>
  <c r="K467" i="2" s="1"/>
  <c r="J459" i="2"/>
  <c r="K459" i="2" s="1"/>
  <c r="J451" i="2"/>
  <c r="K451" i="2" s="1"/>
  <c r="J443" i="2"/>
  <c r="K443" i="2" s="1"/>
  <c r="J435" i="2"/>
  <c r="K435" i="2" s="1"/>
  <c r="J427" i="2"/>
  <c r="K427" i="2" s="1"/>
  <c r="J419" i="2"/>
  <c r="K419" i="2" s="1"/>
  <c r="J411" i="2"/>
  <c r="K411" i="2" s="1"/>
  <c r="J403" i="2"/>
  <c r="K403" i="2" s="1"/>
  <c r="J395" i="2"/>
  <c r="K395" i="2" s="1"/>
  <c r="J387" i="2"/>
  <c r="K387" i="2" s="1"/>
  <c r="J379" i="2"/>
  <c r="K379" i="2" s="1"/>
  <c r="J371" i="2"/>
  <c r="K371" i="2" s="1"/>
  <c r="J363" i="2"/>
  <c r="K363" i="2" s="1"/>
  <c r="J355" i="2"/>
  <c r="K355" i="2" s="1"/>
  <c r="J347" i="2"/>
  <c r="K347" i="2" s="1"/>
  <c r="J339" i="2"/>
  <c r="K339" i="2" s="1"/>
  <c r="J331" i="2"/>
  <c r="K331" i="2" s="1"/>
  <c r="J323" i="2"/>
  <c r="K323" i="2" s="1"/>
  <c r="J315" i="2"/>
  <c r="K315" i="2" s="1"/>
  <c r="J307" i="2"/>
  <c r="K307" i="2" s="1"/>
  <c r="J299" i="2"/>
  <c r="K299" i="2" s="1"/>
  <c r="J291" i="2"/>
  <c r="K291" i="2" s="1"/>
  <c r="J283" i="2"/>
  <c r="K283" i="2" s="1"/>
  <c r="J275" i="2"/>
  <c r="K275" i="2" s="1"/>
  <c r="J267" i="2"/>
  <c r="K267" i="2" s="1"/>
  <c r="J259" i="2"/>
  <c r="K259" i="2" s="1"/>
  <c r="J235" i="2"/>
  <c r="K235" i="2" s="1"/>
  <c r="J227" i="2"/>
  <c r="K227" i="2" s="1"/>
  <c r="J219" i="2"/>
  <c r="K219" i="2" s="1"/>
  <c r="J211" i="2"/>
  <c r="K211" i="2" s="1"/>
  <c r="J203" i="2"/>
  <c r="K203" i="2" s="1"/>
  <c r="J195" i="2"/>
  <c r="K195" i="2" s="1"/>
  <c r="J187" i="2"/>
  <c r="K187" i="2" s="1"/>
  <c r="J179" i="2"/>
  <c r="K179" i="2" s="1"/>
  <c r="J155" i="2"/>
  <c r="K155" i="2" s="1"/>
  <c r="J115" i="2"/>
  <c r="K115" i="2" s="1"/>
  <c r="J59" i="2"/>
  <c r="K59" i="2" s="1"/>
  <c r="J19" i="2"/>
  <c r="K19" i="2" s="1"/>
  <c r="J482" i="2"/>
  <c r="K482" i="2" s="1"/>
  <c r="J474" i="2"/>
  <c r="K474" i="2" s="1"/>
  <c r="J466" i="2"/>
  <c r="K466" i="2" s="1"/>
  <c r="J458" i="2"/>
  <c r="K458" i="2" s="1"/>
  <c r="J450" i="2"/>
  <c r="K450" i="2" s="1"/>
  <c r="J442" i="2"/>
  <c r="K442" i="2" s="1"/>
  <c r="J434" i="2"/>
  <c r="K434" i="2" s="1"/>
  <c r="J426" i="2"/>
  <c r="K426" i="2" s="1"/>
  <c r="J418" i="2"/>
  <c r="K418" i="2" s="1"/>
  <c r="J410" i="2"/>
  <c r="K410" i="2" s="1"/>
  <c r="J402" i="2"/>
  <c r="K402" i="2" s="1"/>
  <c r="J394" i="2"/>
  <c r="K394" i="2" s="1"/>
  <c r="J386" i="2"/>
  <c r="K386" i="2" s="1"/>
  <c r="J378" i="2"/>
  <c r="K378" i="2" s="1"/>
  <c r="J370" i="2"/>
  <c r="K370" i="2" s="1"/>
  <c r="J362" i="2"/>
  <c r="K362" i="2" s="1"/>
  <c r="J354" i="2"/>
  <c r="K354" i="2" s="1"/>
  <c r="J346" i="2"/>
  <c r="K346" i="2" s="1"/>
  <c r="J338" i="2"/>
  <c r="K338" i="2" s="1"/>
  <c r="J330" i="2"/>
  <c r="K330" i="2" s="1"/>
  <c r="J322" i="2"/>
  <c r="K322" i="2" s="1"/>
  <c r="J314" i="2"/>
  <c r="K314" i="2" s="1"/>
  <c r="J306" i="2"/>
  <c r="K306" i="2" s="1"/>
  <c r="J298" i="2"/>
  <c r="K298" i="2" s="1"/>
  <c r="J290" i="2"/>
  <c r="K290" i="2" s="1"/>
  <c r="J282" i="2"/>
  <c r="K282" i="2" s="1"/>
  <c r="J274" i="2"/>
  <c r="K274" i="2" s="1"/>
  <c r="J266" i="2"/>
  <c r="K266" i="2" s="1"/>
  <c r="J258" i="2"/>
  <c r="K258" i="2" s="1"/>
  <c r="J250" i="2"/>
  <c r="K250" i="2" s="1"/>
  <c r="J242" i="2"/>
  <c r="K242" i="2" s="1"/>
  <c r="J234" i="2"/>
  <c r="K234" i="2" s="1"/>
  <c r="J226" i="2"/>
  <c r="K226" i="2" s="1"/>
  <c r="J218" i="2"/>
  <c r="K218" i="2" s="1"/>
  <c r="J210" i="2"/>
  <c r="K210" i="2" s="1"/>
  <c r="J202" i="2"/>
  <c r="K202" i="2" s="1"/>
  <c r="J194" i="2"/>
  <c r="K194" i="2" s="1"/>
  <c r="J186" i="2"/>
  <c r="K186" i="2" s="1"/>
  <c r="J178" i="2"/>
  <c r="K178" i="2" s="1"/>
  <c r="J170" i="2"/>
  <c r="K170" i="2" s="1"/>
  <c r="J162" i="2"/>
  <c r="K162" i="2" s="1"/>
  <c r="J154" i="2"/>
  <c r="K154" i="2" s="1"/>
  <c r="J146" i="2"/>
  <c r="K146" i="2" s="1"/>
  <c r="J138" i="2"/>
  <c r="K138" i="2" s="1"/>
  <c r="J130" i="2"/>
  <c r="K130" i="2" s="1"/>
  <c r="J122" i="2"/>
  <c r="K122" i="2" s="1"/>
  <c r="J114" i="2"/>
  <c r="K114" i="2" s="1"/>
  <c r="J106" i="2"/>
  <c r="K106" i="2" s="1"/>
  <c r="J98" i="2"/>
  <c r="K98" i="2" s="1"/>
  <c r="J90" i="2"/>
  <c r="K90" i="2" s="1"/>
  <c r="J82" i="2"/>
  <c r="K82" i="2" s="1"/>
  <c r="J74" i="2"/>
  <c r="K74" i="2" s="1"/>
  <c r="J481" i="2"/>
  <c r="K481" i="2" s="1"/>
  <c r="J473" i="2"/>
  <c r="K473" i="2" s="1"/>
  <c r="J465" i="2"/>
  <c r="K465" i="2" s="1"/>
  <c r="J457" i="2"/>
  <c r="K457" i="2" s="1"/>
  <c r="J449" i="2"/>
  <c r="K449" i="2" s="1"/>
  <c r="J441" i="2"/>
  <c r="K441" i="2" s="1"/>
  <c r="J433" i="2"/>
  <c r="K433" i="2" s="1"/>
  <c r="J425" i="2"/>
  <c r="K425" i="2" s="1"/>
  <c r="J417" i="2"/>
  <c r="K417" i="2" s="1"/>
  <c r="J409" i="2"/>
  <c r="K409" i="2" s="1"/>
  <c r="J401" i="2"/>
  <c r="K401" i="2" s="1"/>
  <c r="J393" i="2"/>
  <c r="K393" i="2" s="1"/>
  <c r="J385" i="2"/>
  <c r="K385" i="2" s="1"/>
  <c r="J377" i="2"/>
  <c r="K377" i="2" s="1"/>
  <c r="J369" i="2"/>
  <c r="K369" i="2" s="1"/>
  <c r="J361" i="2"/>
  <c r="K361" i="2" s="1"/>
  <c r="J353" i="2"/>
  <c r="K353" i="2" s="1"/>
  <c r="J345" i="2"/>
  <c r="K345" i="2" s="1"/>
  <c r="J337" i="2"/>
  <c r="K337" i="2" s="1"/>
  <c r="J329" i="2"/>
  <c r="K329" i="2" s="1"/>
  <c r="J321" i="2"/>
  <c r="K321" i="2" s="1"/>
  <c r="J313" i="2"/>
  <c r="K313" i="2" s="1"/>
  <c r="J305" i="2"/>
  <c r="K305" i="2" s="1"/>
  <c r="J297" i="2"/>
  <c r="K297" i="2" s="1"/>
  <c r="J289" i="2"/>
  <c r="K289" i="2" s="1"/>
  <c r="J281" i="2"/>
  <c r="K281" i="2" s="1"/>
  <c r="J273" i="2"/>
  <c r="K273" i="2" s="1"/>
  <c r="J265" i="2"/>
  <c r="K265" i="2" s="1"/>
  <c r="J257" i="2"/>
  <c r="K257" i="2" s="1"/>
  <c r="J249" i="2"/>
  <c r="K249" i="2" s="1"/>
  <c r="J241" i="2"/>
  <c r="K241" i="2" s="1"/>
  <c r="J233" i="2"/>
  <c r="K233" i="2" s="1"/>
  <c r="J225" i="2"/>
  <c r="K225" i="2" s="1"/>
  <c r="J217" i="2"/>
  <c r="K217" i="2" s="1"/>
  <c r="J209" i="2"/>
  <c r="K209" i="2" s="1"/>
  <c r="J201" i="2"/>
  <c r="K201" i="2" s="1"/>
  <c r="J193" i="2"/>
  <c r="K193" i="2" s="1"/>
  <c r="J185" i="2"/>
  <c r="K185" i="2" s="1"/>
  <c r="J177" i="2"/>
  <c r="K177" i="2" s="1"/>
  <c r="J169" i="2"/>
  <c r="K169" i="2" s="1"/>
  <c r="J161" i="2"/>
  <c r="K161" i="2" s="1"/>
  <c r="J153" i="2"/>
  <c r="K153" i="2" s="1"/>
  <c r="J145" i="2"/>
  <c r="K145" i="2" s="1"/>
  <c r="J137" i="2"/>
  <c r="K137" i="2" s="1"/>
  <c r="J129" i="2"/>
  <c r="K129" i="2" s="1"/>
  <c r="J121" i="2"/>
  <c r="K121" i="2" s="1"/>
  <c r="J113" i="2"/>
  <c r="K113" i="2" s="1"/>
  <c r="J105" i="2"/>
  <c r="K105" i="2" s="1"/>
  <c r="J97" i="2"/>
  <c r="K97" i="2" s="1"/>
  <c r="J89" i="2"/>
  <c r="K89" i="2" s="1"/>
  <c r="J81" i="2"/>
  <c r="K81" i="2" s="1"/>
  <c r="J73" i="2"/>
  <c r="K73" i="2" s="1"/>
  <c r="J65" i="2"/>
  <c r="K65" i="2" s="1"/>
  <c r="J57" i="2"/>
  <c r="K57" i="2" s="1"/>
  <c r="J49" i="2"/>
  <c r="K49" i="2" s="1"/>
  <c r="J41" i="2"/>
  <c r="K41" i="2" s="1"/>
  <c r="J33" i="2"/>
  <c r="K33" i="2" s="1"/>
  <c r="J25" i="2"/>
  <c r="K25" i="2" s="1"/>
  <c r="J17" i="2"/>
  <c r="K17" i="2" s="1"/>
  <c r="J9" i="2"/>
  <c r="K9" i="2" s="1"/>
  <c r="J72" i="2"/>
  <c r="K72" i="2" s="1"/>
  <c r="J64" i="2"/>
  <c r="K64" i="2" s="1"/>
  <c r="J56" i="2"/>
  <c r="K56" i="2" s="1"/>
  <c r="J48" i="2"/>
  <c r="K48" i="2" s="1"/>
  <c r="J40" i="2"/>
  <c r="K40" i="2" s="1"/>
  <c r="J32" i="2"/>
  <c r="K32" i="2" s="1"/>
  <c r="J24" i="2"/>
  <c r="K24" i="2" s="1"/>
  <c r="J16" i="2"/>
  <c r="K16" i="2" s="1"/>
  <c r="J8" i="2"/>
  <c r="K8" i="2" s="1"/>
  <c r="J375" i="2"/>
  <c r="K375" i="2" s="1"/>
  <c r="J231" i="2"/>
  <c r="K231" i="2" s="1"/>
  <c r="J207" i="2"/>
  <c r="K207" i="2" s="1"/>
  <c r="J191" i="2"/>
  <c r="K191" i="2" s="1"/>
  <c r="J183" i="2"/>
  <c r="K183" i="2" s="1"/>
  <c r="J159" i="2"/>
  <c r="K159" i="2" s="1"/>
  <c r="J143" i="2"/>
  <c r="K143" i="2" s="1"/>
  <c r="J135" i="2"/>
  <c r="K135" i="2" s="1"/>
  <c r="J111" i="2"/>
  <c r="K111" i="2" s="1"/>
  <c r="J95" i="2"/>
  <c r="K95" i="2" s="1"/>
  <c r="J79" i="2"/>
  <c r="K79" i="2" s="1"/>
  <c r="J63" i="2"/>
  <c r="K63" i="2" s="1"/>
  <c r="J47" i="2"/>
  <c r="K47" i="2" s="1"/>
  <c r="J39" i="2"/>
  <c r="K39" i="2" s="1"/>
  <c r="J23" i="2"/>
  <c r="K23" i="2" s="1"/>
  <c r="J7" i="2"/>
  <c r="K7" i="2" s="1"/>
  <c r="J480" i="2"/>
  <c r="K480" i="2" s="1"/>
  <c r="J472" i="2"/>
  <c r="K472" i="2" s="1"/>
  <c r="J464" i="2"/>
  <c r="K464" i="2" s="1"/>
  <c r="J456" i="2"/>
  <c r="K456" i="2" s="1"/>
  <c r="J448" i="2"/>
  <c r="K448" i="2" s="1"/>
  <c r="J440" i="2"/>
  <c r="K440" i="2" s="1"/>
  <c r="J432" i="2"/>
  <c r="K432" i="2" s="1"/>
  <c r="J424" i="2"/>
  <c r="K424" i="2" s="1"/>
  <c r="J416" i="2"/>
  <c r="K416" i="2" s="1"/>
  <c r="J408" i="2"/>
  <c r="K408" i="2" s="1"/>
  <c r="J400" i="2"/>
  <c r="K400" i="2" s="1"/>
  <c r="J392" i="2"/>
  <c r="K392" i="2" s="1"/>
  <c r="J384" i="2"/>
  <c r="K384" i="2" s="1"/>
  <c r="J376" i="2"/>
  <c r="K376" i="2" s="1"/>
  <c r="J368" i="2"/>
  <c r="K368" i="2" s="1"/>
  <c r="J360" i="2"/>
  <c r="K360" i="2" s="1"/>
  <c r="J352" i="2"/>
  <c r="K352" i="2" s="1"/>
  <c r="J344" i="2"/>
  <c r="K344" i="2" s="1"/>
  <c r="J336" i="2"/>
  <c r="K336" i="2" s="1"/>
  <c r="J328" i="2"/>
  <c r="K328" i="2" s="1"/>
  <c r="J320" i="2"/>
  <c r="K320" i="2" s="1"/>
  <c r="J312" i="2"/>
  <c r="K312" i="2" s="1"/>
  <c r="J304" i="2"/>
  <c r="K304" i="2" s="1"/>
  <c r="J296" i="2"/>
  <c r="K296" i="2" s="1"/>
  <c r="J288" i="2"/>
  <c r="K288" i="2" s="1"/>
  <c r="J280" i="2"/>
  <c r="K280" i="2" s="1"/>
  <c r="J272" i="2"/>
  <c r="K272" i="2" s="1"/>
  <c r="J264" i="2"/>
  <c r="K264" i="2" s="1"/>
  <c r="J256" i="2"/>
  <c r="K256" i="2" s="1"/>
  <c r="J248" i="2"/>
  <c r="K248" i="2" s="1"/>
  <c r="J240" i="2"/>
  <c r="K240" i="2" s="1"/>
  <c r="J232" i="2"/>
  <c r="K232" i="2" s="1"/>
  <c r="J224" i="2"/>
  <c r="K224" i="2" s="1"/>
  <c r="J216" i="2"/>
  <c r="K216" i="2" s="1"/>
  <c r="J208" i="2"/>
  <c r="K208" i="2" s="1"/>
  <c r="J200" i="2"/>
  <c r="K200" i="2" s="1"/>
  <c r="J192" i="2"/>
  <c r="K192" i="2" s="1"/>
  <c r="J184" i="2"/>
  <c r="K184" i="2" s="1"/>
  <c r="J176" i="2"/>
  <c r="K176" i="2" s="1"/>
  <c r="J168" i="2"/>
  <c r="K168" i="2" s="1"/>
  <c r="J160" i="2"/>
  <c r="K160" i="2" s="1"/>
  <c r="J152" i="2"/>
  <c r="K152" i="2" s="1"/>
  <c r="J144" i="2"/>
  <c r="K144" i="2" s="1"/>
  <c r="J136" i="2"/>
  <c r="K136" i="2" s="1"/>
  <c r="J128" i="2"/>
  <c r="K128" i="2" s="1"/>
  <c r="J120" i="2"/>
  <c r="K120" i="2" s="1"/>
  <c r="J112" i="2"/>
  <c r="K112" i="2" s="1"/>
  <c r="J104" i="2"/>
  <c r="K104" i="2" s="1"/>
  <c r="J96" i="2"/>
  <c r="K96" i="2" s="1"/>
  <c r="J88" i="2"/>
  <c r="K88" i="2" s="1"/>
  <c r="J80" i="2"/>
  <c r="K80" i="2" s="1"/>
  <c r="J479" i="2"/>
  <c r="K479" i="2" s="1"/>
  <c r="J471" i="2"/>
  <c r="K471" i="2" s="1"/>
  <c r="J463" i="2"/>
  <c r="K463" i="2" s="1"/>
  <c r="J455" i="2"/>
  <c r="K455" i="2" s="1"/>
  <c r="J447" i="2"/>
  <c r="K447" i="2" s="1"/>
  <c r="J439" i="2"/>
  <c r="K439" i="2" s="1"/>
  <c r="J431" i="2"/>
  <c r="K431" i="2" s="1"/>
  <c r="J423" i="2"/>
  <c r="K423" i="2" s="1"/>
  <c r="J415" i="2"/>
  <c r="K415" i="2" s="1"/>
  <c r="J407" i="2"/>
  <c r="K407" i="2" s="1"/>
  <c r="J399" i="2"/>
  <c r="K399" i="2" s="1"/>
  <c r="J391" i="2"/>
  <c r="K391" i="2" s="1"/>
  <c r="J383" i="2"/>
  <c r="K383" i="2" s="1"/>
  <c r="J367" i="2"/>
  <c r="K367" i="2" s="1"/>
  <c r="J359" i="2"/>
  <c r="K359" i="2" s="1"/>
  <c r="J351" i="2"/>
  <c r="K351" i="2" s="1"/>
  <c r="J343" i="2"/>
  <c r="K343" i="2" s="1"/>
  <c r="J335" i="2"/>
  <c r="K335" i="2" s="1"/>
  <c r="J327" i="2"/>
  <c r="K327" i="2" s="1"/>
  <c r="J319" i="2"/>
  <c r="K319" i="2" s="1"/>
  <c r="J311" i="2"/>
  <c r="K311" i="2" s="1"/>
  <c r="J303" i="2"/>
  <c r="K303" i="2" s="1"/>
  <c r="J295" i="2"/>
  <c r="K295" i="2" s="1"/>
  <c r="J287" i="2"/>
  <c r="K287" i="2" s="1"/>
  <c r="J279" i="2"/>
  <c r="K279" i="2" s="1"/>
  <c r="J271" i="2"/>
  <c r="K271" i="2" s="1"/>
  <c r="J263" i="2"/>
  <c r="K263" i="2" s="1"/>
  <c r="J255" i="2"/>
  <c r="K255" i="2" s="1"/>
  <c r="J247" i="2"/>
  <c r="K247" i="2" s="1"/>
  <c r="J239" i="2"/>
  <c r="K239" i="2" s="1"/>
  <c r="J223" i="2"/>
  <c r="K223" i="2" s="1"/>
  <c r="J215" i="2"/>
  <c r="K215" i="2" s="1"/>
  <c r="J199" i="2"/>
  <c r="K199" i="2" s="1"/>
  <c r="J175" i="2"/>
  <c r="K175" i="2" s="1"/>
  <c r="J167" i="2"/>
  <c r="K167" i="2" s="1"/>
  <c r="J151" i="2"/>
  <c r="K151" i="2" s="1"/>
  <c r="J127" i="2"/>
  <c r="K127" i="2" s="1"/>
  <c r="J119" i="2"/>
  <c r="K119" i="2" s="1"/>
  <c r="J103" i="2"/>
  <c r="K103" i="2" s="1"/>
  <c r="J87" i="2"/>
  <c r="K87" i="2" s="1"/>
  <c r="J71" i="2"/>
  <c r="K71" i="2" s="1"/>
  <c r="J55" i="2"/>
  <c r="K55" i="2" s="1"/>
  <c r="J31" i="2"/>
  <c r="K31" i="2" s="1"/>
  <c r="J15" i="2"/>
  <c r="K15" i="2" s="1"/>
  <c r="J478" i="2"/>
  <c r="K478" i="2" s="1"/>
  <c r="J470" i="2"/>
  <c r="K470" i="2" s="1"/>
  <c r="J462" i="2"/>
  <c r="K462" i="2" s="1"/>
  <c r="J454" i="2"/>
  <c r="K454" i="2" s="1"/>
  <c r="J446" i="2"/>
  <c r="K446" i="2" s="1"/>
  <c r="J438" i="2"/>
  <c r="K438" i="2" s="1"/>
  <c r="J430" i="2"/>
  <c r="K430" i="2" s="1"/>
  <c r="J422" i="2"/>
  <c r="K422" i="2" s="1"/>
  <c r="J414" i="2"/>
  <c r="K414" i="2" s="1"/>
  <c r="J406" i="2"/>
  <c r="K406" i="2" s="1"/>
  <c r="J398" i="2"/>
  <c r="K398" i="2" s="1"/>
  <c r="J390" i="2"/>
  <c r="K390" i="2" s="1"/>
  <c r="J382" i="2"/>
  <c r="K382" i="2" s="1"/>
  <c r="J374" i="2"/>
  <c r="K374" i="2" s="1"/>
  <c r="J366" i="2"/>
  <c r="K366" i="2" s="1"/>
  <c r="J358" i="2"/>
  <c r="K358" i="2" s="1"/>
  <c r="J350" i="2"/>
  <c r="K350" i="2" s="1"/>
  <c r="J342" i="2"/>
  <c r="K342" i="2" s="1"/>
  <c r="J334" i="2"/>
  <c r="K334" i="2" s="1"/>
  <c r="J326" i="2"/>
  <c r="K326" i="2" s="1"/>
  <c r="J318" i="2"/>
  <c r="K318" i="2" s="1"/>
  <c r="J310" i="2"/>
  <c r="K310" i="2" s="1"/>
  <c r="J302" i="2"/>
  <c r="K302" i="2" s="1"/>
  <c r="J294" i="2"/>
  <c r="K294" i="2" s="1"/>
  <c r="J286" i="2"/>
  <c r="K286" i="2" s="1"/>
  <c r="J278" i="2"/>
  <c r="K278" i="2" s="1"/>
  <c r="J270" i="2"/>
  <c r="K270" i="2" s="1"/>
  <c r="J262" i="2"/>
  <c r="K262" i="2" s="1"/>
  <c r="J254" i="2"/>
  <c r="K254" i="2" s="1"/>
  <c r="J246" i="2"/>
  <c r="K246" i="2" s="1"/>
  <c r="J238" i="2"/>
  <c r="K238" i="2" s="1"/>
  <c r="J230" i="2"/>
  <c r="K230" i="2" s="1"/>
  <c r="J222" i="2"/>
  <c r="K222" i="2" s="1"/>
  <c r="J214" i="2"/>
  <c r="K214" i="2" s="1"/>
  <c r="J206" i="2"/>
  <c r="K206" i="2" s="1"/>
  <c r="J198" i="2"/>
  <c r="K198" i="2" s="1"/>
  <c r="J190" i="2"/>
  <c r="K190" i="2" s="1"/>
  <c r="J182" i="2"/>
  <c r="K182" i="2" s="1"/>
  <c r="J174" i="2"/>
  <c r="K174" i="2" s="1"/>
  <c r="J166" i="2"/>
  <c r="K166" i="2" s="1"/>
  <c r="J158" i="2"/>
  <c r="K158" i="2" s="1"/>
  <c r="J150" i="2"/>
  <c r="K150" i="2" s="1"/>
  <c r="J142" i="2"/>
  <c r="K142" i="2" s="1"/>
  <c r="J134" i="2"/>
  <c r="K134" i="2" s="1"/>
  <c r="J126" i="2"/>
  <c r="K126" i="2" s="1"/>
  <c r="J118" i="2"/>
  <c r="K118" i="2" s="1"/>
  <c r="J110" i="2"/>
  <c r="K110" i="2" s="1"/>
  <c r="J102" i="2"/>
  <c r="K102" i="2" s="1"/>
  <c r="J94" i="2"/>
  <c r="K94" i="2" s="1"/>
  <c r="J86" i="2"/>
  <c r="K86" i="2" s="1"/>
  <c r="J78" i="2"/>
  <c r="K78" i="2" s="1"/>
  <c r="J70" i="2"/>
  <c r="K70" i="2" s="1"/>
  <c r="J62" i="2"/>
  <c r="K62" i="2" s="1"/>
  <c r="J54" i="2"/>
  <c r="K54" i="2" s="1"/>
  <c r="J46" i="2"/>
  <c r="K46" i="2" s="1"/>
  <c r="J38" i="2"/>
  <c r="K38" i="2" s="1"/>
  <c r="J30" i="2"/>
  <c r="K30" i="2" s="1"/>
  <c r="J22" i="2"/>
  <c r="K22" i="2" s="1"/>
  <c r="J14" i="2"/>
  <c r="K14" i="2" s="1"/>
  <c r="J6" i="2"/>
  <c r="K6" i="2" s="1"/>
  <c r="J477" i="2"/>
  <c r="K477" i="2" s="1"/>
  <c r="J469" i="2"/>
  <c r="K469" i="2" s="1"/>
  <c r="J461" i="2"/>
  <c r="K461" i="2" s="1"/>
  <c r="J453" i="2"/>
  <c r="K453" i="2" s="1"/>
  <c r="J445" i="2"/>
  <c r="K445" i="2" s="1"/>
  <c r="J437" i="2"/>
  <c r="K437" i="2" s="1"/>
  <c r="J429" i="2"/>
  <c r="K429" i="2" s="1"/>
  <c r="J421" i="2"/>
  <c r="K421" i="2" s="1"/>
  <c r="J413" i="2"/>
  <c r="K413" i="2" s="1"/>
  <c r="J405" i="2"/>
  <c r="K405" i="2" s="1"/>
  <c r="J397" i="2"/>
  <c r="K397" i="2" s="1"/>
  <c r="J389" i="2"/>
  <c r="K389" i="2" s="1"/>
  <c r="J381" i="2"/>
  <c r="K381" i="2" s="1"/>
  <c r="J373" i="2"/>
  <c r="K373" i="2" s="1"/>
  <c r="J365" i="2"/>
  <c r="K365" i="2" s="1"/>
  <c r="J357" i="2"/>
  <c r="K357" i="2" s="1"/>
  <c r="J349" i="2"/>
  <c r="K349" i="2" s="1"/>
  <c r="J341" i="2"/>
  <c r="K341" i="2" s="1"/>
  <c r="J333" i="2"/>
  <c r="K333" i="2" s="1"/>
  <c r="J325" i="2"/>
  <c r="K325" i="2" s="1"/>
  <c r="J317" i="2"/>
  <c r="K317" i="2" s="1"/>
  <c r="J309" i="2"/>
  <c r="K309" i="2" s="1"/>
  <c r="J301" i="2"/>
  <c r="K301" i="2" s="1"/>
  <c r="J293" i="2"/>
  <c r="K293" i="2" s="1"/>
  <c r="J285" i="2"/>
  <c r="K285" i="2" s="1"/>
  <c r="J277" i="2"/>
  <c r="K277" i="2" s="1"/>
  <c r="J269" i="2"/>
  <c r="K269" i="2" s="1"/>
  <c r="J261" i="2"/>
  <c r="K261" i="2" s="1"/>
  <c r="J253" i="2"/>
  <c r="K253" i="2" s="1"/>
  <c r="J245" i="2"/>
  <c r="K245" i="2" s="1"/>
  <c r="J237" i="2"/>
  <c r="K237" i="2" s="1"/>
  <c r="J229" i="2"/>
  <c r="K229" i="2" s="1"/>
  <c r="J221" i="2"/>
  <c r="K221" i="2" s="1"/>
  <c r="J213" i="2"/>
  <c r="K213" i="2" s="1"/>
  <c r="J205" i="2"/>
  <c r="K205" i="2" s="1"/>
  <c r="J197" i="2"/>
  <c r="K197" i="2" s="1"/>
  <c r="J189" i="2"/>
  <c r="K189" i="2" s="1"/>
  <c r="J181" i="2"/>
  <c r="K181" i="2" s="1"/>
  <c r="J173" i="2"/>
  <c r="K173" i="2" s="1"/>
  <c r="J165" i="2"/>
  <c r="K165" i="2" s="1"/>
  <c r="J157" i="2"/>
  <c r="K157" i="2" s="1"/>
  <c r="J149" i="2"/>
  <c r="K149" i="2" s="1"/>
  <c r="J141" i="2"/>
  <c r="K141" i="2" s="1"/>
  <c r="J133" i="2"/>
  <c r="K133" i="2" s="1"/>
  <c r="J125" i="2"/>
  <c r="K125" i="2" s="1"/>
  <c r="J117" i="2"/>
  <c r="K117" i="2" s="1"/>
  <c r="J109" i="2"/>
  <c r="K109" i="2" s="1"/>
  <c r="J101" i="2"/>
  <c r="K101" i="2" s="1"/>
  <c r="J93" i="2"/>
  <c r="K93" i="2" s="1"/>
  <c r="J85" i="2"/>
  <c r="K85" i="2" s="1"/>
  <c r="J77" i="2"/>
  <c r="K77" i="2" s="1"/>
  <c r="J69" i="2"/>
  <c r="K69" i="2" s="1"/>
  <c r="J61" i="2"/>
  <c r="K61" i="2" s="1"/>
  <c r="J53" i="2"/>
  <c r="K53" i="2" s="1"/>
  <c r="J45" i="2"/>
  <c r="K45" i="2" s="1"/>
  <c r="J37" i="2"/>
  <c r="K37" i="2" s="1"/>
  <c r="J29" i="2"/>
  <c r="K29" i="2" s="1"/>
  <c r="J21" i="2"/>
  <c r="K21" i="2" s="1"/>
  <c r="J13" i="2"/>
  <c r="K13" i="2" s="1"/>
  <c r="J5" i="2"/>
  <c r="K5" i="2" s="1"/>
  <c r="J251" i="2"/>
  <c r="K251" i="2" s="1"/>
  <c r="J163" i="2"/>
  <c r="K163" i="2" s="1"/>
  <c r="J147" i="2"/>
  <c r="K147" i="2" s="1"/>
  <c r="J131" i="2"/>
  <c r="K131" i="2" s="1"/>
  <c r="J107" i="2"/>
  <c r="K107" i="2" s="1"/>
  <c r="J91" i="2"/>
  <c r="K91" i="2" s="1"/>
  <c r="J75" i="2"/>
  <c r="K75" i="2" s="1"/>
  <c r="J43" i="2"/>
  <c r="K43" i="2" s="1"/>
  <c r="J27" i="2"/>
  <c r="K27" i="2" s="1"/>
  <c r="J3" i="2"/>
  <c r="W3" i="2" s="1"/>
  <c r="J476" i="2"/>
  <c r="K476" i="2" s="1"/>
  <c r="J468" i="2"/>
  <c r="K468" i="2" s="1"/>
  <c r="J460" i="2"/>
  <c r="K460" i="2" s="1"/>
  <c r="J452" i="2"/>
  <c r="K452" i="2" s="1"/>
  <c r="J444" i="2"/>
  <c r="K444" i="2" s="1"/>
  <c r="J436" i="2"/>
  <c r="K436" i="2" s="1"/>
  <c r="J428" i="2"/>
  <c r="K428" i="2" s="1"/>
  <c r="J420" i="2"/>
  <c r="K420" i="2" s="1"/>
  <c r="J412" i="2"/>
  <c r="K412" i="2" s="1"/>
  <c r="J404" i="2"/>
  <c r="K404" i="2" s="1"/>
  <c r="J396" i="2"/>
  <c r="K396" i="2" s="1"/>
  <c r="J388" i="2"/>
  <c r="K388" i="2" s="1"/>
  <c r="J380" i="2"/>
  <c r="K380" i="2" s="1"/>
  <c r="J372" i="2"/>
  <c r="K372" i="2" s="1"/>
  <c r="J364" i="2"/>
  <c r="K364" i="2" s="1"/>
  <c r="J356" i="2"/>
  <c r="K356" i="2" s="1"/>
  <c r="J348" i="2"/>
  <c r="K348" i="2" s="1"/>
  <c r="J340" i="2"/>
  <c r="K340" i="2" s="1"/>
  <c r="J332" i="2"/>
  <c r="K332" i="2" s="1"/>
  <c r="J324" i="2"/>
  <c r="K324" i="2" s="1"/>
  <c r="J316" i="2"/>
  <c r="K316" i="2" s="1"/>
  <c r="J308" i="2"/>
  <c r="K308" i="2" s="1"/>
  <c r="J300" i="2"/>
  <c r="K300" i="2" s="1"/>
  <c r="J292" i="2"/>
  <c r="K292" i="2" s="1"/>
  <c r="J284" i="2"/>
  <c r="K284" i="2" s="1"/>
  <c r="J276" i="2"/>
  <c r="K276" i="2" s="1"/>
  <c r="J268" i="2"/>
  <c r="K268" i="2" s="1"/>
  <c r="J260" i="2"/>
  <c r="K260" i="2" s="1"/>
  <c r="J252" i="2"/>
  <c r="K252" i="2" s="1"/>
  <c r="J244" i="2"/>
  <c r="K244" i="2" s="1"/>
  <c r="J236" i="2"/>
  <c r="K236" i="2" s="1"/>
  <c r="J228" i="2"/>
  <c r="K228" i="2" s="1"/>
  <c r="J220" i="2"/>
  <c r="K220" i="2" s="1"/>
  <c r="J212" i="2"/>
  <c r="K212" i="2" s="1"/>
  <c r="J204" i="2"/>
  <c r="K204" i="2" s="1"/>
  <c r="J196" i="2"/>
  <c r="K196" i="2" s="1"/>
  <c r="J188" i="2"/>
  <c r="K188" i="2" s="1"/>
  <c r="J180" i="2"/>
  <c r="K180" i="2" s="1"/>
  <c r="J172" i="2"/>
  <c r="K172" i="2" s="1"/>
  <c r="J164" i="2"/>
  <c r="K164" i="2" s="1"/>
  <c r="J156" i="2"/>
  <c r="K156" i="2" s="1"/>
  <c r="J148" i="2"/>
  <c r="K148" i="2" s="1"/>
  <c r="J140" i="2"/>
  <c r="K140" i="2" s="1"/>
  <c r="J132" i="2"/>
  <c r="K132" i="2" s="1"/>
  <c r="J124" i="2"/>
  <c r="K124" i="2" s="1"/>
  <c r="J116" i="2"/>
  <c r="K116" i="2" s="1"/>
  <c r="J108" i="2"/>
  <c r="K108" i="2" s="1"/>
  <c r="J100" i="2"/>
  <c r="K100" i="2" s="1"/>
  <c r="J92" i="2"/>
  <c r="K92" i="2" s="1"/>
  <c r="J84" i="2"/>
  <c r="K84" i="2" s="1"/>
  <c r="J76" i="2"/>
  <c r="K76" i="2" s="1"/>
  <c r="J68" i="2"/>
  <c r="K68" i="2" s="1"/>
  <c r="J60" i="2"/>
  <c r="K60" i="2" s="1"/>
  <c r="J52" i="2"/>
  <c r="K52" i="2" s="1"/>
  <c r="J44" i="2"/>
  <c r="K44" i="2" s="1"/>
  <c r="J36" i="2"/>
  <c r="K36" i="2" s="1"/>
  <c r="J28" i="2"/>
  <c r="K28" i="2" s="1"/>
  <c r="J20" i="2"/>
  <c r="K20" i="2" s="1"/>
  <c r="J12" i="2"/>
  <c r="K12" i="2" s="1"/>
  <c r="J4" i="2"/>
  <c r="K4" i="2" s="1"/>
  <c r="J243" i="2"/>
  <c r="K243" i="2" s="1"/>
  <c r="J171" i="2"/>
  <c r="K171" i="2" s="1"/>
  <c r="J139" i="2"/>
  <c r="K139" i="2" s="1"/>
  <c r="J123" i="2"/>
  <c r="K123" i="2" s="1"/>
  <c r="J99" i="2"/>
  <c r="K99" i="2" s="1"/>
  <c r="J83" i="2"/>
  <c r="K83" i="2" s="1"/>
  <c r="J67" i="2"/>
  <c r="K67" i="2" s="1"/>
  <c r="J51" i="2"/>
  <c r="K51" i="2" s="1"/>
  <c r="J35" i="2"/>
  <c r="K35" i="2" s="1"/>
  <c r="J11" i="2"/>
  <c r="K11" i="2" s="1"/>
  <c r="J58" i="2"/>
  <c r="K58" i="2" s="1"/>
  <c r="J50" i="2"/>
  <c r="K50" i="2" s="1"/>
  <c r="J26" i="2"/>
  <c r="K26" i="2" s="1"/>
  <c r="J66" i="2"/>
  <c r="K66" i="2" s="1"/>
  <c r="J42" i="2"/>
  <c r="K42" i="2" s="1"/>
  <c r="J34" i="2"/>
  <c r="K34" i="2" s="1"/>
  <c r="J18" i="2"/>
  <c r="K18" i="2" s="1"/>
  <c r="J10" i="2"/>
  <c r="K10" i="2" s="1"/>
  <c r="X476" i="2"/>
  <c r="X468" i="2"/>
  <c r="X460" i="2"/>
  <c r="X452" i="2"/>
  <c r="X444" i="2"/>
  <c r="X436" i="2"/>
  <c r="X428" i="2"/>
  <c r="X420" i="2"/>
  <c r="X412" i="2"/>
  <c r="X404" i="2"/>
  <c r="X396" i="2"/>
  <c r="X388" i="2"/>
  <c r="X380" i="2"/>
  <c r="X372" i="2"/>
  <c r="X364" i="2"/>
  <c r="X356" i="2"/>
  <c r="X348" i="2"/>
  <c r="X340" i="2"/>
  <c r="X332" i="2"/>
  <c r="X324" i="2"/>
  <c r="X316" i="2"/>
  <c r="X308" i="2"/>
  <c r="X300" i="2"/>
  <c r="X292" i="2"/>
  <c r="X284" i="2"/>
  <c r="X276" i="2"/>
  <c r="X268" i="2"/>
  <c r="X260" i="2"/>
  <c r="X252" i="2"/>
  <c r="X244" i="2"/>
  <c r="X236" i="2"/>
  <c r="X228" i="2"/>
  <c r="X220" i="2"/>
  <c r="X212" i="2"/>
  <c r="X204" i="2"/>
  <c r="X196" i="2"/>
  <c r="X188" i="2"/>
  <c r="X180" i="2"/>
  <c r="X172" i="2"/>
  <c r="X164" i="2"/>
  <c r="X156" i="2"/>
  <c r="X148" i="2"/>
  <c r="X140" i="2"/>
  <c r="X132" i="2"/>
  <c r="X124" i="2"/>
  <c r="X116" i="2"/>
  <c r="X108" i="2"/>
  <c r="X100" i="2"/>
  <c r="X92" i="2"/>
  <c r="X84" i="2"/>
  <c r="X76" i="2"/>
  <c r="X68" i="2"/>
  <c r="X60" i="2"/>
  <c r="X52" i="2"/>
  <c r="X44" i="2"/>
  <c r="X36" i="2"/>
  <c r="X28" i="2"/>
  <c r="X20" i="2"/>
  <c r="X12" i="2"/>
  <c r="X4" i="2"/>
  <c r="X483" i="2"/>
  <c r="AB483" i="2" s="1"/>
  <c r="X475" i="2"/>
  <c r="X467" i="2"/>
  <c r="X459" i="2"/>
  <c r="X451" i="2"/>
  <c r="X443" i="2"/>
  <c r="X435" i="2"/>
  <c r="X427" i="2"/>
  <c r="X419" i="2"/>
  <c r="X411" i="2"/>
  <c r="X403" i="2"/>
  <c r="X395" i="2"/>
  <c r="X387" i="2"/>
  <c r="X379" i="2"/>
  <c r="X371" i="2"/>
  <c r="X363" i="2"/>
  <c r="AB363" i="2" s="1"/>
  <c r="X355" i="2"/>
  <c r="X347" i="2"/>
  <c r="X339" i="2"/>
  <c r="X331" i="2"/>
  <c r="X323" i="2"/>
  <c r="X315" i="2"/>
  <c r="X307" i="2"/>
  <c r="X299" i="2"/>
  <c r="X291" i="2"/>
  <c r="X283" i="2"/>
  <c r="X275" i="2"/>
  <c r="X267" i="2"/>
  <c r="X259" i="2"/>
  <c r="X251" i="2"/>
  <c r="X243" i="2"/>
  <c r="AB243" i="2" s="1"/>
  <c r="X235" i="2"/>
  <c r="X227" i="2"/>
  <c r="X219" i="2"/>
  <c r="X211" i="2"/>
  <c r="X203" i="2"/>
  <c r="X195" i="2"/>
  <c r="X187" i="2"/>
  <c r="X179" i="2"/>
  <c r="X171" i="2"/>
  <c r="X163" i="2"/>
  <c r="X155" i="2"/>
  <c r="X147" i="2"/>
  <c r="X139" i="2"/>
  <c r="X131" i="2"/>
  <c r="X123" i="2"/>
  <c r="AB123" i="2" s="1"/>
  <c r="X115" i="2"/>
  <c r="X107" i="2"/>
  <c r="X99" i="2"/>
  <c r="X91" i="2"/>
  <c r="X83" i="2"/>
  <c r="X75" i="2"/>
  <c r="X67" i="2"/>
  <c r="X59" i="2"/>
  <c r="X51" i="2"/>
  <c r="AB51" i="2" s="1"/>
  <c r="X43" i="2"/>
  <c r="X35" i="2"/>
  <c r="X27" i="2"/>
  <c r="AB27" i="2" s="1"/>
  <c r="X19" i="2"/>
  <c r="X11" i="2"/>
  <c r="X482" i="2"/>
  <c r="X474" i="2"/>
  <c r="X466" i="2"/>
  <c r="X458" i="2"/>
  <c r="X450" i="2"/>
  <c r="X442" i="2"/>
  <c r="X434" i="2"/>
  <c r="X426" i="2"/>
  <c r="X418" i="2"/>
  <c r="X410" i="2"/>
  <c r="X402" i="2"/>
  <c r="X394" i="2"/>
  <c r="X386" i="2"/>
  <c r="X378" i="2"/>
  <c r="X370" i="2"/>
  <c r="X362" i="2"/>
  <c r="X354" i="2"/>
  <c r="X346" i="2"/>
  <c r="X338" i="2"/>
  <c r="X330" i="2"/>
  <c r="X322" i="2"/>
  <c r="X314" i="2"/>
  <c r="X306" i="2"/>
  <c r="X298" i="2"/>
  <c r="X290" i="2"/>
  <c r="X282" i="2"/>
  <c r="X274" i="2"/>
  <c r="X266" i="2"/>
  <c r="X258" i="2"/>
  <c r="X250" i="2"/>
  <c r="X242" i="2"/>
  <c r="X234" i="2"/>
  <c r="X226" i="2"/>
  <c r="X218" i="2"/>
  <c r="X210" i="2"/>
  <c r="X202" i="2"/>
  <c r="X194" i="2"/>
  <c r="X186" i="2"/>
  <c r="X178" i="2"/>
  <c r="X170" i="2"/>
  <c r="X162" i="2"/>
  <c r="X154" i="2"/>
  <c r="X146" i="2"/>
  <c r="X138" i="2"/>
  <c r="X130" i="2"/>
  <c r="X122" i="2"/>
  <c r="X114" i="2"/>
  <c r="X106" i="2"/>
  <c r="X98" i="2"/>
  <c r="X90" i="2"/>
  <c r="X82" i="2"/>
  <c r="X74" i="2"/>
  <c r="X66" i="2"/>
  <c r="X58" i="2"/>
  <c r="X50" i="2"/>
  <c r="X42" i="2"/>
  <c r="X34" i="2"/>
  <c r="X26" i="2"/>
  <c r="X18" i="2"/>
  <c r="X10" i="2"/>
  <c r="X481" i="2"/>
  <c r="X473" i="2"/>
  <c r="X465" i="2"/>
  <c r="X457" i="2"/>
  <c r="X449" i="2"/>
  <c r="X441" i="2"/>
  <c r="X433" i="2"/>
  <c r="X425" i="2"/>
  <c r="X417" i="2"/>
  <c r="X409" i="2"/>
  <c r="X401" i="2"/>
  <c r="X393" i="2"/>
  <c r="X385" i="2"/>
  <c r="X377" i="2"/>
  <c r="X369" i="2"/>
  <c r="X361" i="2"/>
  <c r="X353" i="2"/>
  <c r="X345" i="2"/>
  <c r="X337" i="2"/>
  <c r="X329" i="2"/>
  <c r="X321" i="2"/>
  <c r="X313" i="2"/>
  <c r="X305" i="2"/>
  <c r="X297" i="2"/>
  <c r="X289" i="2"/>
  <c r="X281" i="2"/>
  <c r="X273" i="2"/>
  <c r="X265" i="2"/>
  <c r="X257" i="2"/>
  <c r="X249" i="2"/>
  <c r="X241" i="2"/>
  <c r="X233" i="2"/>
  <c r="X225" i="2"/>
  <c r="X217" i="2"/>
  <c r="X209" i="2"/>
  <c r="X201" i="2"/>
  <c r="X193" i="2"/>
  <c r="X185" i="2"/>
  <c r="X177" i="2"/>
  <c r="X169" i="2"/>
  <c r="X161" i="2"/>
  <c r="X153" i="2"/>
  <c r="X145" i="2"/>
  <c r="X137" i="2"/>
  <c r="X129" i="2"/>
  <c r="X121" i="2"/>
  <c r="X113" i="2"/>
  <c r="X105" i="2"/>
  <c r="X97" i="2"/>
  <c r="X89" i="2"/>
  <c r="X81" i="2"/>
  <c r="X73" i="2"/>
  <c r="X65" i="2"/>
  <c r="X57" i="2"/>
  <c r="X49" i="2"/>
  <c r="X41" i="2"/>
  <c r="X33" i="2"/>
  <c r="X25" i="2"/>
  <c r="X17" i="2"/>
  <c r="X9" i="2"/>
  <c r="X480" i="2"/>
  <c r="X472" i="2"/>
  <c r="X464" i="2"/>
  <c r="X456" i="2"/>
  <c r="X448" i="2"/>
  <c r="X440" i="2"/>
  <c r="X432" i="2"/>
  <c r="X424" i="2"/>
  <c r="X416" i="2"/>
  <c r="X408" i="2"/>
  <c r="X400" i="2"/>
  <c r="X392" i="2"/>
  <c r="X384" i="2"/>
  <c r="X376" i="2"/>
  <c r="X368" i="2"/>
  <c r="X360" i="2"/>
  <c r="X352" i="2"/>
  <c r="X344" i="2"/>
  <c r="X336" i="2"/>
  <c r="X328" i="2"/>
  <c r="X320" i="2"/>
  <c r="X312" i="2"/>
  <c r="X304" i="2"/>
  <c r="X296" i="2"/>
  <c r="X288" i="2"/>
  <c r="X280" i="2"/>
  <c r="X272" i="2"/>
  <c r="X264" i="2"/>
  <c r="X256" i="2"/>
  <c r="X248" i="2"/>
  <c r="X240" i="2"/>
  <c r="X232" i="2"/>
  <c r="X224" i="2"/>
  <c r="X216" i="2"/>
  <c r="X208" i="2"/>
  <c r="X200" i="2"/>
  <c r="X192" i="2"/>
  <c r="X184" i="2"/>
  <c r="X176" i="2"/>
  <c r="X168" i="2"/>
  <c r="X160" i="2"/>
  <c r="X152" i="2"/>
  <c r="X144" i="2"/>
  <c r="X136" i="2"/>
  <c r="X128" i="2"/>
  <c r="X120" i="2"/>
  <c r="X112" i="2"/>
  <c r="X104" i="2"/>
  <c r="X96" i="2"/>
  <c r="X88" i="2"/>
  <c r="X80" i="2"/>
  <c r="X72" i="2"/>
  <c r="X64" i="2"/>
  <c r="X56" i="2"/>
  <c r="X48" i="2"/>
  <c r="X40" i="2"/>
  <c r="X32" i="2"/>
  <c r="X24" i="2"/>
  <c r="X16" i="2"/>
  <c r="X8" i="2"/>
  <c r="X479" i="2"/>
  <c r="X471" i="2"/>
  <c r="X463" i="2"/>
  <c r="X455" i="2"/>
  <c r="X447" i="2"/>
  <c r="X439" i="2"/>
  <c r="X431" i="2"/>
  <c r="X423" i="2"/>
  <c r="X415" i="2"/>
  <c r="X407" i="2"/>
  <c r="X399" i="2"/>
  <c r="X391" i="2"/>
  <c r="X383" i="2"/>
  <c r="X375" i="2"/>
  <c r="X367" i="2"/>
  <c r="X359" i="2"/>
  <c r="X351" i="2"/>
  <c r="X343" i="2"/>
  <c r="X335" i="2"/>
  <c r="X327" i="2"/>
  <c r="X319" i="2"/>
  <c r="X311" i="2"/>
  <c r="X303" i="2"/>
  <c r="X295" i="2"/>
  <c r="X287" i="2"/>
  <c r="X279" i="2"/>
  <c r="X271" i="2"/>
  <c r="X263" i="2"/>
  <c r="X255" i="2"/>
  <c r="X247" i="2"/>
  <c r="X239" i="2"/>
  <c r="X231" i="2"/>
  <c r="X223" i="2"/>
  <c r="X215" i="2"/>
  <c r="X207" i="2"/>
  <c r="X199" i="2"/>
  <c r="X191" i="2"/>
  <c r="X183" i="2"/>
  <c r="AB183" i="2" s="1"/>
  <c r="X175" i="2"/>
  <c r="X167" i="2"/>
  <c r="X159" i="2"/>
  <c r="X151" i="2"/>
  <c r="X143" i="2"/>
  <c r="X135" i="2"/>
  <c r="X127" i="2"/>
  <c r="X119" i="2"/>
  <c r="X111" i="2"/>
  <c r="X103" i="2"/>
  <c r="X95" i="2"/>
  <c r="X87" i="2"/>
  <c r="X79" i="2"/>
  <c r="X71" i="2"/>
  <c r="X63" i="2"/>
  <c r="AB63" i="2" s="1"/>
  <c r="X55" i="2"/>
  <c r="X47" i="2"/>
  <c r="X39" i="2"/>
  <c r="AB39" i="2" s="1"/>
  <c r="X31" i="2"/>
  <c r="X23" i="2"/>
  <c r="X15" i="2"/>
  <c r="AB15" i="2" s="1"/>
  <c r="X7" i="2"/>
  <c r="X478" i="2"/>
  <c r="X470" i="2"/>
  <c r="X462" i="2"/>
  <c r="X454" i="2"/>
  <c r="X446" i="2"/>
  <c r="X438" i="2"/>
  <c r="X430" i="2"/>
  <c r="X422" i="2"/>
  <c r="X414" i="2"/>
  <c r="X406" i="2"/>
  <c r="X398" i="2"/>
  <c r="X390" i="2"/>
  <c r="X382" i="2"/>
  <c r="X374" i="2"/>
  <c r="X366" i="2"/>
  <c r="X358" i="2"/>
  <c r="X350" i="2"/>
  <c r="X342" i="2"/>
  <c r="X334" i="2"/>
  <c r="X326" i="2"/>
  <c r="X318" i="2"/>
  <c r="X310" i="2"/>
  <c r="X302" i="2"/>
  <c r="X294" i="2"/>
  <c r="X286" i="2"/>
  <c r="X278" i="2"/>
  <c r="X270" i="2"/>
  <c r="X262" i="2"/>
  <c r="X254" i="2"/>
  <c r="X246" i="2"/>
  <c r="X238" i="2"/>
  <c r="X230" i="2"/>
  <c r="X222" i="2"/>
  <c r="X214" i="2"/>
  <c r="X206" i="2"/>
  <c r="X198" i="2"/>
  <c r="X190" i="2"/>
  <c r="X182" i="2"/>
  <c r="X174" i="2"/>
  <c r="X166" i="2"/>
  <c r="X158" i="2"/>
  <c r="X150" i="2"/>
  <c r="X142" i="2"/>
  <c r="X134" i="2"/>
  <c r="X126" i="2"/>
  <c r="X118" i="2"/>
  <c r="X110" i="2"/>
  <c r="X102" i="2"/>
  <c r="X94" i="2"/>
  <c r="X86" i="2"/>
  <c r="X78" i="2"/>
  <c r="X70" i="2"/>
  <c r="X62" i="2"/>
  <c r="X54" i="2"/>
  <c r="X46" i="2"/>
  <c r="X38" i="2"/>
  <c r="X30" i="2"/>
  <c r="X22" i="2"/>
  <c r="X14" i="2"/>
  <c r="X6" i="2"/>
  <c r="X477" i="2"/>
  <c r="X469" i="2"/>
  <c r="X461" i="2"/>
  <c r="X453" i="2"/>
  <c r="X445" i="2"/>
  <c r="X437" i="2"/>
  <c r="X429" i="2"/>
  <c r="X421" i="2"/>
  <c r="X413" i="2"/>
  <c r="X405" i="2"/>
  <c r="X397" i="2"/>
  <c r="X389" i="2"/>
  <c r="X381" i="2"/>
  <c r="X373" i="2"/>
  <c r="X365" i="2"/>
  <c r="X357" i="2"/>
  <c r="X349" i="2"/>
  <c r="X341" i="2"/>
  <c r="X333" i="2"/>
  <c r="X325" i="2"/>
  <c r="X317" i="2"/>
  <c r="X309" i="2"/>
  <c r="X301" i="2"/>
  <c r="X293" i="2"/>
  <c r="X285" i="2"/>
  <c r="X277" i="2"/>
  <c r="X269" i="2"/>
  <c r="X261" i="2"/>
  <c r="X253" i="2"/>
  <c r="X245" i="2"/>
  <c r="X237" i="2"/>
  <c r="X229" i="2"/>
  <c r="X221" i="2"/>
  <c r="X213" i="2"/>
  <c r="X205" i="2"/>
  <c r="X197" i="2"/>
  <c r="X189" i="2"/>
  <c r="X181" i="2"/>
  <c r="X173" i="2"/>
  <c r="X165" i="2"/>
  <c r="X157" i="2"/>
  <c r="X149" i="2"/>
  <c r="X141" i="2"/>
  <c r="X133" i="2"/>
  <c r="X125" i="2"/>
  <c r="X117" i="2"/>
  <c r="X109" i="2"/>
  <c r="X101" i="2"/>
  <c r="X93" i="2"/>
  <c r="X85" i="2"/>
  <c r="X77" i="2"/>
  <c r="X69" i="2"/>
  <c r="X61" i="2"/>
  <c r="X53" i="2"/>
  <c r="X45" i="2"/>
  <c r="X37" i="2"/>
  <c r="X29" i="2"/>
  <c r="X21" i="2"/>
  <c r="X13" i="2"/>
  <c r="X5" i="2"/>
  <c r="B55" i="13"/>
  <c r="U43" i="13"/>
  <c r="B57" i="13"/>
  <c r="P37" i="2"/>
  <c r="P41" i="2"/>
  <c r="P65" i="2"/>
  <c r="D71" i="2"/>
  <c r="P71" i="2" s="1"/>
  <c r="E23" i="2"/>
  <c r="P50" i="2"/>
  <c r="P62" i="2"/>
  <c r="P17" i="2"/>
  <c r="P19" i="2"/>
  <c r="P21" i="2"/>
  <c r="P23" i="2"/>
  <c r="P25" i="2"/>
  <c r="M4" i="2"/>
  <c r="P33" i="2"/>
  <c r="P61" i="2"/>
  <c r="N4" i="2"/>
  <c r="P34" i="2"/>
  <c r="P45" i="2"/>
  <c r="B5" i="2"/>
  <c r="P16" i="2"/>
  <c r="P18" i="2"/>
  <c r="P20" i="2"/>
  <c r="P22" i="2"/>
  <c r="P24" i="2"/>
  <c r="P26" i="2"/>
  <c r="P74" i="2"/>
  <c r="E18" i="2"/>
  <c r="E7" i="2"/>
  <c r="E13" i="2"/>
  <c r="E22" i="2"/>
  <c r="E34" i="2"/>
  <c r="E10" i="2"/>
  <c r="E57" i="2"/>
  <c r="E9" i="2"/>
  <c r="E17" i="2"/>
  <c r="E26" i="2"/>
  <c r="E15" i="2"/>
  <c r="E38" i="2"/>
  <c r="F4" i="2"/>
  <c r="E14" i="2"/>
  <c r="E11" i="2"/>
  <c r="E6" i="2"/>
  <c r="E5" i="2"/>
  <c r="E19" i="2"/>
  <c r="E8" i="2"/>
  <c r="E12" i="2"/>
  <c r="E4" i="2"/>
  <c r="B6" i="2"/>
  <c r="N5" i="2"/>
  <c r="C28" i="2"/>
  <c r="E16" i="2"/>
  <c r="D56" i="2"/>
  <c r="P44" i="2"/>
  <c r="D40" i="2"/>
  <c r="P28" i="2"/>
  <c r="D85" i="2"/>
  <c r="P73" i="2"/>
  <c r="D87" i="2"/>
  <c r="P32" i="2"/>
  <c r="P67" i="2"/>
  <c r="D79" i="2"/>
  <c r="D48" i="2"/>
  <c r="P36" i="2"/>
  <c r="C43" i="2"/>
  <c r="E31" i="2"/>
  <c r="C36" i="2"/>
  <c r="E24" i="2"/>
  <c r="D89" i="2"/>
  <c r="P77" i="2"/>
  <c r="C32" i="2"/>
  <c r="E20" i="2"/>
  <c r="C41" i="2"/>
  <c r="E29" i="2"/>
  <c r="D83" i="2"/>
  <c r="E49" i="2"/>
  <c r="C61" i="2"/>
  <c r="E54" i="2"/>
  <c r="C66" i="2"/>
  <c r="E37" i="2"/>
  <c r="E45" i="2"/>
  <c r="C69" i="2"/>
  <c r="P47" i="2"/>
  <c r="P55" i="2"/>
  <c r="D69" i="2"/>
  <c r="E21" i="2"/>
  <c r="E46" i="2"/>
  <c r="C58" i="2"/>
  <c r="E25" i="2"/>
  <c r="E50" i="2"/>
  <c r="C62" i="2"/>
  <c r="P31" i="2"/>
  <c r="E39" i="2"/>
  <c r="P29" i="2"/>
  <c r="E30" i="2"/>
  <c r="E42" i="2"/>
  <c r="P90" i="2"/>
  <c r="D102" i="2"/>
  <c r="P94" i="2"/>
  <c r="D106" i="2"/>
  <c r="P86" i="2"/>
  <c r="D98" i="2"/>
  <c r="P49" i="2"/>
  <c r="E47" i="2"/>
  <c r="C59" i="2"/>
  <c r="E51" i="2"/>
  <c r="C63" i="2"/>
  <c r="E33" i="2"/>
  <c r="E27" i="2"/>
  <c r="E35" i="2"/>
  <c r="P35" i="2"/>
  <c r="P43" i="2"/>
  <c r="T56" i="26" l="1"/>
  <c r="I57" i="26"/>
  <c r="B59" i="13"/>
  <c r="B82" i="15"/>
  <c r="B98" i="15"/>
  <c r="B114" i="15"/>
  <c r="B110" i="15"/>
  <c r="B78" i="15"/>
  <c r="B84" i="15"/>
  <c r="B100" i="15"/>
  <c r="B90" i="15"/>
  <c r="B94" i="15"/>
  <c r="B99" i="15"/>
  <c r="B105" i="15"/>
  <c r="B106" i="15"/>
  <c r="B79" i="15"/>
  <c r="B95" i="15"/>
  <c r="B111" i="15"/>
  <c r="B83" i="15"/>
  <c r="B89" i="15"/>
  <c r="B80" i="15"/>
  <c r="B96" i="15"/>
  <c r="B112" i="15"/>
  <c r="B85" i="15"/>
  <c r="B101" i="15"/>
  <c r="B102" i="15"/>
  <c r="AB4" i="2"/>
  <c r="B75" i="15"/>
  <c r="B22" i="13"/>
  <c r="B91" i="15"/>
  <c r="B107" i="15"/>
  <c r="B86" i="15"/>
  <c r="B76" i="15"/>
  <c r="B92" i="15"/>
  <c r="B108" i="15"/>
  <c r="B81" i="15"/>
  <c r="B97" i="15"/>
  <c r="B113" i="15"/>
  <c r="B87" i="15"/>
  <c r="B103" i="15"/>
  <c r="B88" i="15"/>
  <c r="B104" i="15"/>
  <c r="B77" i="15"/>
  <c r="B93" i="15"/>
  <c r="B109" i="15"/>
  <c r="B11" i="13"/>
  <c r="F7" i="15"/>
  <c r="F40" i="15"/>
  <c r="F29" i="15"/>
  <c r="F45" i="15"/>
  <c r="F8" i="15"/>
  <c r="F14" i="15"/>
  <c r="F30" i="15"/>
  <c r="F46" i="15"/>
  <c r="F19" i="15"/>
  <c r="F35" i="15"/>
  <c r="F20" i="15"/>
  <c r="F36" i="15"/>
  <c r="F9" i="15"/>
  <c r="F25" i="15"/>
  <c r="F41" i="15"/>
  <c r="F42" i="15"/>
  <c r="F16" i="15"/>
  <c r="F32" i="15"/>
  <c r="F21" i="15"/>
  <c r="F37" i="15"/>
  <c r="F34" i="15"/>
  <c r="F23" i="15"/>
  <c r="F39" i="15"/>
  <c r="F10" i="15"/>
  <c r="F15" i="15"/>
  <c r="F31" i="15"/>
  <c r="F38" i="15"/>
  <c r="F11" i="15"/>
  <c r="F27" i="15"/>
  <c r="F43" i="15"/>
  <c r="F18" i="15"/>
  <c r="F24" i="15"/>
  <c r="F13" i="15"/>
  <c r="F26" i="15"/>
  <c r="F22" i="15"/>
  <c r="F12" i="15"/>
  <c r="F28" i="15"/>
  <c r="F44" i="15"/>
  <c r="F17" i="15"/>
  <c r="F33" i="15"/>
  <c r="AD5" i="2"/>
  <c r="G34" i="2"/>
  <c r="G14" i="2"/>
  <c r="H4" i="2"/>
  <c r="G25" i="2"/>
  <c r="G12" i="2"/>
  <c r="G38" i="2"/>
  <c r="G22" i="2"/>
  <c r="G23" i="2"/>
  <c r="G30" i="2"/>
  <c r="G7" i="2"/>
  <c r="G18" i="2"/>
  <c r="G51" i="2"/>
  <c r="G24" i="2"/>
  <c r="G42" i="2"/>
  <c r="G8" i="2"/>
  <c r="G13" i="2"/>
  <c r="G37" i="2"/>
  <c r="G19" i="2"/>
  <c r="G5" i="2"/>
  <c r="G33" i="2"/>
  <c r="G39" i="2"/>
  <c r="G54" i="2"/>
  <c r="G6" i="2"/>
  <c r="G9" i="2"/>
  <c r="G45" i="2"/>
  <c r="G15" i="2"/>
  <c r="G46" i="2"/>
  <c r="G20" i="2"/>
  <c r="G26" i="2"/>
  <c r="G17" i="2"/>
  <c r="G11" i="2"/>
  <c r="G57" i="2"/>
  <c r="G10" i="2"/>
  <c r="M5" i="2"/>
  <c r="G4" i="2"/>
  <c r="P36" i="1"/>
  <c r="G27" i="2"/>
  <c r="E63" i="2"/>
  <c r="C75" i="2"/>
  <c r="E69" i="2"/>
  <c r="C81" i="2"/>
  <c r="C55" i="2"/>
  <c r="E43" i="2"/>
  <c r="D91" i="2"/>
  <c r="P79" i="2"/>
  <c r="G21" i="2"/>
  <c r="G29" i="2"/>
  <c r="C44" i="2"/>
  <c r="E32" i="2"/>
  <c r="D68" i="2"/>
  <c r="P56" i="2"/>
  <c r="P83" i="2"/>
  <c r="D95" i="2"/>
  <c r="C53" i="2"/>
  <c r="E41" i="2"/>
  <c r="D52" i="2"/>
  <c r="P40" i="2"/>
  <c r="E61" i="2"/>
  <c r="C73" i="2"/>
  <c r="G31" i="2"/>
  <c r="G49" i="2"/>
  <c r="E59" i="2"/>
  <c r="C71" i="2"/>
  <c r="P98" i="2"/>
  <c r="D110" i="2"/>
  <c r="G35" i="2"/>
  <c r="P89" i="2"/>
  <c r="D101" i="2"/>
  <c r="B7" i="2"/>
  <c r="N6" i="2"/>
  <c r="M6" i="2"/>
  <c r="P102" i="2"/>
  <c r="D114" i="2"/>
  <c r="E58" i="2"/>
  <c r="C70" i="2"/>
  <c r="E62" i="2"/>
  <c r="C74" i="2"/>
  <c r="P69" i="2"/>
  <c r="D81" i="2"/>
  <c r="E66" i="2"/>
  <c r="C78" i="2"/>
  <c r="C40" i="2"/>
  <c r="E28" i="2"/>
  <c r="D60" i="2"/>
  <c r="P48" i="2"/>
  <c r="P85" i="2"/>
  <c r="D97" i="2"/>
  <c r="G47" i="2"/>
  <c r="P106" i="2"/>
  <c r="D118" i="2"/>
  <c r="G50" i="2"/>
  <c r="C48" i="2"/>
  <c r="E36" i="2"/>
  <c r="D99" i="2"/>
  <c r="G16" i="2"/>
  <c r="T57" i="26" l="1"/>
  <c r="I58" i="26"/>
  <c r="V43" i="13"/>
  <c r="B58" i="13"/>
  <c r="I4" i="2"/>
  <c r="F5" i="2" s="1"/>
  <c r="B48" i="13"/>
  <c r="B47" i="13"/>
  <c r="K43" i="13"/>
  <c r="D7" i="15"/>
  <c r="D8" i="15"/>
  <c r="T43" i="13"/>
  <c r="B56" i="13"/>
  <c r="AD4" i="2"/>
  <c r="G32" i="2"/>
  <c r="G63" i="2"/>
  <c r="G62" i="2"/>
  <c r="G61" i="2"/>
  <c r="G58" i="2"/>
  <c r="G69" i="2"/>
  <c r="G41" i="2"/>
  <c r="G59" i="2"/>
  <c r="D111" i="2"/>
  <c r="C56" i="2"/>
  <c r="E44" i="2"/>
  <c r="D72" i="2"/>
  <c r="P60" i="2"/>
  <c r="E70" i="2"/>
  <c r="C82" i="2"/>
  <c r="G36" i="2"/>
  <c r="E74" i="2"/>
  <c r="C86" i="2"/>
  <c r="E81" i="2"/>
  <c r="C93" i="2"/>
  <c r="D93" i="2"/>
  <c r="P81" i="2"/>
  <c r="E53" i="2"/>
  <c r="C65" i="2"/>
  <c r="E75" i="2"/>
  <c r="C87" i="2"/>
  <c r="M7" i="2"/>
  <c r="B8" i="2"/>
  <c r="N7" i="2"/>
  <c r="P110" i="2"/>
  <c r="D122" i="2"/>
  <c r="P95" i="2"/>
  <c r="D107" i="2"/>
  <c r="E48" i="2"/>
  <c r="C60" i="2"/>
  <c r="AD6" i="2"/>
  <c r="E71" i="2"/>
  <c r="C83" i="2"/>
  <c r="G66" i="2"/>
  <c r="D64" i="2"/>
  <c r="P52" i="2"/>
  <c r="P91" i="2"/>
  <c r="D103" i="2"/>
  <c r="P97" i="2"/>
  <c r="D109" i="2"/>
  <c r="C52" i="2"/>
  <c r="E40" i="2"/>
  <c r="E73" i="2"/>
  <c r="C85" i="2"/>
  <c r="E55" i="2"/>
  <c r="C67" i="2"/>
  <c r="D130" i="2"/>
  <c r="P118" i="2"/>
  <c r="P114" i="2"/>
  <c r="D126" i="2"/>
  <c r="P101" i="2"/>
  <c r="D113" i="2"/>
  <c r="G28" i="2"/>
  <c r="E78" i="2"/>
  <c r="C90" i="2"/>
  <c r="D80" i="2"/>
  <c r="P68" i="2"/>
  <c r="G43" i="2"/>
  <c r="T58" i="26" l="1"/>
  <c r="I59" i="26"/>
  <c r="H5" i="2"/>
  <c r="I5" i="2" s="1"/>
  <c r="L43" i="13"/>
  <c r="D9" i="15"/>
  <c r="G55" i="2"/>
  <c r="G53" i="2"/>
  <c r="G73" i="2"/>
  <c r="G48" i="2"/>
  <c r="G81" i="2"/>
  <c r="G71" i="2"/>
  <c r="AD7" i="2"/>
  <c r="E85" i="2"/>
  <c r="C97" i="2"/>
  <c r="P109" i="2"/>
  <c r="D121" i="2"/>
  <c r="E86" i="2"/>
  <c r="C98" i="2"/>
  <c r="D123" i="2"/>
  <c r="E65" i="2"/>
  <c r="C77" i="2"/>
  <c r="C105" i="2"/>
  <c r="E93" i="2"/>
  <c r="D92" i="2"/>
  <c r="P80" i="2"/>
  <c r="P113" i="2"/>
  <c r="D125" i="2"/>
  <c r="P103" i="2"/>
  <c r="D115" i="2"/>
  <c r="P107" i="2"/>
  <c r="D119" i="2"/>
  <c r="D138" i="2"/>
  <c r="P126" i="2"/>
  <c r="E67" i="2"/>
  <c r="C79" i="2"/>
  <c r="B9" i="2"/>
  <c r="N8" i="2"/>
  <c r="M8" i="2"/>
  <c r="P93" i="2"/>
  <c r="D105" i="2"/>
  <c r="P130" i="2"/>
  <c r="D142" i="2"/>
  <c r="E60" i="2"/>
  <c r="C72" i="2"/>
  <c r="D84" i="2"/>
  <c r="P72" i="2"/>
  <c r="E83" i="2"/>
  <c r="C95" i="2"/>
  <c r="G70" i="2"/>
  <c r="C102" i="2"/>
  <c r="E90" i="2"/>
  <c r="G40" i="2"/>
  <c r="D134" i="2"/>
  <c r="P122" i="2"/>
  <c r="C99" i="2"/>
  <c r="E87" i="2"/>
  <c r="G44" i="2"/>
  <c r="F6" i="2"/>
  <c r="G78" i="2"/>
  <c r="E52" i="2"/>
  <c r="C64" i="2"/>
  <c r="D76" i="2"/>
  <c r="P64" i="2"/>
  <c r="G75" i="2"/>
  <c r="G74" i="2"/>
  <c r="E82" i="2"/>
  <c r="C94" i="2"/>
  <c r="E56" i="2"/>
  <c r="C68" i="2"/>
  <c r="I60" i="26" l="1"/>
  <c r="T59" i="26"/>
  <c r="D10" i="15"/>
  <c r="G83" i="2"/>
  <c r="G85" i="2"/>
  <c r="G65" i="2"/>
  <c r="G56" i="2"/>
  <c r="G67" i="2"/>
  <c r="G52" i="2"/>
  <c r="G90" i="2"/>
  <c r="G86" i="2"/>
  <c r="G60" i="2"/>
  <c r="G82" i="2"/>
  <c r="G87" i="2"/>
  <c r="AD8" i="2"/>
  <c r="C111" i="2"/>
  <c r="E99" i="2"/>
  <c r="P119" i="2"/>
  <c r="D131" i="2"/>
  <c r="C114" i="2"/>
  <c r="E102" i="2"/>
  <c r="P115" i="2"/>
  <c r="D127" i="2"/>
  <c r="D135" i="2"/>
  <c r="D88" i="2"/>
  <c r="P76" i="2"/>
  <c r="C107" i="2"/>
  <c r="E95" i="2"/>
  <c r="E72" i="2"/>
  <c r="C84" i="2"/>
  <c r="P105" i="2"/>
  <c r="D117" i="2"/>
  <c r="E79" i="2"/>
  <c r="C91" i="2"/>
  <c r="C117" i="2"/>
  <c r="E105" i="2"/>
  <c r="P121" i="2"/>
  <c r="D133" i="2"/>
  <c r="P84" i="2"/>
  <c r="D96" i="2"/>
  <c r="E68" i="2"/>
  <c r="C80" i="2"/>
  <c r="P134" i="2"/>
  <c r="D146" i="2"/>
  <c r="G93" i="2"/>
  <c r="H6" i="2"/>
  <c r="D154" i="2"/>
  <c r="P142" i="2"/>
  <c r="B10" i="2"/>
  <c r="N9" i="2"/>
  <c r="M9" i="2"/>
  <c r="E77" i="2"/>
  <c r="C89" i="2"/>
  <c r="C109" i="2"/>
  <c r="E97" i="2"/>
  <c r="P92" i="2"/>
  <c r="D104" i="2"/>
  <c r="C106" i="2"/>
  <c r="E94" i="2"/>
  <c r="E64" i="2"/>
  <c r="C76" i="2"/>
  <c r="P125" i="2"/>
  <c r="D137" i="2"/>
  <c r="C110" i="2"/>
  <c r="E98" i="2"/>
  <c r="P138" i="2"/>
  <c r="D150" i="2"/>
  <c r="T60" i="26" l="1"/>
  <c r="I61" i="26"/>
  <c r="I6" i="2"/>
  <c r="F7" i="2" s="1"/>
  <c r="D11" i="15"/>
  <c r="G64" i="2"/>
  <c r="G94" i="2"/>
  <c r="G98" i="2"/>
  <c r="G79" i="2"/>
  <c r="G72" i="2"/>
  <c r="AD9" i="2"/>
  <c r="C118" i="2"/>
  <c r="E106" i="2"/>
  <c r="C103" i="2"/>
  <c r="E91" i="2"/>
  <c r="P131" i="2"/>
  <c r="D143" i="2"/>
  <c r="C122" i="2"/>
  <c r="E110" i="2"/>
  <c r="P154" i="2"/>
  <c r="D166" i="2"/>
  <c r="P96" i="2"/>
  <c r="D108" i="2"/>
  <c r="G95" i="2"/>
  <c r="D162" i="2"/>
  <c r="P150" i="2"/>
  <c r="P137" i="2"/>
  <c r="D149" i="2"/>
  <c r="C119" i="2"/>
  <c r="E107" i="2"/>
  <c r="D145" i="2"/>
  <c r="P133" i="2"/>
  <c r="D139" i="2"/>
  <c r="P127" i="2"/>
  <c r="E76" i="2"/>
  <c r="C88" i="2"/>
  <c r="P146" i="2"/>
  <c r="D158" i="2"/>
  <c r="P88" i="2"/>
  <c r="D100" i="2"/>
  <c r="C123" i="2"/>
  <c r="E111" i="2"/>
  <c r="E109" i="2"/>
  <c r="C121" i="2"/>
  <c r="P117" i="2"/>
  <c r="D129" i="2"/>
  <c r="G99" i="2"/>
  <c r="G97" i="2"/>
  <c r="C101" i="2"/>
  <c r="E89" i="2"/>
  <c r="G68" i="2"/>
  <c r="G105" i="2"/>
  <c r="E84" i="2"/>
  <c r="C96" i="2"/>
  <c r="G102" i="2"/>
  <c r="P104" i="2"/>
  <c r="D116" i="2"/>
  <c r="G77" i="2"/>
  <c r="B11" i="2"/>
  <c r="N10" i="2"/>
  <c r="M10" i="2"/>
  <c r="E80" i="2"/>
  <c r="C92" i="2"/>
  <c r="E117" i="2"/>
  <c r="C129" i="2"/>
  <c r="D147" i="2"/>
  <c r="C126" i="2"/>
  <c r="E114" i="2"/>
  <c r="T61" i="26" l="1"/>
  <c r="I62" i="26"/>
  <c r="G76" i="2"/>
  <c r="D12" i="15"/>
  <c r="G80" i="2"/>
  <c r="G117" i="2"/>
  <c r="G107" i="2"/>
  <c r="G89" i="2"/>
  <c r="D170" i="2"/>
  <c r="P158" i="2"/>
  <c r="D178" i="2"/>
  <c r="P166" i="2"/>
  <c r="D128" i="2"/>
  <c r="P116" i="2"/>
  <c r="P129" i="2"/>
  <c r="D141" i="2"/>
  <c r="D161" i="2"/>
  <c r="P149" i="2"/>
  <c r="E129" i="2"/>
  <c r="C141" i="2"/>
  <c r="E101" i="2"/>
  <c r="C113" i="2"/>
  <c r="G91" i="2"/>
  <c r="G110" i="2"/>
  <c r="C115" i="2"/>
  <c r="E103" i="2"/>
  <c r="E126" i="2"/>
  <c r="C138" i="2"/>
  <c r="C108" i="2"/>
  <c r="E96" i="2"/>
  <c r="AD10" i="2"/>
  <c r="E123" i="2"/>
  <c r="C135" i="2"/>
  <c r="P139" i="2"/>
  <c r="D151" i="2"/>
  <c r="D155" i="2"/>
  <c r="P143" i="2"/>
  <c r="C130" i="2"/>
  <c r="E118" i="2"/>
  <c r="G111" i="2"/>
  <c r="P162" i="2"/>
  <c r="D174" i="2"/>
  <c r="C134" i="2"/>
  <c r="E122" i="2"/>
  <c r="G106" i="2"/>
  <c r="C104" i="2"/>
  <c r="E92" i="2"/>
  <c r="D159" i="2"/>
  <c r="G84" i="2"/>
  <c r="G109" i="2"/>
  <c r="P100" i="2"/>
  <c r="D112" i="2"/>
  <c r="C131" i="2"/>
  <c r="E119" i="2"/>
  <c r="P108" i="2"/>
  <c r="D120" i="2"/>
  <c r="C100" i="2"/>
  <c r="E88" i="2"/>
  <c r="G114" i="2"/>
  <c r="M11" i="2"/>
  <c r="N11" i="2"/>
  <c r="B12" i="2"/>
  <c r="E121" i="2"/>
  <c r="C133" i="2"/>
  <c r="P145" i="2"/>
  <c r="D157" i="2"/>
  <c r="H7" i="2"/>
  <c r="T62" i="26" l="1"/>
  <c r="I63" i="26"/>
  <c r="I7" i="2"/>
  <c r="F8" i="2" s="1"/>
  <c r="D13" i="15"/>
  <c r="G123" i="2"/>
  <c r="G118" i="2"/>
  <c r="G121" i="2"/>
  <c r="G101" i="2"/>
  <c r="D186" i="2"/>
  <c r="P174" i="2"/>
  <c r="P161" i="2"/>
  <c r="D173" i="2"/>
  <c r="P170" i="2"/>
  <c r="D182" i="2"/>
  <c r="D169" i="2"/>
  <c r="P157" i="2"/>
  <c r="G119" i="2"/>
  <c r="D153" i="2"/>
  <c r="P141" i="2"/>
  <c r="M12" i="2"/>
  <c r="B13" i="2"/>
  <c r="N12" i="2"/>
  <c r="C112" i="2"/>
  <c r="E100" i="2"/>
  <c r="E131" i="2"/>
  <c r="C143" i="2"/>
  <c r="D171" i="2"/>
  <c r="G92" i="2"/>
  <c r="P155" i="2"/>
  <c r="D167" i="2"/>
  <c r="C120" i="2"/>
  <c r="E108" i="2"/>
  <c r="G103" i="2"/>
  <c r="C125" i="2"/>
  <c r="E113" i="2"/>
  <c r="C145" i="2"/>
  <c r="E133" i="2"/>
  <c r="G88" i="2"/>
  <c r="P112" i="2"/>
  <c r="D124" i="2"/>
  <c r="E104" i="2"/>
  <c r="C116" i="2"/>
  <c r="D163" i="2"/>
  <c r="P151" i="2"/>
  <c r="G96" i="2"/>
  <c r="C127" i="2"/>
  <c r="E115" i="2"/>
  <c r="E138" i="2"/>
  <c r="C150" i="2"/>
  <c r="E141" i="2"/>
  <c r="C153" i="2"/>
  <c r="P128" i="2"/>
  <c r="D140" i="2"/>
  <c r="AD11" i="2"/>
  <c r="D132" i="2"/>
  <c r="P120" i="2"/>
  <c r="G122" i="2"/>
  <c r="C147" i="2"/>
  <c r="E135" i="2"/>
  <c r="G126" i="2"/>
  <c r="G129" i="2"/>
  <c r="P178" i="2"/>
  <c r="D190" i="2"/>
  <c r="C146" i="2"/>
  <c r="E134" i="2"/>
  <c r="E130" i="2"/>
  <c r="C142" i="2"/>
  <c r="T63" i="26" l="1"/>
  <c r="I64" i="26"/>
  <c r="D14" i="15"/>
  <c r="G104" i="2"/>
  <c r="G131" i="2"/>
  <c r="G138" i="2"/>
  <c r="G100" i="2"/>
  <c r="G133" i="2"/>
  <c r="G134" i="2"/>
  <c r="AD12" i="2"/>
  <c r="E112" i="2"/>
  <c r="C124" i="2"/>
  <c r="D136" i="2"/>
  <c r="P124" i="2"/>
  <c r="P132" i="2"/>
  <c r="D144" i="2"/>
  <c r="C159" i="2"/>
  <c r="E147" i="2"/>
  <c r="H8" i="2"/>
  <c r="D175" i="2"/>
  <c r="P163" i="2"/>
  <c r="C157" i="2"/>
  <c r="E145" i="2"/>
  <c r="P167" i="2"/>
  <c r="D179" i="2"/>
  <c r="B14" i="2"/>
  <c r="N13" i="2"/>
  <c r="M13" i="2"/>
  <c r="D185" i="2"/>
  <c r="P173" i="2"/>
  <c r="E146" i="2"/>
  <c r="C158" i="2"/>
  <c r="D202" i="2"/>
  <c r="P190" i="2"/>
  <c r="P140" i="2"/>
  <c r="D152" i="2"/>
  <c r="C128" i="2"/>
  <c r="E116" i="2"/>
  <c r="G113" i="2"/>
  <c r="P169" i="2"/>
  <c r="D181" i="2"/>
  <c r="E125" i="2"/>
  <c r="C137" i="2"/>
  <c r="D183" i="2"/>
  <c r="P186" i="2"/>
  <c r="D198" i="2"/>
  <c r="C154" i="2"/>
  <c r="E142" i="2"/>
  <c r="E153" i="2"/>
  <c r="C165" i="2"/>
  <c r="G115" i="2"/>
  <c r="C139" i="2"/>
  <c r="E127" i="2"/>
  <c r="G130" i="2"/>
  <c r="G141" i="2"/>
  <c r="G108" i="2"/>
  <c r="C155" i="2"/>
  <c r="E143" i="2"/>
  <c r="D194" i="2"/>
  <c r="P182" i="2"/>
  <c r="G135" i="2"/>
  <c r="C162" i="2"/>
  <c r="E150" i="2"/>
  <c r="E120" i="2"/>
  <c r="C132" i="2"/>
  <c r="P153" i="2"/>
  <c r="D165" i="2"/>
  <c r="T64" i="26" l="1"/>
  <c r="I65" i="26"/>
  <c r="I8" i="2"/>
  <c r="F9" i="2" s="1"/>
  <c r="D15" i="15"/>
  <c r="G142" i="2"/>
  <c r="G153" i="2"/>
  <c r="G120" i="2"/>
  <c r="G150" i="2"/>
  <c r="G116" i="2"/>
  <c r="G127" i="2"/>
  <c r="C169" i="2"/>
  <c r="E157" i="2"/>
  <c r="D177" i="2"/>
  <c r="P165" i="2"/>
  <c r="C149" i="2"/>
  <c r="E137" i="2"/>
  <c r="C140" i="2"/>
  <c r="E128" i="2"/>
  <c r="E132" i="2"/>
  <c r="C144" i="2"/>
  <c r="E139" i="2"/>
  <c r="C151" i="2"/>
  <c r="D191" i="2"/>
  <c r="P179" i="2"/>
  <c r="G147" i="2"/>
  <c r="C167" i="2"/>
  <c r="E155" i="2"/>
  <c r="E162" i="2"/>
  <c r="C174" i="2"/>
  <c r="C177" i="2"/>
  <c r="E165" i="2"/>
  <c r="D195" i="2"/>
  <c r="D214" i="2"/>
  <c r="P202" i="2"/>
  <c r="G146" i="2"/>
  <c r="B15" i="2"/>
  <c r="N14" i="2"/>
  <c r="M14" i="2"/>
  <c r="G112" i="2"/>
  <c r="P194" i="2"/>
  <c r="D206" i="2"/>
  <c r="E154" i="2"/>
  <c r="C166" i="2"/>
  <c r="P152" i="2"/>
  <c r="D164" i="2"/>
  <c r="P185" i="2"/>
  <c r="D197" i="2"/>
  <c r="C171" i="2"/>
  <c r="E159" i="2"/>
  <c r="D210" i="2"/>
  <c r="P198" i="2"/>
  <c r="P136" i="2"/>
  <c r="D148" i="2"/>
  <c r="G143" i="2"/>
  <c r="D193" i="2"/>
  <c r="P181" i="2"/>
  <c r="AD13" i="2"/>
  <c r="G145" i="2"/>
  <c r="G125" i="2"/>
  <c r="C170" i="2"/>
  <c r="E158" i="2"/>
  <c r="P175" i="2"/>
  <c r="D187" i="2"/>
  <c r="P144" i="2"/>
  <c r="D156" i="2"/>
  <c r="C136" i="2"/>
  <c r="E124" i="2"/>
  <c r="T65" i="26" l="1"/>
  <c r="I66" i="26"/>
  <c r="D16" i="15"/>
  <c r="G162" i="2"/>
  <c r="G157" i="2"/>
  <c r="G165" i="2"/>
  <c r="G154" i="2"/>
  <c r="G132" i="2"/>
  <c r="G139" i="2"/>
  <c r="P191" i="2"/>
  <c r="D203" i="2"/>
  <c r="P177" i="2"/>
  <c r="D189" i="2"/>
  <c r="C186" i="2"/>
  <c r="E174" i="2"/>
  <c r="D226" i="2"/>
  <c r="P214" i="2"/>
  <c r="E170" i="2"/>
  <c r="C182" i="2"/>
  <c r="G159" i="2"/>
  <c r="H9" i="2"/>
  <c r="C148" i="2"/>
  <c r="E136" i="2"/>
  <c r="P193" i="2"/>
  <c r="D205" i="2"/>
  <c r="C161" i="2"/>
  <c r="E149" i="2"/>
  <c r="D199" i="2"/>
  <c r="P187" i="2"/>
  <c r="D222" i="2"/>
  <c r="P210" i="2"/>
  <c r="D176" i="2"/>
  <c r="P164" i="2"/>
  <c r="E177" i="2"/>
  <c r="C189" i="2"/>
  <c r="E144" i="2"/>
  <c r="C156" i="2"/>
  <c r="C178" i="2"/>
  <c r="E166" i="2"/>
  <c r="G158" i="2"/>
  <c r="D160" i="2"/>
  <c r="P148" i="2"/>
  <c r="G128" i="2"/>
  <c r="G124" i="2"/>
  <c r="B16" i="2"/>
  <c r="N15" i="2"/>
  <c r="M15" i="2"/>
  <c r="D207" i="2"/>
  <c r="C152" i="2"/>
  <c r="E140" i="2"/>
  <c r="E169" i="2"/>
  <c r="C181" i="2"/>
  <c r="C183" i="2"/>
  <c r="E171" i="2"/>
  <c r="D218" i="2"/>
  <c r="P206" i="2"/>
  <c r="G155" i="2"/>
  <c r="D168" i="2"/>
  <c r="P156" i="2"/>
  <c r="D209" i="2"/>
  <c r="P197" i="2"/>
  <c r="AD14" i="2"/>
  <c r="C179" i="2"/>
  <c r="E167" i="2"/>
  <c r="C163" i="2"/>
  <c r="E151" i="2"/>
  <c r="G137" i="2"/>
  <c r="T66" i="26" l="1"/>
  <c r="I67" i="26"/>
  <c r="I9" i="2"/>
  <c r="F10" i="2" s="1"/>
  <c r="D17" i="15"/>
  <c r="G170" i="2"/>
  <c r="G169" i="2"/>
  <c r="G136" i="2"/>
  <c r="G166" i="2"/>
  <c r="G144" i="2"/>
  <c r="G177" i="2"/>
  <c r="C191" i="2"/>
  <c r="E179" i="2"/>
  <c r="C193" i="2"/>
  <c r="E181" i="2"/>
  <c r="E161" i="2"/>
  <c r="C173" i="2"/>
  <c r="D219" i="2"/>
  <c r="P176" i="2"/>
  <c r="D188" i="2"/>
  <c r="AD15" i="2"/>
  <c r="AE16" i="2"/>
  <c r="T16" i="2"/>
  <c r="N16" i="2"/>
  <c r="M16" i="2"/>
  <c r="B17" i="2"/>
  <c r="C168" i="2"/>
  <c r="E156" i="2"/>
  <c r="D234" i="2"/>
  <c r="P222" i="2"/>
  <c r="D217" i="2"/>
  <c r="P205" i="2"/>
  <c r="D238" i="2"/>
  <c r="P226" i="2"/>
  <c r="G174" i="2"/>
  <c r="G151" i="2"/>
  <c r="D230" i="2"/>
  <c r="P218" i="2"/>
  <c r="G140" i="2"/>
  <c r="E186" i="2"/>
  <c r="C198" i="2"/>
  <c r="C175" i="2"/>
  <c r="E163" i="2"/>
  <c r="D221" i="2"/>
  <c r="P209" i="2"/>
  <c r="E152" i="2"/>
  <c r="C164" i="2"/>
  <c r="C201" i="2"/>
  <c r="E189" i="2"/>
  <c r="P199" i="2"/>
  <c r="D211" i="2"/>
  <c r="D201" i="2"/>
  <c r="P189" i="2"/>
  <c r="G171" i="2"/>
  <c r="G167" i="2"/>
  <c r="P168" i="2"/>
  <c r="D180" i="2"/>
  <c r="C195" i="2"/>
  <c r="E183" i="2"/>
  <c r="P160" i="2"/>
  <c r="D172" i="2"/>
  <c r="E178" i="2"/>
  <c r="C190" i="2"/>
  <c r="G149" i="2"/>
  <c r="C160" i="2"/>
  <c r="E148" i="2"/>
  <c r="C194" i="2"/>
  <c r="E182" i="2"/>
  <c r="P203" i="2"/>
  <c r="D215" i="2"/>
  <c r="I68" i="26" l="1"/>
  <c r="T67" i="26"/>
  <c r="D18" i="15"/>
  <c r="AE15" i="2"/>
  <c r="G183" i="2"/>
  <c r="G156" i="2"/>
  <c r="G148" i="2"/>
  <c r="G181" i="2"/>
  <c r="G179" i="2"/>
  <c r="G161" i="2"/>
  <c r="G186" i="2"/>
  <c r="G178" i="2"/>
  <c r="D246" i="2"/>
  <c r="P234" i="2"/>
  <c r="C207" i="2"/>
  <c r="E195" i="2"/>
  <c r="H10" i="2"/>
  <c r="I10" i="2" s="1"/>
  <c r="C203" i="2"/>
  <c r="E191" i="2"/>
  <c r="D192" i="2"/>
  <c r="P180" i="2"/>
  <c r="E194" i="2"/>
  <c r="C206" i="2"/>
  <c r="C176" i="2"/>
  <c r="E164" i="2"/>
  <c r="D223" i="2"/>
  <c r="P211" i="2"/>
  <c r="C187" i="2"/>
  <c r="E175" i="2"/>
  <c r="D250" i="2"/>
  <c r="P238" i="2"/>
  <c r="D184" i="2"/>
  <c r="P172" i="2"/>
  <c r="G152" i="2"/>
  <c r="C210" i="2"/>
  <c r="E198" i="2"/>
  <c r="AD16" i="2"/>
  <c r="D200" i="2"/>
  <c r="P188" i="2"/>
  <c r="C202" i="2"/>
  <c r="E190" i="2"/>
  <c r="E193" i="2"/>
  <c r="C205" i="2"/>
  <c r="E201" i="2"/>
  <c r="C213" i="2"/>
  <c r="D242" i="2"/>
  <c r="P230" i="2"/>
  <c r="P201" i="2"/>
  <c r="D213" i="2"/>
  <c r="P221" i="2"/>
  <c r="D233" i="2"/>
  <c r="C185" i="2"/>
  <c r="E173" i="2"/>
  <c r="G182" i="2"/>
  <c r="G163" i="2"/>
  <c r="E168" i="2"/>
  <c r="C180" i="2"/>
  <c r="E160" i="2"/>
  <c r="C172" i="2"/>
  <c r="P217" i="2"/>
  <c r="D229" i="2"/>
  <c r="B18" i="2"/>
  <c r="N17" i="2"/>
  <c r="M17" i="2"/>
  <c r="AE17" i="2"/>
  <c r="T17" i="2"/>
  <c r="D227" i="2"/>
  <c r="P215" i="2"/>
  <c r="G189" i="2"/>
  <c r="D231" i="2"/>
  <c r="T68" i="26" l="1"/>
  <c r="I69" i="26"/>
  <c r="D19" i="15"/>
  <c r="G160" i="2"/>
  <c r="G198" i="2"/>
  <c r="G195" i="2"/>
  <c r="G201" i="2"/>
  <c r="G193" i="2"/>
  <c r="G168" i="2"/>
  <c r="G194" i="2"/>
  <c r="G173" i="2"/>
  <c r="C215" i="2"/>
  <c r="E203" i="2"/>
  <c r="C225" i="2"/>
  <c r="E213" i="2"/>
  <c r="D225" i="2"/>
  <c r="P213" i="2"/>
  <c r="C199" i="2"/>
  <c r="E187" i="2"/>
  <c r="P200" i="2"/>
  <c r="D212" i="2"/>
  <c r="D262" i="2"/>
  <c r="P250" i="2"/>
  <c r="C219" i="2"/>
  <c r="E207" i="2"/>
  <c r="G190" i="2"/>
  <c r="D243" i="2"/>
  <c r="D254" i="2"/>
  <c r="P242" i="2"/>
  <c r="D235" i="2"/>
  <c r="P223" i="2"/>
  <c r="D245" i="2"/>
  <c r="P233" i="2"/>
  <c r="C222" i="2"/>
  <c r="E210" i="2"/>
  <c r="C184" i="2"/>
  <c r="E172" i="2"/>
  <c r="C214" i="2"/>
  <c r="E202" i="2"/>
  <c r="G175" i="2"/>
  <c r="D258" i="2"/>
  <c r="P246" i="2"/>
  <c r="C217" i="2"/>
  <c r="E205" i="2"/>
  <c r="P184" i="2"/>
  <c r="D196" i="2"/>
  <c r="G164" i="2"/>
  <c r="P192" i="2"/>
  <c r="D204" i="2"/>
  <c r="F11" i="2"/>
  <c r="AD17" i="2"/>
  <c r="D241" i="2"/>
  <c r="P229" i="2"/>
  <c r="E185" i="2"/>
  <c r="C197" i="2"/>
  <c r="E176" i="2"/>
  <c r="C188" i="2"/>
  <c r="D239" i="2"/>
  <c r="P227" i="2"/>
  <c r="B19" i="2"/>
  <c r="N18" i="2"/>
  <c r="M18" i="2"/>
  <c r="AE18" i="2"/>
  <c r="T18" i="2"/>
  <c r="C192" i="2"/>
  <c r="E180" i="2"/>
  <c r="C218" i="2"/>
  <c r="E206" i="2"/>
  <c r="G191" i="2"/>
  <c r="I70" i="26" l="1"/>
  <c r="T69" i="26"/>
  <c r="D20" i="15"/>
  <c r="G210" i="2"/>
  <c r="G213" i="2"/>
  <c r="G187" i="2"/>
  <c r="G176" i="2"/>
  <c r="G202" i="2"/>
  <c r="G185" i="2"/>
  <c r="AD18" i="2"/>
  <c r="E192" i="2"/>
  <c r="C204" i="2"/>
  <c r="D251" i="2"/>
  <c r="P239" i="2"/>
  <c r="D237" i="2"/>
  <c r="P225" i="2"/>
  <c r="D270" i="2"/>
  <c r="P258" i="2"/>
  <c r="E222" i="2"/>
  <c r="C234" i="2"/>
  <c r="D274" i="2"/>
  <c r="P262" i="2"/>
  <c r="E215" i="2"/>
  <c r="C227" i="2"/>
  <c r="B20" i="2"/>
  <c r="N19" i="2"/>
  <c r="M19" i="2"/>
  <c r="AE19" i="2"/>
  <c r="T19" i="2"/>
  <c r="G205" i="2"/>
  <c r="C229" i="2"/>
  <c r="E217" i="2"/>
  <c r="D224" i="2"/>
  <c r="P212" i="2"/>
  <c r="C200" i="2"/>
  <c r="E188" i="2"/>
  <c r="C226" i="2"/>
  <c r="E214" i="2"/>
  <c r="D247" i="2"/>
  <c r="P235" i="2"/>
  <c r="C231" i="2"/>
  <c r="E219" i="2"/>
  <c r="E225" i="2"/>
  <c r="C237" i="2"/>
  <c r="D266" i="2"/>
  <c r="P254" i="2"/>
  <c r="D208" i="2"/>
  <c r="P196" i="2"/>
  <c r="C211" i="2"/>
  <c r="E199" i="2"/>
  <c r="G203" i="2"/>
  <c r="G180" i="2"/>
  <c r="H11" i="2"/>
  <c r="I11" i="2" s="1"/>
  <c r="D255" i="2"/>
  <c r="C209" i="2"/>
  <c r="E197" i="2"/>
  <c r="D216" i="2"/>
  <c r="P204" i="2"/>
  <c r="D257" i="2"/>
  <c r="P245" i="2"/>
  <c r="G206" i="2"/>
  <c r="G207" i="2"/>
  <c r="C230" i="2"/>
  <c r="E218" i="2"/>
  <c r="G172" i="2"/>
  <c r="D253" i="2"/>
  <c r="P241" i="2"/>
  <c r="E184" i="2"/>
  <c r="C196" i="2"/>
  <c r="T70" i="26" l="1"/>
  <c r="I71" i="26"/>
  <c r="D21" i="15"/>
  <c r="G217" i="2"/>
  <c r="G225" i="2"/>
  <c r="G197" i="2"/>
  <c r="G222" i="2"/>
  <c r="D278" i="2"/>
  <c r="P266" i="2"/>
  <c r="D286" i="2"/>
  <c r="P274" i="2"/>
  <c r="E230" i="2"/>
  <c r="C242" i="2"/>
  <c r="F12" i="2"/>
  <c r="D263" i="2"/>
  <c r="P251" i="2"/>
  <c r="D269" i="2"/>
  <c r="P257" i="2"/>
  <c r="C249" i="2"/>
  <c r="E237" i="2"/>
  <c r="C216" i="2"/>
  <c r="E204" i="2"/>
  <c r="C208" i="2"/>
  <c r="E196" i="2"/>
  <c r="D259" i="2"/>
  <c r="P247" i="2"/>
  <c r="G218" i="2"/>
  <c r="P208" i="2"/>
  <c r="D220" i="2"/>
  <c r="D236" i="2"/>
  <c r="P224" i="2"/>
  <c r="E234" i="2"/>
  <c r="C246" i="2"/>
  <c r="D267" i="2"/>
  <c r="E226" i="2"/>
  <c r="C238" i="2"/>
  <c r="G184" i="2"/>
  <c r="G214" i="2"/>
  <c r="D265" i="2"/>
  <c r="P253" i="2"/>
  <c r="D228" i="2"/>
  <c r="P216" i="2"/>
  <c r="AD19" i="2"/>
  <c r="E227" i="2"/>
  <c r="C239" i="2"/>
  <c r="G192" i="2"/>
  <c r="G199" i="2"/>
  <c r="E231" i="2"/>
  <c r="C243" i="2"/>
  <c r="G188" i="2"/>
  <c r="AE20" i="2"/>
  <c r="T20" i="2"/>
  <c r="N20" i="2"/>
  <c r="M20" i="2"/>
  <c r="B21" i="2"/>
  <c r="D282" i="2"/>
  <c r="P270" i="2"/>
  <c r="C223" i="2"/>
  <c r="E211" i="2"/>
  <c r="G219" i="2"/>
  <c r="E200" i="2"/>
  <c r="C212" i="2"/>
  <c r="G215" i="2"/>
  <c r="E209" i="2"/>
  <c r="C221" i="2"/>
  <c r="E229" i="2"/>
  <c r="C241" i="2"/>
  <c r="D249" i="2"/>
  <c r="P237" i="2"/>
  <c r="I72" i="26" l="1"/>
  <c r="T71" i="26"/>
  <c r="D22" i="15"/>
  <c r="G229" i="2"/>
  <c r="G234" i="2"/>
  <c r="G209" i="2"/>
  <c r="G227" i="2"/>
  <c r="G237" i="2"/>
  <c r="G230" i="2"/>
  <c r="AD20" i="2"/>
  <c r="B22" i="2"/>
  <c r="N21" i="2"/>
  <c r="M21" i="2"/>
  <c r="T21" i="2"/>
  <c r="AE21" i="2"/>
  <c r="E223" i="2"/>
  <c r="C235" i="2"/>
  <c r="D240" i="2"/>
  <c r="P228" i="2"/>
  <c r="E208" i="2"/>
  <c r="C220" i="2"/>
  <c r="D279" i="2"/>
  <c r="C224" i="2"/>
  <c r="E212" i="2"/>
  <c r="D277" i="2"/>
  <c r="P265" i="2"/>
  <c r="D281" i="2"/>
  <c r="P269" i="2"/>
  <c r="C250" i="2"/>
  <c r="E238" i="2"/>
  <c r="D248" i="2"/>
  <c r="P236" i="2"/>
  <c r="H12" i="2"/>
  <c r="I12" i="2" s="1"/>
  <c r="D298" i="2"/>
  <c r="P286" i="2"/>
  <c r="C253" i="2"/>
  <c r="E241" i="2"/>
  <c r="G211" i="2"/>
  <c r="D232" i="2"/>
  <c r="P220" i="2"/>
  <c r="G196" i="2"/>
  <c r="C261" i="2"/>
  <c r="E249" i="2"/>
  <c r="D290" i="2"/>
  <c r="P278" i="2"/>
  <c r="C254" i="2"/>
  <c r="E242" i="2"/>
  <c r="D294" i="2"/>
  <c r="P282" i="2"/>
  <c r="C251" i="2"/>
  <c r="E239" i="2"/>
  <c r="C258" i="2"/>
  <c r="E246" i="2"/>
  <c r="E221" i="2"/>
  <c r="C233" i="2"/>
  <c r="G200" i="2"/>
  <c r="G231" i="2"/>
  <c r="G204" i="2"/>
  <c r="D275" i="2"/>
  <c r="P263" i="2"/>
  <c r="D261" i="2"/>
  <c r="P249" i="2"/>
  <c r="C255" i="2"/>
  <c r="E243" i="2"/>
  <c r="G226" i="2"/>
  <c r="D271" i="2"/>
  <c r="P259" i="2"/>
  <c r="C228" i="2"/>
  <c r="E216" i="2"/>
  <c r="T72" i="26" l="1"/>
  <c r="I73" i="26"/>
  <c r="D23" i="15"/>
  <c r="G223" i="2"/>
  <c r="G239" i="2"/>
  <c r="G243" i="2"/>
  <c r="G212" i="2"/>
  <c r="G242" i="2"/>
  <c r="G241" i="2"/>
  <c r="G216" i="2"/>
  <c r="G246" i="2"/>
  <c r="AD21" i="2"/>
  <c r="C262" i="2"/>
  <c r="E250" i="2"/>
  <c r="D289" i="2"/>
  <c r="P277" i="2"/>
  <c r="B23" i="2"/>
  <c r="N22" i="2"/>
  <c r="M22" i="2"/>
  <c r="AE22" i="2"/>
  <c r="T22" i="2"/>
  <c r="C267" i="2"/>
  <c r="E255" i="2"/>
  <c r="F13" i="2"/>
  <c r="E228" i="2"/>
  <c r="C240" i="2"/>
  <c r="D310" i="2"/>
  <c r="P298" i="2"/>
  <c r="D287" i="2"/>
  <c r="P275" i="2"/>
  <c r="C263" i="2"/>
  <c r="E251" i="2"/>
  <c r="E235" i="2"/>
  <c r="C247" i="2"/>
  <c r="D260" i="2"/>
  <c r="P248" i="2"/>
  <c r="D291" i="2"/>
  <c r="E233" i="2"/>
  <c r="C245" i="2"/>
  <c r="G208" i="2"/>
  <c r="C266" i="2"/>
  <c r="E254" i="2"/>
  <c r="E253" i="2"/>
  <c r="C265" i="2"/>
  <c r="D252" i="2"/>
  <c r="P240" i="2"/>
  <c r="D302" i="2"/>
  <c r="P290" i="2"/>
  <c r="D244" i="2"/>
  <c r="P232" i="2"/>
  <c r="E224" i="2"/>
  <c r="C236" i="2"/>
  <c r="D283" i="2"/>
  <c r="P271" i="2"/>
  <c r="D273" i="2"/>
  <c r="P261" i="2"/>
  <c r="C270" i="2"/>
  <c r="E258" i="2"/>
  <c r="E261" i="2"/>
  <c r="C273" i="2"/>
  <c r="G221" i="2"/>
  <c r="D306" i="2"/>
  <c r="P294" i="2"/>
  <c r="G249" i="2"/>
  <c r="G238" i="2"/>
  <c r="D293" i="2"/>
  <c r="P281" i="2"/>
  <c r="C232" i="2"/>
  <c r="E220" i="2"/>
  <c r="I74" i="26" l="1"/>
  <c r="T73" i="26"/>
  <c r="D24" i="15"/>
  <c r="G253" i="2"/>
  <c r="G254" i="2"/>
  <c r="G261" i="2"/>
  <c r="G258" i="2"/>
  <c r="G228" i="2"/>
  <c r="G251" i="2"/>
  <c r="G250" i="2"/>
  <c r="G233" i="2"/>
  <c r="G224" i="2"/>
  <c r="G235" i="2"/>
  <c r="G255" i="2"/>
  <c r="AD22" i="2"/>
  <c r="E232" i="2"/>
  <c r="C244" i="2"/>
  <c r="D285" i="2"/>
  <c r="P273" i="2"/>
  <c r="D322" i="2"/>
  <c r="P310" i="2"/>
  <c r="D305" i="2"/>
  <c r="P293" i="2"/>
  <c r="D303" i="2"/>
  <c r="C274" i="2"/>
  <c r="E262" i="2"/>
  <c r="D264" i="2"/>
  <c r="P252" i="2"/>
  <c r="C278" i="2"/>
  <c r="E266" i="2"/>
  <c r="D272" i="2"/>
  <c r="P260" i="2"/>
  <c r="E270" i="2"/>
  <c r="C282" i="2"/>
  <c r="E245" i="2"/>
  <c r="C257" i="2"/>
  <c r="E263" i="2"/>
  <c r="C275" i="2"/>
  <c r="D318" i="2"/>
  <c r="P306" i="2"/>
  <c r="D256" i="2"/>
  <c r="P244" i="2"/>
  <c r="C277" i="2"/>
  <c r="E265" i="2"/>
  <c r="E247" i="2"/>
  <c r="C259" i="2"/>
  <c r="C279" i="2"/>
  <c r="E267" i="2"/>
  <c r="D301" i="2"/>
  <c r="P289" i="2"/>
  <c r="G220" i="2"/>
  <c r="D314" i="2"/>
  <c r="P302" i="2"/>
  <c r="C252" i="2"/>
  <c r="E240" i="2"/>
  <c r="B24" i="2"/>
  <c r="N23" i="2"/>
  <c r="M23" i="2"/>
  <c r="AE23" i="2"/>
  <c r="T23" i="2"/>
  <c r="C285" i="2"/>
  <c r="E273" i="2"/>
  <c r="D295" i="2"/>
  <c r="P283" i="2"/>
  <c r="E236" i="2"/>
  <c r="C248" i="2"/>
  <c r="D299" i="2"/>
  <c r="P287" i="2"/>
  <c r="H13" i="2"/>
  <c r="I13" i="2" s="1"/>
  <c r="T74" i="26" l="1"/>
  <c r="I75" i="26"/>
  <c r="D25" i="15"/>
  <c r="G245" i="2"/>
  <c r="G262" i="2"/>
  <c r="G236" i="2"/>
  <c r="G247" i="2"/>
  <c r="G263" i="2"/>
  <c r="G232" i="2"/>
  <c r="G240" i="2"/>
  <c r="G273" i="2"/>
  <c r="G265" i="2"/>
  <c r="D307" i="2"/>
  <c r="P295" i="2"/>
  <c r="E282" i="2"/>
  <c r="C294" i="2"/>
  <c r="C260" i="2"/>
  <c r="E248" i="2"/>
  <c r="C291" i="2"/>
  <c r="E279" i="2"/>
  <c r="E275" i="2"/>
  <c r="C287" i="2"/>
  <c r="D276" i="2"/>
  <c r="P264" i="2"/>
  <c r="C297" i="2"/>
  <c r="E285" i="2"/>
  <c r="D317" i="2"/>
  <c r="P305" i="2"/>
  <c r="D297" i="2"/>
  <c r="P285" i="2"/>
  <c r="C256" i="2"/>
  <c r="E244" i="2"/>
  <c r="D311" i="2"/>
  <c r="P299" i="2"/>
  <c r="C271" i="2"/>
  <c r="E259" i="2"/>
  <c r="F14" i="2"/>
  <c r="G267" i="2"/>
  <c r="D284" i="2"/>
  <c r="P272" i="2"/>
  <c r="D326" i="2"/>
  <c r="P314" i="2"/>
  <c r="D268" i="2"/>
  <c r="P256" i="2"/>
  <c r="C269" i="2"/>
  <c r="E257" i="2"/>
  <c r="G266" i="2"/>
  <c r="C286" i="2"/>
  <c r="E274" i="2"/>
  <c r="AD23" i="2"/>
  <c r="C264" i="2"/>
  <c r="E252" i="2"/>
  <c r="D330" i="2"/>
  <c r="P318" i="2"/>
  <c r="C290" i="2"/>
  <c r="E278" i="2"/>
  <c r="D334" i="2"/>
  <c r="P322" i="2"/>
  <c r="AE24" i="2"/>
  <c r="T24" i="2"/>
  <c r="B25" i="2"/>
  <c r="N24" i="2"/>
  <c r="M24" i="2"/>
  <c r="D313" i="2"/>
  <c r="P301" i="2"/>
  <c r="C289" i="2"/>
  <c r="E277" i="2"/>
  <c r="G270" i="2"/>
  <c r="D315" i="2"/>
  <c r="T75" i="26" l="1"/>
  <c r="I76" i="26"/>
  <c r="D26" i="15"/>
  <c r="G244" i="2"/>
  <c r="G257" i="2"/>
  <c r="G282" i="2"/>
  <c r="G285" i="2"/>
  <c r="G252" i="2"/>
  <c r="E271" i="2"/>
  <c r="C283" i="2"/>
  <c r="D309" i="2"/>
  <c r="P297" i="2"/>
  <c r="E297" i="2"/>
  <c r="C309" i="2"/>
  <c r="D325" i="2"/>
  <c r="P313" i="2"/>
  <c r="D280" i="2"/>
  <c r="P268" i="2"/>
  <c r="C306" i="2"/>
  <c r="E294" i="2"/>
  <c r="AD24" i="2"/>
  <c r="E290" i="2"/>
  <c r="C302" i="2"/>
  <c r="C268" i="2"/>
  <c r="E256" i="2"/>
  <c r="C299" i="2"/>
  <c r="E287" i="2"/>
  <c r="E289" i="2"/>
  <c r="C301" i="2"/>
  <c r="C276" i="2"/>
  <c r="E264" i="2"/>
  <c r="G259" i="2"/>
  <c r="C272" i="2"/>
  <c r="E260" i="2"/>
  <c r="C281" i="2"/>
  <c r="E269" i="2"/>
  <c r="G279" i="2"/>
  <c r="D342" i="2"/>
  <c r="P330" i="2"/>
  <c r="H14" i="2"/>
  <c r="I14" i="2" s="1"/>
  <c r="D288" i="2"/>
  <c r="P276" i="2"/>
  <c r="E291" i="2"/>
  <c r="C303" i="2"/>
  <c r="D327" i="2"/>
  <c r="D346" i="2"/>
  <c r="P334" i="2"/>
  <c r="D338" i="2"/>
  <c r="P326" i="2"/>
  <c r="D323" i="2"/>
  <c r="P311" i="2"/>
  <c r="G274" i="2"/>
  <c r="D319" i="2"/>
  <c r="P307" i="2"/>
  <c r="G277" i="2"/>
  <c r="AE25" i="2"/>
  <c r="T25" i="2"/>
  <c r="B26" i="2"/>
  <c r="N25" i="2"/>
  <c r="M25" i="2"/>
  <c r="G278" i="2"/>
  <c r="C298" i="2"/>
  <c r="E286" i="2"/>
  <c r="D296" i="2"/>
  <c r="P284" i="2"/>
  <c r="D329" i="2"/>
  <c r="P317" i="2"/>
  <c r="G275" i="2"/>
  <c r="G248" i="2"/>
  <c r="T76" i="26" l="1"/>
  <c r="I77" i="26"/>
  <c r="D27" i="15"/>
  <c r="G256" i="2"/>
  <c r="G294" i="2"/>
  <c r="G264" i="2"/>
  <c r="G289" i="2"/>
  <c r="G291" i="2"/>
  <c r="D308" i="2"/>
  <c r="P296" i="2"/>
  <c r="F15" i="2"/>
  <c r="C313" i="2"/>
  <c r="E301" i="2"/>
  <c r="E283" i="2"/>
  <c r="C295" i="2"/>
  <c r="D300" i="2"/>
  <c r="P288" i="2"/>
  <c r="C314" i="2"/>
  <c r="E302" i="2"/>
  <c r="C293" i="2"/>
  <c r="E281" i="2"/>
  <c r="E299" i="2"/>
  <c r="C311" i="2"/>
  <c r="D321" i="2"/>
  <c r="P309" i="2"/>
  <c r="C315" i="2"/>
  <c r="E303" i="2"/>
  <c r="D292" i="2"/>
  <c r="P280" i="2"/>
  <c r="E268" i="2"/>
  <c r="C280" i="2"/>
  <c r="D337" i="2"/>
  <c r="P325" i="2"/>
  <c r="AD25" i="2"/>
  <c r="D335" i="2"/>
  <c r="P323" i="2"/>
  <c r="D350" i="2"/>
  <c r="P338" i="2"/>
  <c r="D331" i="2"/>
  <c r="P319" i="2"/>
  <c r="C288" i="2"/>
  <c r="E276" i="2"/>
  <c r="E298" i="2"/>
  <c r="C310" i="2"/>
  <c r="D358" i="2"/>
  <c r="P346" i="2"/>
  <c r="G271" i="2"/>
  <c r="G286" i="2"/>
  <c r="D354" i="2"/>
  <c r="P342" i="2"/>
  <c r="C321" i="2"/>
  <c r="E309" i="2"/>
  <c r="D341" i="2"/>
  <c r="P329" i="2"/>
  <c r="D339" i="2"/>
  <c r="G260" i="2"/>
  <c r="B27" i="2"/>
  <c r="N26" i="2"/>
  <c r="M26" i="2"/>
  <c r="AE26" i="2"/>
  <c r="T26" i="2"/>
  <c r="G269" i="2"/>
  <c r="C284" i="2"/>
  <c r="E272" i="2"/>
  <c r="G287" i="2"/>
  <c r="G290" i="2"/>
  <c r="E306" i="2"/>
  <c r="C318" i="2"/>
  <c r="G297" i="2"/>
  <c r="T77" i="26" l="1"/>
  <c r="I78" i="26"/>
  <c r="O4" i="2"/>
  <c r="S4" i="2" s="1"/>
  <c r="D28" i="15"/>
  <c r="G301" i="2"/>
  <c r="G283" i="2"/>
  <c r="G272" i="2"/>
  <c r="G281" i="2"/>
  <c r="G303" i="2"/>
  <c r="G276" i="2"/>
  <c r="G309" i="2"/>
  <c r="G298" i="2"/>
  <c r="B28" i="2"/>
  <c r="N27" i="2"/>
  <c r="M27" i="2"/>
  <c r="E288" i="2"/>
  <c r="C300" i="2"/>
  <c r="D351" i="2"/>
  <c r="D343" i="2"/>
  <c r="P331" i="2"/>
  <c r="D347" i="2"/>
  <c r="P335" i="2"/>
  <c r="G268" i="2"/>
  <c r="C305" i="2"/>
  <c r="E293" i="2"/>
  <c r="C325" i="2"/>
  <c r="E313" i="2"/>
  <c r="E280" i="2"/>
  <c r="C292" i="2"/>
  <c r="D353" i="2"/>
  <c r="P341" i="2"/>
  <c r="C327" i="2"/>
  <c r="E315" i="2"/>
  <c r="D312" i="2"/>
  <c r="P300" i="2"/>
  <c r="D333" i="2"/>
  <c r="P321" i="2"/>
  <c r="G306" i="2"/>
  <c r="C333" i="2"/>
  <c r="E321" i="2"/>
  <c r="E310" i="2"/>
  <c r="C322" i="2"/>
  <c r="D304" i="2"/>
  <c r="P292" i="2"/>
  <c r="G299" i="2"/>
  <c r="C326" i="2"/>
  <c r="E314" i="2"/>
  <c r="C307" i="2"/>
  <c r="E295" i="2"/>
  <c r="D366" i="2"/>
  <c r="P354" i="2"/>
  <c r="P358" i="2"/>
  <c r="D370" i="2"/>
  <c r="D362" i="2"/>
  <c r="P350" i="2"/>
  <c r="H15" i="2"/>
  <c r="I15" i="2" s="1"/>
  <c r="C330" i="2"/>
  <c r="E318" i="2"/>
  <c r="C296" i="2"/>
  <c r="E284" i="2"/>
  <c r="AD26" i="2"/>
  <c r="D349" i="2"/>
  <c r="P337" i="2"/>
  <c r="C323" i="2"/>
  <c r="E311" i="2"/>
  <c r="G302" i="2"/>
  <c r="D320" i="2"/>
  <c r="P308" i="2"/>
  <c r="T78" i="26" l="1"/>
  <c r="I79" i="26"/>
  <c r="U4" i="2"/>
  <c r="V4" i="2" s="1"/>
  <c r="D29" i="15"/>
  <c r="G315" i="2"/>
  <c r="G284" i="2"/>
  <c r="G295" i="2"/>
  <c r="G288" i="2"/>
  <c r="G293" i="2"/>
  <c r="G311" i="2"/>
  <c r="AD27" i="2"/>
  <c r="P366" i="2"/>
  <c r="D378" i="2"/>
  <c r="C339" i="2"/>
  <c r="E327" i="2"/>
  <c r="D359" i="2"/>
  <c r="P347" i="2"/>
  <c r="F16" i="2"/>
  <c r="D316" i="2"/>
  <c r="P304" i="2"/>
  <c r="B29" i="2"/>
  <c r="N28" i="2"/>
  <c r="M28" i="2"/>
  <c r="AE28" i="2"/>
  <c r="T28" i="2"/>
  <c r="P370" i="2"/>
  <c r="D382" i="2"/>
  <c r="C345" i="2"/>
  <c r="E333" i="2"/>
  <c r="C337" i="2"/>
  <c r="E325" i="2"/>
  <c r="D332" i="2"/>
  <c r="P320" i="2"/>
  <c r="D361" i="2"/>
  <c r="P349" i="2"/>
  <c r="E296" i="2"/>
  <c r="C308" i="2"/>
  <c r="C334" i="2"/>
  <c r="E322" i="2"/>
  <c r="D345" i="2"/>
  <c r="P333" i="2"/>
  <c r="D365" i="2"/>
  <c r="P353" i="2"/>
  <c r="D355" i="2"/>
  <c r="P343" i="2"/>
  <c r="D363" i="2"/>
  <c r="C342" i="2"/>
  <c r="E330" i="2"/>
  <c r="G321" i="2"/>
  <c r="C312" i="2"/>
  <c r="E300" i="2"/>
  <c r="C335" i="2"/>
  <c r="E323" i="2"/>
  <c r="E307" i="2"/>
  <c r="C319" i="2"/>
  <c r="G280" i="2"/>
  <c r="E305" i="2"/>
  <c r="C317" i="2"/>
  <c r="D324" i="2"/>
  <c r="P312" i="2"/>
  <c r="C338" i="2"/>
  <c r="E326" i="2"/>
  <c r="G313" i="2"/>
  <c r="G318" i="2"/>
  <c r="P362" i="2"/>
  <c r="D374" i="2"/>
  <c r="G314" i="2"/>
  <c r="G310" i="2"/>
  <c r="C304" i="2"/>
  <c r="E292" i="2"/>
  <c r="T79" i="26" l="1"/>
  <c r="I80" i="26"/>
  <c r="O5" i="2"/>
  <c r="S5" i="2" s="1"/>
  <c r="AF4" i="2"/>
  <c r="AG4" i="2" s="1"/>
  <c r="AH4" i="2" s="1"/>
  <c r="D30" i="15"/>
  <c r="AE27" i="2"/>
  <c r="G296" i="2"/>
  <c r="G333" i="2"/>
  <c r="G330" i="2"/>
  <c r="G327" i="2"/>
  <c r="G300" i="2"/>
  <c r="G305" i="2"/>
  <c r="G292" i="2"/>
  <c r="G326" i="2"/>
  <c r="G323" i="2"/>
  <c r="C331" i="2"/>
  <c r="E319" i="2"/>
  <c r="E304" i="2"/>
  <c r="C316" i="2"/>
  <c r="G307" i="2"/>
  <c r="C346" i="2"/>
  <c r="E334" i="2"/>
  <c r="P359" i="2"/>
  <c r="D371" i="2"/>
  <c r="C329" i="2"/>
  <c r="E317" i="2"/>
  <c r="E312" i="2"/>
  <c r="C324" i="2"/>
  <c r="C354" i="2"/>
  <c r="E342" i="2"/>
  <c r="C357" i="2"/>
  <c r="E345" i="2"/>
  <c r="P374" i="2"/>
  <c r="D386" i="2"/>
  <c r="P365" i="2"/>
  <c r="D377" i="2"/>
  <c r="C351" i="2"/>
  <c r="E339" i="2"/>
  <c r="C350" i="2"/>
  <c r="E338" i="2"/>
  <c r="D375" i="2"/>
  <c r="D357" i="2"/>
  <c r="P345" i="2"/>
  <c r="AD28" i="2"/>
  <c r="P378" i="2"/>
  <c r="D390" i="2"/>
  <c r="D344" i="2"/>
  <c r="P332" i="2"/>
  <c r="C349" i="2"/>
  <c r="E337" i="2"/>
  <c r="D328" i="2"/>
  <c r="P316" i="2"/>
  <c r="W4" i="2"/>
  <c r="M29" i="2"/>
  <c r="AE29" i="2"/>
  <c r="T29" i="2"/>
  <c r="N29" i="2"/>
  <c r="B30" i="2"/>
  <c r="H16" i="2"/>
  <c r="P15" i="2"/>
  <c r="G325" i="2"/>
  <c r="P382" i="2"/>
  <c r="D394" i="2"/>
  <c r="C320" i="2"/>
  <c r="E308" i="2"/>
  <c r="D336" i="2"/>
  <c r="P324" i="2"/>
  <c r="C347" i="2"/>
  <c r="E335" i="2"/>
  <c r="D367" i="2"/>
  <c r="P355" i="2"/>
  <c r="G322" i="2"/>
  <c r="P361" i="2"/>
  <c r="D373" i="2"/>
  <c r="T80" i="26" l="1"/>
  <c r="I81" i="26"/>
  <c r="U5" i="2"/>
  <c r="V5" i="2" s="1"/>
  <c r="I16" i="2"/>
  <c r="F17" i="2" s="1"/>
  <c r="D31" i="15"/>
  <c r="G312" i="2"/>
  <c r="G304" i="2"/>
  <c r="G308" i="2"/>
  <c r="G317" i="2"/>
  <c r="G335" i="2"/>
  <c r="G337" i="2"/>
  <c r="G319" i="2"/>
  <c r="G342" i="2"/>
  <c r="G334" i="2"/>
  <c r="AD29" i="2"/>
  <c r="C366" i="2"/>
  <c r="E354" i="2"/>
  <c r="P367" i="2"/>
  <c r="D379" i="2"/>
  <c r="P357" i="2"/>
  <c r="D369" i="2"/>
  <c r="C363" i="2"/>
  <c r="E351" i="2"/>
  <c r="C341" i="2"/>
  <c r="E329" i="2"/>
  <c r="AE30" i="2"/>
  <c r="T30" i="2"/>
  <c r="B31" i="2"/>
  <c r="N30" i="2"/>
  <c r="M30" i="2"/>
  <c r="C361" i="2"/>
  <c r="E349" i="2"/>
  <c r="P377" i="2"/>
  <c r="D389" i="2"/>
  <c r="P371" i="2"/>
  <c r="D383" i="2"/>
  <c r="P390" i="2"/>
  <c r="D402" i="2"/>
  <c r="D348" i="2"/>
  <c r="P336" i="2"/>
  <c r="C362" i="2"/>
  <c r="E350" i="2"/>
  <c r="D356" i="2"/>
  <c r="P344" i="2"/>
  <c r="C359" i="2"/>
  <c r="E347" i="2"/>
  <c r="D406" i="2"/>
  <c r="P394" i="2"/>
  <c r="P373" i="2"/>
  <c r="D385" i="2"/>
  <c r="G338" i="2"/>
  <c r="D340" i="2"/>
  <c r="P328" i="2"/>
  <c r="G345" i="2"/>
  <c r="C328" i="2"/>
  <c r="E316" i="2"/>
  <c r="D387" i="2"/>
  <c r="C358" i="2"/>
  <c r="E346" i="2"/>
  <c r="C332" i="2"/>
  <c r="E320" i="2"/>
  <c r="D398" i="2"/>
  <c r="P386" i="2"/>
  <c r="C336" i="2"/>
  <c r="E324" i="2"/>
  <c r="C343" i="2"/>
  <c r="E331" i="2"/>
  <c r="G339" i="2"/>
  <c r="C369" i="2"/>
  <c r="E357" i="2"/>
  <c r="I82" i="26" l="1"/>
  <c r="T81" i="26"/>
  <c r="O6" i="2"/>
  <c r="S6" i="2" s="1"/>
  <c r="AF5" i="2"/>
  <c r="AG5" i="2" s="1"/>
  <c r="AH5" i="2" s="1"/>
  <c r="D32" i="15"/>
  <c r="G331" i="2"/>
  <c r="G320" i="2"/>
  <c r="G354" i="2"/>
  <c r="G350" i="2"/>
  <c r="G347" i="2"/>
  <c r="G357" i="2"/>
  <c r="G316" i="2"/>
  <c r="G351" i="2"/>
  <c r="AD30" i="2"/>
  <c r="C355" i="2"/>
  <c r="E343" i="2"/>
  <c r="C374" i="2"/>
  <c r="E362" i="2"/>
  <c r="D399" i="2"/>
  <c r="C353" i="2"/>
  <c r="E341" i="2"/>
  <c r="P379" i="2"/>
  <c r="D391" i="2"/>
  <c r="C381" i="2"/>
  <c r="G369" i="2"/>
  <c r="E369" i="2"/>
  <c r="T31" i="2"/>
  <c r="B32" i="2"/>
  <c r="AE31" i="2"/>
  <c r="N31" i="2"/>
  <c r="M31" i="2"/>
  <c r="C378" i="2"/>
  <c r="G366" i="2"/>
  <c r="E366" i="2"/>
  <c r="C375" i="2"/>
  <c r="E363" i="2"/>
  <c r="P398" i="2"/>
  <c r="D410" i="2"/>
  <c r="P356" i="2"/>
  <c r="D368" i="2"/>
  <c r="D401" i="2"/>
  <c r="P389" i="2"/>
  <c r="C348" i="2"/>
  <c r="E336" i="2"/>
  <c r="C344" i="2"/>
  <c r="E332" i="2"/>
  <c r="D360" i="2"/>
  <c r="P348" i="2"/>
  <c r="G346" i="2"/>
  <c r="C340" i="2"/>
  <c r="E328" i="2"/>
  <c r="H17" i="2"/>
  <c r="P406" i="2"/>
  <c r="D418" i="2"/>
  <c r="G349" i="2"/>
  <c r="P369" i="2"/>
  <c r="D381" i="2"/>
  <c r="D397" i="2"/>
  <c r="P385" i="2"/>
  <c r="C371" i="2"/>
  <c r="E359" i="2"/>
  <c r="D395" i="2"/>
  <c r="P383" i="2"/>
  <c r="G324" i="2"/>
  <c r="D352" i="2"/>
  <c r="P340" i="2"/>
  <c r="W5" i="2"/>
  <c r="C370" i="2"/>
  <c r="E358" i="2"/>
  <c r="D414" i="2"/>
  <c r="P402" i="2"/>
  <c r="C373" i="2"/>
  <c r="E361" i="2"/>
  <c r="G329" i="2"/>
  <c r="T82" i="26" l="1"/>
  <c r="I83" i="26"/>
  <c r="U6" i="2"/>
  <c r="V6" i="2" s="1"/>
  <c r="I17" i="2"/>
  <c r="F18" i="2" s="1"/>
  <c r="D33" i="15"/>
  <c r="G332" i="2"/>
  <c r="G336" i="2"/>
  <c r="G359" i="2"/>
  <c r="G328" i="2"/>
  <c r="G343" i="2"/>
  <c r="G341" i="2"/>
  <c r="AD31" i="2"/>
  <c r="P381" i="2"/>
  <c r="D393" i="2"/>
  <c r="P414" i="2"/>
  <c r="D426" i="2"/>
  <c r="C393" i="2"/>
  <c r="E381" i="2"/>
  <c r="G381" i="2"/>
  <c r="E373" i="2"/>
  <c r="C385" i="2"/>
  <c r="G373" i="2"/>
  <c r="C386" i="2"/>
  <c r="G374" i="2"/>
  <c r="E374" i="2"/>
  <c r="P395" i="2"/>
  <c r="D407" i="2"/>
  <c r="G371" i="2"/>
  <c r="C383" i="2"/>
  <c r="E371" i="2"/>
  <c r="D430" i="2"/>
  <c r="P418" i="2"/>
  <c r="P360" i="2"/>
  <c r="D372" i="2"/>
  <c r="P401" i="2"/>
  <c r="D413" i="2"/>
  <c r="P391" i="2"/>
  <c r="D403" i="2"/>
  <c r="C367" i="2"/>
  <c r="E355" i="2"/>
  <c r="C356" i="2"/>
  <c r="E344" i="2"/>
  <c r="C352" i="2"/>
  <c r="E340" i="2"/>
  <c r="T32" i="2"/>
  <c r="N32" i="2"/>
  <c r="M32" i="2"/>
  <c r="B33" i="2"/>
  <c r="AE32" i="2"/>
  <c r="C360" i="2"/>
  <c r="E348" i="2"/>
  <c r="G358" i="2"/>
  <c r="P368" i="2"/>
  <c r="D380" i="2"/>
  <c r="C387" i="2"/>
  <c r="G375" i="2"/>
  <c r="E375" i="2"/>
  <c r="C390" i="2"/>
  <c r="G378" i="2"/>
  <c r="E378" i="2"/>
  <c r="C365" i="2"/>
  <c r="E353" i="2"/>
  <c r="D422" i="2"/>
  <c r="P410" i="2"/>
  <c r="D411" i="2"/>
  <c r="G361" i="2"/>
  <c r="C382" i="2"/>
  <c r="G370" i="2"/>
  <c r="E370" i="2"/>
  <c r="D364" i="2"/>
  <c r="P352" i="2"/>
  <c r="D409" i="2"/>
  <c r="P397" i="2"/>
  <c r="G363" i="2"/>
  <c r="G362" i="2"/>
  <c r="I84" i="26" l="1"/>
  <c r="T83" i="26"/>
  <c r="O7" i="2"/>
  <c r="S7" i="2" s="1"/>
  <c r="AF6" i="2"/>
  <c r="AG6" i="2" s="1"/>
  <c r="AH6" i="2" s="1"/>
  <c r="D34" i="15"/>
  <c r="G353" i="2"/>
  <c r="G340" i="2"/>
  <c r="G344" i="2"/>
  <c r="G355" i="2"/>
  <c r="AD32" i="2"/>
  <c r="W6" i="2"/>
  <c r="P372" i="2"/>
  <c r="D384" i="2"/>
  <c r="G393" i="2"/>
  <c r="C405" i="2"/>
  <c r="E393" i="2"/>
  <c r="C394" i="2"/>
  <c r="G382" i="2"/>
  <c r="E382" i="2"/>
  <c r="D392" i="2"/>
  <c r="P380" i="2"/>
  <c r="D438" i="2"/>
  <c r="P426" i="2"/>
  <c r="G385" i="2"/>
  <c r="C397" i="2"/>
  <c r="E385" i="2"/>
  <c r="H18" i="2"/>
  <c r="P409" i="2"/>
  <c r="D421" i="2"/>
  <c r="D423" i="2"/>
  <c r="C377" i="2"/>
  <c r="E365" i="2"/>
  <c r="G365" i="2"/>
  <c r="G387" i="2"/>
  <c r="E387" i="2"/>
  <c r="C399" i="2"/>
  <c r="D415" i="2"/>
  <c r="P403" i="2"/>
  <c r="D419" i="2"/>
  <c r="P407" i="2"/>
  <c r="G390" i="2"/>
  <c r="E390" i="2"/>
  <c r="C402" i="2"/>
  <c r="C372" i="2"/>
  <c r="E360" i="2"/>
  <c r="C368" i="2"/>
  <c r="E356" i="2"/>
  <c r="C379" i="2"/>
  <c r="G367" i="2"/>
  <c r="E367" i="2"/>
  <c r="D405" i="2"/>
  <c r="P393" i="2"/>
  <c r="G383" i="2"/>
  <c r="C395" i="2"/>
  <c r="E383" i="2"/>
  <c r="G386" i="2"/>
  <c r="C398" i="2"/>
  <c r="E386" i="2"/>
  <c r="C364" i="2"/>
  <c r="E352" i="2"/>
  <c r="P364" i="2"/>
  <c r="D376" i="2"/>
  <c r="P422" i="2"/>
  <c r="D434" i="2"/>
  <c r="G348" i="2"/>
  <c r="T33" i="2"/>
  <c r="AE33" i="2"/>
  <c r="M33" i="2"/>
  <c r="N33" i="2"/>
  <c r="B34" i="2"/>
  <c r="D425" i="2"/>
  <c r="P413" i="2"/>
  <c r="P430" i="2"/>
  <c r="D442" i="2"/>
  <c r="I85" i="26" l="1"/>
  <c r="T84" i="26"/>
  <c r="U7" i="2"/>
  <c r="V7" i="2" s="1"/>
  <c r="I18" i="2"/>
  <c r="F19" i="2" s="1"/>
  <c r="D35" i="15"/>
  <c r="G356" i="2"/>
  <c r="D454" i="2"/>
  <c r="P442" i="2"/>
  <c r="T34" i="2"/>
  <c r="M34" i="2"/>
  <c r="B35" i="2"/>
  <c r="AE34" i="2"/>
  <c r="N34" i="2"/>
  <c r="G405" i="2"/>
  <c r="E405" i="2"/>
  <c r="C417" i="2"/>
  <c r="G398" i="2"/>
  <c r="C410" i="2"/>
  <c r="E398" i="2"/>
  <c r="P438" i="2"/>
  <c r="D450" i="2"/>
  <c r="D417" i="2"/>
  <c r="P405" i="2"/>
  <c r="C380" i="2"/>
  <c r="G368" i="2"/>
  <c r="E368" i="2"/>
  <c r="C389" i="2"/>
  <c r="G377" i="2"/>
  <c r="E377" i="2"/>
  <c r="D446" i="2"/>
  <c r="P434" i="2"/>
  <c r="C391" i="2"/>
  <c r="G379" i="2"/>
  <c r="E379" i="2"/>
  <c r="G360" i="2"/>
  <c r="D427" i="2"/>
  <c r="P415" i="2"/>
  <c r="D431" i="2"/>
  <c r="P419" i="2"/>
  <c r="G395" i="2"/>
  <c r="E395" i="2"/>
  <c r="C407" i="2"/>
  <c r="G397" i="2"/>
  <c r="C409" i="2"/>
  <c r="E397" i="2"/>
  <c r="C384" i="2"/>
  <c r="E372" i="2"/>
  <c r="G372" i="2"/>
  <c r="D435" i="2"/>
  <c r="G394" i="2"/>
  <c r="C406" i="2"/>
  <c r="E394" i="2"/>
  <c r="G352" i="2"/>
  <c r="D396" i="2"/>
  <c r="P384" i="2"/>
  <c r="D437" i="2"/>
  <c r="P425" i="2"/>
  <c r="C376" i="2"/>
  <c r="E364" i="2"/>
  <c r="G364" i="2"/>
  <c r="P392" i="2"/>
  <c r="D404" i="2"/>
  <c r="AD33" i="2"/>
  <c r="D388" i="2"/>
  <c r="P376" i="2"/>
  <c r="G402" i="2"/>
  <c r="C414" i="2"/>
  <c r="E402" i="2"/>
  <c r="G399" i="2"/>
  <c r="C411" i="2"/>
  <c r="E399" i="2"/>
  <c r="D433" i="2"/>
  <c r="P421" i="2"/>
  <c r="I86" i="26" l="1"/>
  <c r="T85" i="26"/>
  <c r="O8" i="2"/>
  <c r="S8" i="2" s="1"/>
  <c r="AF7" i="2"/>
  <c r="AG7" i="2" s="1"/>
  <c r="AH7" i="2" s="1"/>
  <c r="D36" i="15"/>
  <c r="D37" i="15"/>
  <c r="P396" i="2"/>
  <c r="D408" i="2"/>
  <c r="G406" i="2"/>
  <c r="E406" i="2"/>
  <c r="C418" i="2"/>
  <c r="D443" i="2"/>
  <c r="P431" i="2"/>
  <c r="C392" i="2"/>
  <c r="E380" i="2"/>
  <c r="G380" i="2"/>
  <c r="G410" i="2"/>
  <c r="C422" i="2"/>
  <c r="E410" i="2"/>
  <c r="G391" i="2"/>
  <c r="C403" i="2"/>
  <c r="E391" i="2"/>
  <c r="G417" i="2"/>
  <c r="E417" i="2"/>
  <c r="C429" i="2"/>
  <c r="D445" i="2"/>
  <c r="P433" i="2"/>
  <c r="P388" i="2"/>
  <c r="D400" i="2"/>
  <c r="C388" i="2"/>
  <c r="G376" i="2"/>
  <c r="E376" i="2"/>
  <c r="D458" i="2"/>
  <c r="P446" i="2"/>
  <c r="P417" i="2"/>
  <c r="D429" i="2"/>
  <c r="G389" i="2"/>
  <c r="C401" i="2"/>
  <c r="E389" i="2"/>
  <c r="G407" i="2"/>
  <c r="C419" i="2"/>
  <c r="E407" i="2"/>
  <c r="D447" i="2"/>
  <c r="D462" i="2"/>
  <c r="P450" i="2"/>
  <c r="AD34" i="2"/>
  <c r="D466" i="2"/>
  <c r="P454" i="2"/>
  <c r="D416" i="2"/>
  <c r="P404" i="2"/>
  <c r="G409" i="2"/>
  <c r="E409" i="2"/>
  <c r="C421" i="2"/>
  <c r="G414" i="2"/>
  <c r="E414" i="2"/>
  <c r="C426" i="2"/>
  <c r="H19" i="2"/>
  <c r="T35" i="2"/>
  <c r="N35" i="2"/>
  <c r="M35" i="2"/>
  <c r="B36" i="2"/>
  <c r="AE35" i="2"/>
  <c r="G411" i="2"/>
  <c r="E411" i="2"/>
  <c r="C423" i="2"/>
  <c r="D449" i="2"/>
  <c r="P437" i="2"/>
  <c r="G384" i="2"/>
  <c r="C396" i="2"/>
  <c r="E384" i="2"/>
  <c r="D439" i="2"/>
  <c r="P427" i="2"/>
  <c r="W7" i="2"/>
  <c r="I87" i="26" l="1"/>
  <c r="T86" i="26"/>
  <c r="U8" i="2"/>
  <c r="V8" i="2" s="1"/>
  <c r="I19" i="2"/>
  <c r="F20" i="2" s="1"/>
  <c r="D38" i="15"/>
  <c r="AD35" i="2"/>
  <c r="P449" i="2"/>
  <c r="D461" i="2"/>
  <c r="G418" i="2"/>
  <c r="C430" i="2"/>
  <c r="E418" i="2"/>
  <c r="G423" i="2"/>
  <c r="C435" i="2"/>
  <c r="E423" i="2"/>
  <c r="C441" i="2"/>
  <c r="G429" i="2"/>
  <c r="E429" i="2"/>
  <c r="G388" i="2"/>
  <c r="C400" i="2"/>
  <c r="E388" i="2"/>
  <c r="G426" i="2"/>
  <c r="C438" i="2"/>
  <c r="E426" i="2"/>
  <c r="D412" i="2"/>
  <c r="P400" i="2"/>
  <c r="D478" i="2"/>
  <c r="P466" i="2"/>
  <c r="D441" i="2"/>
  <c r="P429" i="2"/>
  <c r="G396" i="2"/>
  <c r="C408" i="2"/>
  <c r="E396" i="2"/>
  <c r="G403" i="2"/>
  <c r="C415" i="2"/>
  <c r="E403" i="2"/>
  <c r="G392" i="2"/>
  <c r="C404" i="2"/>
  <c r="E392" i="2"/>
  <c r="G422" i="2"/>
  <c r="E422" i="2"/>
  <c r="C434" i="2"/>
  <c r="D428" i="2"/>
  <c r="P416" i="2"/>
  <c r="D420" i="2"/>
  <c r="P408" i="2"/>
  <c r="G421" i="2"/>
  <c r="E421" i="2"/>
  <c r="C433" i="2"/>
  <c r="G401" i="2"/>
  <c r="E401" i="2"/>
  <c r="C413" i="2"/>
  <c r="P445" i="2"/>
  <c r="D457" i="2"/>
  <c r="D451" i="2"/>
  <c r="P439" i="2"/>
  <c r="G419" i="2"/>
  <c r="E419" i="2"/>
  <c r="C431" i="2"/>
  <c r="T36" i="2"/>
  <c r="AE36" i="2"/>
  <c r="N36" i="2"/>
  <c r="M36" i="2"/>
  <c r="B37" i="2"/>
  <c r="D474" i="2"/>
  <c r="P462" i="2"/>
  <c r="D459" i="2"/>
  <c r="D470" i="2"/>
  <c r="P458" i="2"/>
  <c r="D455" i="2"/>
  <c r="P443" i="2"/>
  <c r="I88" i="26" l="1"/>
  <c r="T87" i="26"/>
  <c r="O9" i="2"/>
  <c r="S9" i="2" s="1"/>
  <c r="AF8" i="2"/>
  <c r="AG8" i="2" s="1"/>
  <c r="AH8" i="2" s="1"/>
  <c r="D39" i="15"/>
  <c r="D482" i="2"/>
  <c r="P470" i="2"/>
  <c r="P455" i="2"/>
  <c r="D467" i="2"/>
  <c r="P428" i="2"/>
  <c r="D440" i="2"/>
  <c r="G400" i="2"/>
  <c r="C412" i="2"/>
  <c r="E400" i="2"/>
  <c r="T37" i="2"/>
  <c r="N37" i="2"/>
  <c r="M37" i="2"/>
  <c r="B38" i="2"/>
  <c r="AE37" i="2"/>
  <c r="G404" i="2"/>
  <c r="E404" i="2"/>
  <c r="C416" i="2"/>
  <c r="D424" i="2"/>
  <c r="P412" i="2"/>
  <c r="H20" i="2"/>
  <c r="G415" i="2"/>
  <c r="C427" i="2"/>
  <c r="E415" i="2"/>
  <c r="G441" i="2"/>
  <c r="C453" i="2"/>
  <c r="E441" i="2"/>
  <c r="C447" i="2"/>
  <c r="G435" i="2"/>
  <c r="E435" i="2"/>
  <c r="D486" i="2"/>
  <c r="P474" i="2"/>
  <c r="G408" i="2"/>
  <c r="E408" i="2"/>
  <c r="C420" i="2"/>
  <c r="P461" i="2"/>
  <c r="D473" i="2"/>
  <c r="C442" i="2"/>
  <c r="G430" i="2"/>
  <c r="E430" i="2"/>
  <c r="G434" i="2"/>
  <c r="C446" i="2"/>
  <c r="E434" i="2"/>
  <c r="P441" i="2"/>
  <c r="D453" i="2"/>
  <c r="W8" i="2"/>
  <c r="P457" i="2"/>
  <c r="D469" i="2"/>
  <c r="D471" i="2"/>
  <c r="D463" i="2"/>
  <c r="P451" i="2"/>
  <c r="D490" i="2"/>
  <c r="P478" i="2"/>
  <c r="G413" i="2"/>
  <c r="E413" i="2"/>
  <c r="C425" i="2"/>
  <c r="D432" i="2"/>
  <c r="P420" i="2"/>
  <c r="AD36" i="2"/>
  <c r="G431" i="2"/>
  <c r="C443" i="2"/>
  <c r="E431" i="2"/>
  <c r="G433" i="2"/>
  <c r="E433" i="2"/>
  <c r="C445" i="2"/>
  <c r="C450" i="2"/>
  <c r="G438" i="2"/>
  <c r="E438" i="2"/>
  <c r="I89" i="26" l="1"/>
  <c r="T88" i="26"/>
  <c r="U9" i="2"/>
  <c r="V9" i="2" s="1"/>
  <c r="I20" i="2"/>
  <c r="F21" i="2" s="1"/>
  <c r="D40" i="15"/>
  <c r="D436" i="2"/>
  <c r="P424" i="2"/>
  <c r="P469" i="2"/>
  <c r="D481" i="2"/>
  <c r="C437" i="2"/>
  <c r="G425" i="2"/>
  <c r="E425" i="2"/>
  <c r="D498" i="2"/>
  <c r="P486" i="2"/>
  <c r="G412" i="2"/>
  <c r="E412" i="2"/>
  <c r="C424" i="2"/>
  <c r="D479" i="2"/>
  <c r="P467" i="2"/>
  <c r="E446" i="2"/>
  <c r="C458" i="2"/>
  <c r="G446" i="2"/>
  <c r="E447" i="2"/>
  <c r="C459" i="2"/>
  <c r="G447" i="2"/>
  <c r="D483" i="2"/>
  <c r="E453" i="2"/>
  <c r="C465" i="2"/>
  <c r="G453" i="2"/>
  <c r="C462" i="2"/>
  <c r="E450" i="2"/>
  <c r="G450" i="2"/>
  <c r="G420" i="2"/>
  <c r="E420" i="2"/>
  <c r="C432" i="2"/>
  <c r="C439" i="2"/>
  <c r="G427" i="2"/>
  <c r="E427" i="2"/>
  <c r="G416" i="2"/>
  <c r="E416" i="2"/>
  <c r="C428" i="2"/>
  <c r="D452" i="2"/>
  <c r="P440" i="2"/>
  <c r="P453" i="2"/>
  <c r="D465" i="2"/>
  <c r="D485" i="2"/>
  <c r="P473" i="2"/>
  <c r="AD37" i="2"/>
  <c r="G443" i="2"/>
  <c r="C455" i="2"/>
  <c r="E443" i="2"/>
  <c r="T38" i="2"/>
  <c r="AE38" i="2"/>
  <c r="N38" i="2"/>
  <c r="B39" i="2"/>
  <c r="M38" i="2"/>
  <c r="D494" i="2"/>
  <c r="P482" i="2"/>
  <c r="D502" i="2"/>
  <c r="P490" i="2"/>
  <c r="C454" i="2"/>
  <c r="E442" i="2"/>
  <c r="G442" i="2"/>
  <c r="G445" i="2"/>
  <c r="C457" i="2"/>
  <c r="E445" i="2"/>
  <c r="D444" i="2"/>
  <c r="P432" i="2"/>
  <c r="P463" i="2"/>
  <c r="D475" i="2"/>
  <c r="I90" i="26" l="1"/>
  <c r="T89" i="26"/>
  <c r="O10" i="2"/>
  <c r="S10" i="2" s="1"/>
  <c r="AF9" i="2"/>
  <c r="AG9" i="2" s="1"/>
  <c r="AH9" i="2" s="1"/>
  <c r="D41" i="15"/>
  <c r="D510" i="2"/>
  <c r="P498" i="2"/>
  <c r="P475" i="2"/>
  <c r="D487" i="2"/>
  <c r="P465" i="2"/>
  <c r="D477" i="2"/>
  <c r="C477" i="2"/>
  <c r="E465" i="2"/>
  <c r="G465" i="2"/>
  <c r="C444" i="2"/>
  <c r="G432" i="2"/>
  <c r="E432" i="2"/>
  <c r="D491" i="2"/>
  <c r="P479" i="2"/>
  <c r="H21" i="2"/>
  <c r="U10" i="2"/>
  <c r="V10" i="2" s="1"/>
  <c r="G428" i="2"/>
  <c r="E428" i="2"/>
  <c r="C440" i="2"/>
  <c r="D495" i="2"/>
  <c r="C469" i="2"/>
  <c r="E457" i="2"/>
  <c r="G457" i="2"/>
  <c r="P494" i="2"/>
  <c r="D506" i="2"/>
  <c r="D448" i="2"/>
  <c r="P436" i="2"/>
  <c r="D456" i="2"/>
  <c r="P444" i="2"/>
  <c r="G424" i="2"/>
  <c r="E424" i="2"/>
  <c r="C436" i="2"/>
  <c r="C467" i="2"/>
  <c r="G455" i="2"/>
  <c r="E455" i="2"/>
  <c r="C449" i="2"/>
  <c r="E437" i="2"/>
  <c r="G437" i="2"/>
  <c r="E454" i="2"/>
  <c r="C466" i="2"/>
  <c r="G454" i="2"/>
  <c r="E439" i="2"/>
  <c r="C451" i="2"/>
  <c r="G439" i="2"/>
  <c r="B40" i="2"/>
  <c r="N39" i="2"/>
  <c r="M39" i="2"/>
  <c r="C471" i="2"/>
  <c r="G459" i="2"/>
  <c r="E459" i="2"/>
  <c r="P481" i="2"/>
  <c r="D493" i="2"/>
  <c r="P502" i="2"/>
  <c r="D514" i="2"/>
  <c r="P452" i="2"/>
  <c r="D464" i="2"/>
  <c r="AD38" i="2"/>
  <c r="D497" i="2"/>
  <c r="P485" i="2"/>
  <c r="E462" i="2"/>
  <c r="C474" i="2"/>
  <c r="G462" i="2"/>
  <c r="W9" i="2"/>
  <c r="C470" i="2"/>
  <c r="E458" i="2"/>
  <c r="G458" i="2"/>
  <c r="I91" i="26" l="1"/>
  <c r="T90" i="26"/>
  <c r="I21" i="2"/>
  <c r="D42" i="15"/>
  <c r="P514" i="2"/>
  <c r="D526" i="2"/>
  <c r="C478" i="2"/>
  <c r="E466" i="2"/>
  <c r="G466" i="2"/>
  <c r="E474" i="2"/>
  <c r="C486" i="2"/>
  <c r="G474" i="2"/>
  <c r="C448" i="2"/>
  <c r="G436" i="2"/>
  <c r="E436" i="2"/>
  <c r="D460" i="2"/>
  <c r="P448" i="2"/>
  <c r="C456" i="2"/>
  <c r="E444" i="2"/>
  <c r="G444" i="2"/>
  <c r="E469" i="2"/>
  <c r="G469" i="2"/>
  <c r="C481" i="2"/>
  <c r="AD39" i="2"/>
  <c r="P506" i="2"/>
  <c r="D518" i="2"/>
  <c r="AF10" i="2"/>
  <c r="AG10" i="2" s="1"/>
  <c r="AH10" i="2" s="1"/>
  <c r="P491" i="2"/>
  <c r="D503" i="2"/>
  <c r="G467" i="2"/>
  <c r="E467" i="2"/>
  <c r="C479" i="2"/>
  <c r="C489" i="2"/>
  <c r="E477" i="2"/>
  <c r="G477" i="2"/>
  <c r="D507" i="2"/>
  <c r="C461" i="2"/>
  <c r="E449" i="2"/>
  <c r="G449" i="2"/>
  <c r="G440" i="2"/>
  <c r="C452" i="2"/>
  <c r="E440" i="2"/>
  <c r="F22" i="2"/>
  <c r="P493" i="2"/>
  <c r="D505" i="2"/>
  <c r="E470" i="2"/>
  <c r="C482" i="2"/>
  <c r="G470" i="2"/>
  <c r="D468" i="2"/>
  <c r="P456" i="2"/>
  <c r="D499" i="2"/>
  <c r="P487" i="2"/>
  <c r="P497" i="2"/>
  <c r="D509" i="2"/>
  <c r="D476" i="2"/>
  <c r="P464" i="2"/>
  <c r="C483" i="2"/>
  <c r="G471" i="2"/>
  <c r="E471" i="2"/>
  <c r="T40" i="2"/>
  <c r="N40" i="2"/>
  <c r="M40" i="2"/>
  <c r="B41" i="2"/>
  <c r="AE40" i="2"/>
  <c r="C463" i="2"/>
  <c r="G451" i="2"/>
  <c r="E451" i="2"/>
  <c r="P477" i="2"/>
  <c r="D489" i="2"/>
  <c r="P510" i="2"/>
  <c r="D522" i="2"/>
  <c r="I92" i="26" l="1"/>
  <c r="T91" i="26"/>
  <c r="O11" i="2"/>
  <c r="S11" i="2" s="1"/>
  <c r="U11" i="2" s="1"/>
  <c r="V11" i="2" s="1"/>
  <c r="D43" i="15"/>
  <c r="AE39" i="2"/>
  <c r="P505" i="2"/>
  <c r="D517" i="2"/>
  <c r="D519" i="2"/>
  <c r="P460" i="2"/>
  <c r="D472" i="2"/>
  <c r="C464" i="2"/>
  <c r="G452" i="2"/>
  <c r="E452" i="2"/>
  <c r="D501" i="2"/>
  <c r="P489" i="2"/>
  <c r="P499" i="2"/>
  <c r="D511" i="2"/>
  <c r="P476" i="2"/>
  <c r="D488" i="2"/>
  <c r="P503" i="2"/>
  <c r="D515" i="2"/>
  <c r="E448" i="2"/>
  <c r="C460" i="2"/>
  <c r="G448" i="2"/>
  <c r="W10" i="2"/>
  <c r="P522" i="2"/>
  <c r="D534" i="2"/>
  <c r="C475" i="2"/>
  <c r="G463" i="2"/>
  <c r="E463" i="2"/>
  <c r="E461" i="2"/>
  <c r="C473" i="2"/>
  <c r="G461" i="2"/>
  <c r="P526" i="2"/>
  <c r="D538" i="2"/>
  <c r="T41" i="2"/>
  <c r="AE41" i="2"/>
  <c r="M41" i="2"/>
  <c r="N41" i="2"/>
  <c r="B42" i="2"/>
  <c r="P468" i="2"/>
  <c r="D480" i="2"/>
  <c r="G489" i="2"/>
  <c r="C501" i="2"/>
  <c r="E489" i="2"/>
  <c r="E478" i="2"/>
  <c r="C490" i="2"/>
  <c r="G478" i="2"/>
  <c r="AD40" i="2"/>
  <c r="E482" i="2"/>
  <c r="C494" i="2"/>
  <c r="G482" i="2"/>
  <c r="C491" i="2"/>
  <c r="E479" i="2"/>
  <c r="G479" i="2"/>
  <c r="E456" i="2"/>
  <c r="C468" i="2"/>
  <c r="G456" i="2"/>
  <c r="P509" i="2"/>
  <c r="D521" i="2"/>
  <c r="C493" i="2"/>
  <c r="E481" i="2"/>
  <c r="G481" i="2"/>
  <c r="C495" i="2"/>
  <c r="E483" i="2"/>
  <c r="G483" i="2"/>
  <c r="H22" i="2"/>
  <c r="I22" i="2" s="1"/>
  <c r="P518" i="2"/>
  <c r="D530" i="2"/>
  <c r="E486" i="2"/>
  <c r="G486" i="2"/>
  <c r="C498" i="2"/>
  <c r="I93" i="26" l="1"/>
  <c r="T92" i="26"/>
  <c r="D44" i="15"/>
  <c r="G490" i="2"/>
  <c r="C502" i="2"/>
  <c r="E490" i="2"/>
  <c r="G498" i="2"/>
  <c r="E498" i="2"/>
  <c r="C510" i="2"/>
  <c r="P521" i="2"/>
  <c r="D533" i="2"/>
  <c r="P501" i="2"/>
  <c r="D513" i="2"/>
  <c r="P488" i="2"/>
  <c r="D500" i="2"/>
  <c r="AF11" i="2"/>
  <c r="AG11" i="2" s="1"/>
  <c r="AH11" i="2" s="1"/>
  <c r="G494" i="2"/>
  <c r="C506" i="2"/>
  <c r="E494" i="2"/>
  <c r="F23" i="2"/>
  <c r="P515" i="2"/>
  <c r="D527" i="2"/>
  <c r="P534" i="2"/>
  <c r="D546" i="2"/>
  <c r="C472" i="2"/>
  <c r="G460" i="2"/>
  <c r="E460" i="2"/>
  <c r="G491" i="2"/>
  <c r="C503" i="2"/>
  <c r="E491" i="2"/>
  <c r="T42" i="2"/>
  <c r="M42" i="2"/>
  <c r="B43" i="2"/>
  <c r="N42" i="2"/>
  <c r="AE42" i="2"/>
  <c r="E473" i="2"/>
  <c r="C485" i="2"/>
  <c r="G473" i="2"/>
  <c r="P517" i="2"/>
  <c r="D529" i="2"/>
  <c r="G493" i="2"/>
  <c r="C505" i="2"/>
  <c r="E493" i="2"/>
  <c r="C480" i="2"/>
  <c r="G468" i="2"/>
  <c r="E468" i="2"/>
  <c r="P511" i="2"/>
  <c r="D523" i="2"/>
  <c r="G495" i="2"/>
  <c r="C507" i="2"/>
  <c r="E495" i="2"/>
  <c r="D531" i="2"/>
  <c r="G501" i="2"/>
  <c r="C513" i="2"/>
  <c r="E501" i="2"/>
  <c r="E464" i="2"/>
  <c r="C476" i="2"/>
  <c r="G464" i="2"/>
  <c r="P530" i="2"/>
  <c r="D542" i="2"/>
  <c r="P480" i="2"/>
  <c r="D492" i="2"/>
  <c r="AD41" i="2"/>
  <c r="P538" i="2"/>
  <c r="D550" i="2"/>
  <c r="G475" i="2"/>
  <c r="E475" i="2"/>
  <c r="C487" i="2"/>
  <c r="P472" i="2"/>
  <c r="D484" i="2"/>
  <c r="I94" i="26" l="1"/>
  <c r="T93" i="26"/>
  <c r="O12" i="2"/>
  <c r="S12" i="2" s="1"/>
  <c r="U12" i="2" s="1"/>
  <c r="V12" i="2" s="1"/>
  <c r="D45" i="15"/>
  <c r="C499" i="2"/>
  <c r="E487" i="2"/>
  <c r="G487" i="2"/>
  <c r="E480" i="2"/>
  <c r="C492" i="2"/>
  <c r="G480" i="2"/>
  <c r="AD42" i="2"/>
  <c r="E472" i="2"/>
  <c r="G472" i="2"/>
  <c r="C484" i="2"/>
  <c r="G502" i="2"/>
  <c r="C514" i="2"/>
  <c r="E502" i="2"/>
  <c r="D554" i="2"/>
  <c r="P542" i="2"/>
  <c r="D558" i="2"/>
  <c r="P546" i="2"/>
  <c r="P500" i="2"/>
  <c r="D512" i="2"/>
  <c r="H23" i="2"/>
  <c r="I23" i="2" s="1"/>
  <c r="P523" i="2"/>
  <c r="D535" i="2"/>
  <c r="C488" i="2"/>
  <c r="G476" i="2"/>
  <c r="E476" i="2"/>
  <c r="W11" i="2"/>
  <c r="G513" i="2"/>
  <c r="E513" i="2"/>
  <c r="C525" i="2"/>
  <c r="G505" i="2"/>
  <c r="C517" i="2"/>
  <c r="E505" i="2"/>
  <c r="P529" i="2"/>
  <c r="D541" i="2"/>
  <c r="G503" i="2"/>
  <c r="E503" i="2"/>
  <c r="C515" i="2"/>
  <c r="G510" i="2"/>
  <c r="E510" i="2"/>
  <c r="C522" i="2"/>
  <c r="T43" i="2"/>
  <c r="N43" i="2"/>
  <c r="M43" i="2"/>
  <c r="B44" i="2"/>
  <c r="AE43" i="2"/>
  <c r="G506" i="2"/>
  <c r="E506" i="2"/>
  <c r="C518" i="2"/>
  <c r="P513" i="2"/>
  <c r="D525" i="2"/>
  <c r="G507" i="2"/>
  <c r="E507" i="2"/>
  <c r="C519" i="2"/>
  <c r="P533" i="2"/>
  <c r="D545" i="2"/>
  <c r="P550" i="2"/>
  <c r="D562" i="2"/>
  <c r="P527" i="2"/>
  <c r="D539" i="2"/>
  <c r="D496" i="2"/>
  <c r="P484" i="2"/>
  <c r="P492" i="2"/>
  <c r="D504" i="2"/>
  <c r="D543" i="2"/>
  <c r="C497" i="2"/>
  <c r="E485" i="2"/>
  <c r="G485" i="2"/>
  <c r="I95" i="26" l="1"/>
  <c r="T94" i="26"/>
  <c r="D46" i="15"/>
  <c r="D574" i="2"/>
  <c r="P562" i="2"/>
  <c r="D516" i="2"/>
  <c r="P504" i="2"/>
  <c r="P525" i="2"/>
  <c r="D537" i="2"/>
  <c r="G522" i="2"/>
  <c r="E522" i="2"/>
  <c r="C534" i="2"/>
  <c r="G518" i="2"/>
  <c r="E518" i="2"/>
  <c r="C530" i="2"/>
  <c r="T44" i="2"/>
  <c r="AE44" i="2"/>
  <c r="N44" i="2"/>
  <c r="M44" i="2"/>
  <c r="B45" i="2"/>
  <c r="P545" i="2"/>
  <c r="D557" i="2"/>
  <c r="P535" i="2"/>
  <c r="D547" i="2"/>
  <c r="P512" i="2"/>
  <c r="D524" i="2"/>
  <c r="G519" i="2"/>
  <c r="E519" i="2"/>
  <c r="C531" i="2"/>
  <c r="G499" i="2"/>
  <c r="C511" i="2"/>
  <c r="E499" i="2"/>
  <c r="D566" i="2"/>
  <c r="P554" i="2"/>
  <c r="G517" i="2"/>
  <c r="E517" i="2"/>
  <c r="C529" i="2"/>
  <c r="E488" i="2"/>
  <c r="G488" i="2"/>
  <c r="C500" i="2"/>
  <c r="P539" i="2"/>
  <c r="D551" i="2"/>
  <c r="AD43" i="2"/>
  <c r="G525" i="2"/>
  <c r="E525" i="2"/>
  <c r="C537" i="2"/>
  <c r="G497" i="2"/>
  <c r="C509" i="2"/>
  <c r="E497" i="2"/>
  <c r="D555" i="2"/>
  <c r="AF12" i="2"/>
  <c r="AG12" i="2" s="1"/>
  <c r="AH12" i="2" s="1"/>
  <c r="G492" i="2"/>
  <c r="C504" i="2"/>
  <c r="E492" i="2"/>
  <c r="F24" i="2"/>
  <c r="C496" i="2"/>
  <c r="E484" i="2"/>
  <c r="G484" i="2"/>
  <c r="D508" i="2"/>
  <c r="P496" i="2"/>
  <c r="G515" i="2"/>
  <c r="E515" i="2"/>
  <c r="C527" i="2"/>
  <c r="P541" i="2"/>
  <c r="D553" i="2"/>
  <c r="D570" i="2"/>
  <c r="P558" i="2"/>
  <c r="G514" i="2"/>
  <c r="E514" i="2"/>
  <c r="C526" i="2"/>
  <c r="I96" i="26" l="1"/>
  <c r="T95" i="26"/>
  <c r="O13" i="2"/>
  <c r="S13" i="2" s="1"/>
  <c r="U13" i="2" s="1"/>
  <c r="V13" i="2" s="1"/>
  <c r="D47" i="15"/>
  <c r="G527" i="2"/>
  <c r="E527" i="2"/>
  <c r="C539" i="2"/>
  <c r="G504" i="2"/>
  <c r="C516" i="2"/>
  <c r="E504" i="2"/>
  <c r="D567" i="2"/>
  <c r="G511" i="2"/>
  <c r="E511" i="2"/>
  <c r="C523" i="2"/>
  <c r="P537" i="2"/>
  <c r="D549" i="2"/>
  <c r="P524" i="2"/>
  <c r="D536" i="2"/>
  <c r="M45" i="2"/>
  <c r="T45" i="2"/>
  <c r="AE45" i="2"/>
  <c r="N45" i="2"/>
  <c r="B46" i="2"/>
  <c r="G534" i="2"/>
  <c r="E534" i="2"/>
  <c r="C546" i="2"/>
  <c r="AD44" i="2"/>
  <c r="P557" i="2"/>
  <c r="D569" i="2"/>
  <c r="G496" i="2"/>
  <c r="C508" i="2"/>
  <c r="E496" i="2"/>
  <c r="D582" i="2"/>
  <c r="P570" i="2"/>
  <c r="H24" i="2"/>
  <c r="I24" i="2" s="1"/>
  <c r="G509" i="2"/>
  <c r="E509" i="2"/>
  <c r="C521" i="2"/>
  <c r="P516" i="2"/>
  <c r="D528" i="2"/>
  <c r="P508" i="2"/>
  <c r="D520" i="2"/>
  <c r="D578" i="2"/>
  <c r="P566" i="2"/>
  <c r="G531" i="2"/>
  <c r="E531" i="2"/>
  <c r="C543" i="2"/>
  <c r="G529" i="2"/>
  <c r="E529" i="2"/>
  <c r="C541" i="2"/>
  <c r="W12" i="2"/>
  <c r="D563" i="2"/>
  <c r="P551" i="2"/>
  <c r="P547" i="2"/>
  <c r="D559" i="2"/>
  <c r="P553" i="2"/>
  <c r="D565" i="2"/>
  <c r="G526" i="2"/>
  <c r="E526" i="2"/>
  <c r="C538" i="2"/>
  <c r="G537" i="2"/>
  <c r="E537" i="2"/>
  <c r="C549" i="2"/>
  <c r="G500" i="2"/>
  <c r="C512" i="2"/>
  <c r="E500" i="2"/>
  <c r="G530" i="2"/>
  <c r="E530" i="2"/>
  <c r="C542" i="2"/>
  <c r="D586" i="2"/>
  <c r="P574" i="2"/>
  <c r="I97" i="26" l="1"/>
  <c r="T96" i="26"/>
  <c r="D48" i="15"/>
  <c r="AD45" i="2"/>
  <c r="D579" i="2"/>
  <c r="C553" i="2"/>
  <c r="G541" i="2"/>
  <c r="E541" i="2"/>
  <c r="D594" i="2"/>
  <c r="P582" i="2"/>
  <c r="P586" i="2"/>
  <c r="D598" i="2"/>
  <c r="C558" i="2"/>
  <c r="G546" i="2"/>
  <c r="E546" i="2"/>
  <c r="G512" i="2"/>
  <c r="E512" i="2"/>
  <c r="C524" i="2"/>
  <c r="C555" i="2"/>
  <c r="G543" i="2"/>
  <c r="E543" i="2"/>
  <c r="AF13" i="2"/>
  <c r="AG13" i="2" s="1"/>
  <c r="AH13" i="2" s="1"/>
  <c r="G508" i="2"/>
  <c r="E508" i="2"/>
  <c r="C520" i="2"/>
  <c r="D590" i="2"/>
  <c r="P578" i="2"/>
  <c r="P520" i="2"/>
  <c r="D532" i="2"/>
  <c r="P549" i="2"/>
  <c r="D561" i="2"/>
  <c r="C554" i="2"/>
  <c r="G542" i="2"/>
  <c r="E542" i="2"/>
  <c r="G538" i="2"/>
  <c r="E538" i="2"/>
  <c r="C550" i="2"/>
  <c r="D575" i="2"/>
  <c r="P563" i="2"/>
  <c r="G521" i="2"/>
  <c r="E521" i="2"/>
  <c r="C533" i="2"/>
  <c r="F25" i="2"/>
  <c r="P559" i="2"/>
  <c r="D571" i="2"/>
  <c r="G539" i="2"/>
  <c r="E539" i="2"/>
  <c r="C551" i="2"/>
  <c r="P528" i="2"/>
  <c r="D540" i="2"/>
  <c r="C561" i="2"/>
  <c r="G549" i="2"/>
  <c r="E549" i="2"/>
  <c r="D577" i="2"/>
  <c r="P565" i="2"/>
  <c r="D581" i="2"/>
  <c r="P569" i="2"/>
  <c r="M46" i="2"/>
  <c r="T46" i="2"/>
  <c r="N46" i="2"/>
  <c r="B47" i="2"/>
  <c r="AE46" i="2"/>
  <c r="P536" i="2"/>
  <c r="D548" i="2"/>
  <c r="G523" i="2"/>
  <c r="E523" i="2"/>
  <c r="C535" i="2"/>
  <c r="G516" i="2"/>
  <c r="E516" i="2"/>
  <c r="C528" i="2"/>
  <c r="I98" i="26" l="1"/>
  <c r="T97" i="26"/>
  <c r="O14" i="2"/>
  <c r="S14" i="2" s="1"/>
  <c r="U14" i="2" s="1"/>
  <c r="V14" i="2" s="1"/>
  <c r="D49" i="15"/>
  <c r="G528" i="2"/>
  <c r="E528" i="2"/>
  <c r="C540" i="2"/>
  <c r="C570" i="2"/>
  <c r="E558" i="2"/>
  <c r="G558" i="2"/>
  <c r="AD46" i="2"/>
  <c r="C566" i="2"/>
  <c r="E554" i="2"/>
  <c r="G554" i="2"/>
  <c r="D573" i="2"/>
  <c r="P561" i="2"/>
  <c r="M47" i="2"/>
  <c r="T47" i="2"/>
  <c r="B48" i="2"/>
  <c r="N47" i="2"/>
  <c r="AE47" i="2"/>
  <c r="P598" i="2"/>
  <c r="D610" i="2"/>
  <c r="D589" i="2"/>
  <c r="P577" i="2"/>
  <c r="D591" i="2"/>
  <c r="H25" i="2"/>
  <c r="I25" i="2" s="1"/>
  <c r="P594" i="2"/>
  <c r="D606" i="2"/>
  <c r="D560" i="2"/>
  <c r="P548" i="2"/>
  <c r="C573" i="2"/>
  <c r="G561" i="2"/>
  <c r="E561" i="2"/>
  <c r="D583" i="2"/>
  <c r="P571" i="2"/>
  <c r="G533" i="2"/>
  <c r="E533" i="2"/>
  <c r="C545" i="2"/>
  <c r="C567" i="2"/>
  <c r="G555" i="2"/>
  <c r="E555" i="2"/>
  <c r="G524" i="2"/>
  <c r="E524" i="2"/>
  <c r="C536" i="2"/>
  <c r="D602" i="2"/>
  <c r="P590" i="2"/>
  <c r="G535" i="2"/>
  <c r="E535" i="2"/>
  <c r="C547" i="2"/>
  <c r="C563" i="2"/>
  <c r="G551" i="2"/>
  <c r="E551" i="2"/>
  <c r="W13" i="2"/>
  <c r="D587" i="2"/>
  <c r="P575" i="2"/>
  <c r="D593" i="2"/>
  <c r="P581" i="2"/>
  <c r="P540" i="2"/>
  <c r="D552" i="2"/>
  <c r="C562" i="2"/>
  <c r="G550" i="2"/>
  <c r="E550" i="2"/>
  <c r="P532" i="2"/>
  <c r="D544" i="2"/>
  <c r="G520" i="2"/>
  <c r="E520" i="2"/>
  <c r="C532" i="2"/>
  <c r="C565" i="2"/>
  <c r="G553" i="2"/>
  <c r="E553" i="2"/>
  <c r="T98" i="26" l="1"/>
  <c r="I99" i="26"/>
  <c r="D50" i="15"/>
  <c r="D556" i="2"/>
  <c r="P544" i="2"/>
  <c r="D572" i="2"/>
  <c r="P560" i="2"/>
  <c r="F26" i="2"/>
  <c r="C582" i="2"/>
  <c r="G570" i="2"/>
  <c r="E570" i="2"/>
  <c r="M48" i="2"/>
  <c r="T48" i="2"/>
  <c r="B49" i="2"/>
  <c r="AE48" i="2"/>
  <c r="N48" i="2"/>
  <c r="C577" i="2"/>
  <c r="G565" i="2"/>
  <c r="E565" i="2"/>
  <c r="P587" i="2"/>
  <c r="D599" i="2"/>
  <c r="C575" i="2"/>
  <c r="E563" i="2"/>
  <c r="G563" i="2"/>
  <c r="G536" i="2"/>
  <c r="E536" i="2"/>
  <c r="C548" i="2"/>
  <c r="D601" i="2"/>
  <c r="P589" i="2"/>
  <c r="AD47" i="2"/>
  <c r="G540" i="2"/>
  <c r="E540" i="2"/>
  <c r="C552" i="2"/>
  <c r="P606" i="2"/>
  <c r="D618" i="2"/>
  <c r="P602" i="2"/>
  <c r="D614" i="2"/>
  <c r="D585" i="2"/>
  <c r="P573" i="2"/>
  <c r="D595" i="2"/>
  <c r="P583" i="2"/>
  <c r="D603" i="2"/>
  <c r="C574" i="2"/>
  <c r="G562" i="2"/>
  <c r="E562" i="2"/>
  <c r="C559" i="2"/>
  <c r="G547" i="2"/>
  <c r="E547" i="2"/>
  <c r="C579" i="2"/>
  <c r="G567" i="2"/>
  <c r="E567" i="2"/>
  <c r="C585" i="2"/>
  <c r="G573" i="2"/>
  <c r="E573" i="2"/>
  <c r="P593" i="2"/>
  <c r="D605" i="2"/>
  <c r="G532" i="2"/>
  <c r="E532" i="2"/>
  <c r="C544" i="2"/>
  <c r="P552" i="2"/>
  <c r="D564" i="2"/>
  <c r="C557" i="2"/>
  <c r="G545" i="2"/>
  <c r="E545" i="2"/>
  <c r="AF14" i="2"/>
  <c r="AG14" i="2" s="1"/>
  <c r="AH14" i="2" s="1"/>
  <c r="P610" i="2"/>
  <c r="D622" i="2"/>
  <c r="C578" i="2"/>
  <c r="E566" i="2"/>
  <c r="G566" i="2"/>
  <c r="I100" i="26" l="1"/>
  <c r="T99" i="26"/>
  <c r="O15" i="2"/>
  <c r="S15" i="2" s="1"/>
  <c r="D51" i="15"/>
  <c r="AD48" i="2"/>
  <c r="M49" i="2"/>
  <c r="T49" i="2"/>
  <c r="B50" i="2"/>
  <c r="AE49" i="2"/>
  <c r="N49" i="2"/>
  <c r="P618" i="2"/>
  <c r="D630" i="2"/>
  <c r="D615" i="2"/>
  <c r="P601" i="2"/>
  <c r="D613" i="2"/>
  <c r="C591" i="2"/>
  <c r="E579" i="2"/>
  <c r="G579" i="2"/>
  <c r="P595" i="2"/>
  <c r="D607" i="2"/>
  <c r="C589" i="2"/>
  <c r="G577" i="2"/>
  <c r="E577" i="2"/>
  <c r="P622" i="2"/>
  <c r="D634" i="2"/>
  <c r="D576" i="2"/>
  <c r="P564" i="2"/>
  <c r="W14" i="2"/>
  <c r="C586" i="2"/>
  <c r="E574" i="2"/>
  <c r="G574" i="2"/>
  <c r="D597" i="2"/>
  <c r="P585" i="2"/>
  <c r="C587" i="2"/>
  <c r="G575" i="2"/>
  <c r="E575" i="2"/>
  <c r="C594" i="2"/>
  <c r="E582" i="2"/>
  <c r="G582" i="2"/>
  <c r="H26" i="2"/>
  <c r="I26" i="2" s="1"/>
  <c r="U15" i="2"/>
  <c r="V15" i="2" s="1"/>
  <c r="C560" i="2"/>
  <c r="G548" i="2"/>
  <c r="E548" i="2"/>
  <c r="C569" i="2"/>
  <c r="G557" i="2"/>
  <c r="E557" i="2"/>
  <c r="C590" i="2"/>
  <c r="E578" i="2"/>
  <c r="G578" i="2"/>
  <c r="C564" i="2"/>
  <c r="G552" i="2"/>
  <c r="E552" i="2"/>
  <c r="D584" i="2"/>
  <c r="P572" i="2"/>
  <c r="P605" i="2"/>
  <c r="D617" i="2"/>
  <c r="C556" i="2"/>
  <c r="G544" i="2"/>
  <c r="E544" i="2"/>
  <c r="C597" i="2"/>
  <c r="G585" i="2"/>
  <c r="E585" i="2"/>
  <c r="C571" i="2"/>
  <c r="G559" i="2"/>
  <c r="E559" i="2"/>
  <c r="P614" i="2"/>
  <c r="D626" i="2"/>
  <c r="P599" i="2"/>
  <c r="D611" i="2"/>
  <c r="D568" i="2"/>
  <c r="P556" i="2"/>
  <c r="I101" i="26" l="1"/>
  <c r="T100" i="26"/>
  <c r="D52" i="15"/>
  <c r="AF15" i="2"/>
  <c r="AG15" i="2" s="1"/>
  <c r="AH15" i="2" s="1"/>
  <c r="T15" i="2"/>
  <c r="G5" i="3" s="1"/>
  <c r="D646" i="2"/>
  <c r="P634" i="2"/>
  <c r="D627" i="2"/>
  <c r="C602" i="2"/>
  <c r="E590" i="2"/>
  <c r="G590" i="2"/>
  <c r="E586" i="2"/>
  <c r="G586" i="2"/>
  <c r="C598" i="2"/>
  <c r="P613" i="2"/>
  <c r="D625" i="2"/>
  <c r="E587" i="2"/>
  <c r="C599" i="2"/>
  <c r="G587" i="2"/>
  <c r="D580" i="2"/>
  <c r="P568" i="2"/>
  <c r="P597" i="2"/>
  <c r="D609" i="2"/>
  <c r="C603" i="2"/>
  <c r="G591" i="2"/>
  <c r="E591" i="2"/>
  <c r="P607" i="2"/>
  <c r="D619" i="2"/>
  <c r="F27" i="2"/>
  <c r="D596" i="2"/>
  <c r="P584" i="2"/>
  <c r="D588" i="2"/>
  <c r="P576" i="2"/>
  <c r="C601" i="2"/>
  <c r="G589" i="2"/>
  <c r="E589" i="2"/>
  <c r="AD49" i="2"/>
  <c r="G594" i="2"/>
  <c r="E594" i="2"/>
  <c r="C606" i="2"/>
  <c r="P630" i="2"/>
  <c r="D642" i="2"/>
  <c r="C568" i="2"/>
  <c r="E556" i="2"/>
  <c r="G556" i="2"/>
  <c r="C576" i="2"/>
  <c r="G564" i="2"/>
  <c r="E564" i="2"/>
  <c r="C583" i="2"/>
  <c r="G571" i="2"/>
  <c r="E571" i="2"/>
  <c r="P617" i="2"/>
  <c r="D629" i="2"/>
  <c r="E560" i="2"/>
  <c r="G560" i="2"/>
  <c r="C572" i="2"/>
  <c r="P611" i="2"/>
  <c r="D623" i="2"/>
  <c r="G597" i="2"/>
  <c r="C609" i="2"/>
  <c r="E597" i="2"/>
  <c r="P626" i="2"/>
  <c r="D638" i="2"/>
  <c r="C581" i="2"/>
  <c r="E569" i="2"/>
  <c r="G569" i="2"/>
  <c r="M50" i="2"/>
  <c r="T50" i="2"/>
  <c r="B51" i="2"/>
  <c r="AE50" i="2"/>
  <c r="N50" i="2"/>
  <c r="I102" i="26" l="1"/>
  <c r="T101" i="26"/>
  <c r="O16" i="2"/>
  <c r="S16" i="2" s="1"/>
  <c r="D53" i="15"/>
  <c r="D600" i="2"/>
  <c r="P588" i="2"/>
  <c r="C584" i="2"/>
  <c r="E572" i="2"/>
  <c r="G572" i="2"/>
  <c r="G599" i="2"/>
  <c r="C611" i="2"/>
  <c r="E599" i="2"/>
  <c r="C593" i="2"/>
  <c r="G581" i="2"/>
  <c r="E581" i="2"/>
  <c r="P609" i="2"/>
  <c r="D621" i="2"/>
  <c r="P646" i="2"/>
  <c r="D658" i="2"/>
  <c r="C588" i="2"/>
  <c r="G576" i="2"/>
  <c r="E576" i="2"/>
  <c r="P623" i="2"/>
  <c r="D635" i="2"/>
  <c r="P619" i="2"/>
  <c r="D631" i="2"/>
  <c r="H27" i="2"/>
  <c r="I27" i="2" s="1"/>
  <c r="M51" i="2"/>
  <c r="N51" i="2"/>
  <c r="B52" i="2"/>
  <c r="AD50" i="2"/>
  <c r="C580" i="2"/>
  <c r="E568" i="2"/>
  <c r="G568" i="2"/>
  <c r="G602" i="2"/>
  <c r="E602" i="2"/>
  <c r="C614" i="2"/>
  <c r="G606" i="2"/>
  <c r="C618" i="2"/>
  <c r="E606" i="2"/>
  <c r="G603" i="2"/>
  <c r="C615" i="2"/>
  <c r="E603" i="2"/>
  <c r="G598" i="2"/>
  <c r="C610" i="2"/>
  <c r="E598" i="2"/>
  <c r="G609" i="2"/>
  <c r="E609" i="2"/>
  <c r="C621" i="2"/>
  <c r="P629" i="2"/>
  <c r="D641" i="2"/>
  <c r="P596" i="2"/>
  <c r="D608" i="2"/>
  <c r="P638" i="2"/>
  <c r="D650" i="2"/>
  <c r="C595" i="2"/>
  <c r="G583" i="2"/>
  <c r="E583" i="2"/>
  <c r="P642" i="2"/>
  <c r="D654" i="2"/>
  <c r="G601" i="2"/>
  <c r="E601" i="2"/>
  <c r="C613" i="2"/>
  <c r="D592" i="2"/>
  <c r="P580" i="2"/>
  <c r="P625" i="2"/>
  <c r="D637" i="2"/>
  <c r="D639" i="2"/>
  <c r="W15" i="2"/>
  <c r="T102" i="26" l="1"/>
  <c r="I103" i="26"/>
  <c r="U16" i="2"/>
  <c r="V16" i="2" s="1"/>
  <c r="D54" i="15"/>
  <c r="P608" i="2"/>
  <c r="D620" i="2"/>
  <c r="D647" i="2"/>
  <c r="P635" i="2"/>
  <c r="G595" i="2"/>
  <c r="E595" i="2"/>
  <c r="C607" i="2"/>
  <c r="P650" i="2"/>
  <c r="D662" i="2"/>
  <c r="G618" i="2"/>
  <c r="E618" i="2"/>
  <c r="C630" i="2"/>
  <c r="P631" i="2"/>
  <c r="D643" i="2"/>
  <c r="P641" i="2"/>
  <c r="D653" i="2"/>
  <c r="C592" i="2"/>
  <c r="G580" i="2"/>
  <c r="E580" i="2"/>
  <c r="G613" i="2"/>
  <c r="C625" i="2"/>
  <c r="E613" i="2"/>
  <c r="G593" i="2"/>
  <c r="E593" i="2"/>
  <c r="C605" i="2"/>
  <c r="P600" i="2"/>
  <c r="D612" i="2"/>
  <c r="P621" i="2"/>
  <c r="D633" i="2"/>
  <c r="D651" i="2"/>
  <c r="P637" i="2"/>
  <c r="D649" i="2"/>
  <c r="G615" i="2"/>
  <c r="E615" i="2"/>
  <c r="C627" i="2"/>
  <c r="G614" i="2"/>
  <c r="E614" i="2"/>
  <c r="C626" i="2"/>
  <c r="AD51" i="2"/>
  <c r="G588" i="2"/>
  <c r="C600" i="2"/>
  <c r="E588" i="2"/>
  <c r="F28" i="2"/>
  <c r="D604" i="2"/>
  <c r="P592" i="2"/>
  <c r="M52" i="2"/>
  <c r="T52" i="2"/>
  <c r="AE52" i="2"/>
  <c r="N52" i="2"/>
  <c r="B53" i="2"/>
  <c r="G610" i="2"/>
  <c r="C622" i="2"/>
  <c r="E610" i="2"/>
  <c r="G584" i="2"/>
  <c r="E584" i="2"/>
  <c r="C596" i="2"/>
  <c r="P654" i="2"/>
  <c r="D666" i="2"/>
  <c r="G621" i="2"/>
  <c r="E621" i="2"/>
  <c r="C633" i="2"/>
  <c r="P658" i="2"/>
  <c r="D670" i="2"/>
  <c r="G611" i="2"/>
  <c r="C623" i="2"/>
  <c r="E611" i="2"/>
  <c r="I104" i="26" l="1"/>
  <c r="T103" i="26"/>
  <c r="O17" i="2"/>
  <c r="S17" i="2" s="1"/>
  <c r="D55" i="15"/>
  <c r="AF16" i="2"/>
  <c r="AG16" i="2" s="1"/>
  <c r="AH16" i="2" s="1"/>
  <c r="AE51" i="2"/>
  <c r="AD52" i="2"/>
  <c r="M53" i="2"/>
  <c r="T53" i="2"/>
  <c r="AE53" i="2"/>
  <c r="N53" i="2"/>
  <c r="B54" i="2"/>
  <c r="G600" i="2"/>
  <c r="E600" i="2"/>
  <c r="C612" i="2"/>
  <c r="G630" i="2"/>
  <c r="E630" i="2"/>
  <c r="C642" i="2"/>
  <c r="H28" i="2"/>
  <c r="P27" i="2"/>
  <c r="D645" i="2"/>
  <c r="P633" i="2"/>
  <c r="G607" i="2"/>
  <c r="E607" i="2"/>
  <c r="C619" i="2"/>
  <c r="G622" i="2"/>
  <c r="E622" i="2"/>
  <c r="C634" i="2"/>
  <c r="P643" i="2"/>
  <c r="D655" i="2"/>
  <c r="W16" i="2"/>
  <c r="D663" i="2"/>
  <c r="G605" i="2"/>
  <c r="C617" i="2"/>
  <c r="E605" i="2"/>
  <c r="G625" i="2"/>
  <c r="E625" i="2"/>
  <c r="C637" i="2"/>
  <c r="P647" i="2"/>
  <c r="D659" i="2"/>
  <c r="G633" i="2"/>
  <c r="C645" i="2"/>
  <c r="E633" i="2"/>
  <c r="P653" i="2"/>
  <c r="D665" i="2"/>
  <c r="P612" i="2"/>
  <c r="D624" i="2"/>
  <c r="D678" i="2"/>
  <c r="P666" i="2"/>
  <c r="G596" i="2"/>
  <c r="E596" i="2"/>
  <c r="C608" i="2"/>
  <c r="G627" i="2"/>
  <c r="E627" i="2"/>
  <c r="C639" i="2"/>
  <c r="P620" i="2"/>
  <c r="D632" i="2"/>
  <c r="D682" i="2"/>
  <c r="P670" i="2"/>
  <c r="P649" i="2"/>
  <c r="D661" i="2"/>
  <c r="C604" i="2"/>
  <c r="G592" i="2"/>
  <c r="E592" i="2"/>
  <c r="G626" i="2"/>
  <c r="E626" i="2"/>
  <c r="C638" i="2"/>
  <c r="G623" i="2"/>
  <c r="E623" i="2"/>
  <c r="C635" i="2"/>
  <c r="P604" i="2"/>
  <c r="D616" i="2"/>
  <c r="D674" i="2"/>
  <c r="P662" i="2"/>
  <c r="I105" i="26" l="1"/>
  <c r="T104" i="26"/>
  <c r="D56" i="15"/>
  <c r="U17" i="2"/>
  <c r="V17" i="2" s="1"/>
  <c r="I28" i="2"/>
  <c r="F29" i="2" s="1"/>
  <c r="G639" i="2"/>
  <c r="E639" i="2"/>
  <c r="C651" i="2"/>
  <c r="P616" i="2"/>
  <c r="D628" i="2"/>
  <c r="G617" i="2"/>
  <c r="E617" i="2"/>
  <c r="C629" i="2"/>
  <c r="P682" i="2"/>
  <c r="D694" i="2"/>
  <c r="D677" i="2"/>
  <c r="P665" i="2"/>
  <c r="G638" i="2"/>
  <c r="C650" i="2"/>
  <c r="E638" i="2"/>
  <c r="G645" i="2"/>
  <c r="E645" i="2"/>
  <c r="C657" i="2"/>
  <c r="M54" i="2"/>
  <c r="T54" i="2"/>
  <c r="N54" i="2"/>
  <c r="AE54" i="2"/>
  <c r="B55" i="2"/>
  <c r="G608" i="2"/>
  <c r="E608" i="2"/>
  <c r="C620" i="2"/>
  <c r="D675" i="2"/>
  <c r="G619" i="2"/>
  <c r="E619" i="2"/>
  <c r="C631" i="2"/>
  <c r="C647" i="2"/>
  <c r="G635" i="2"/>
  <c r="E635" i="2"/>
  <c r="G637" i="2"/>
  <c r="E637" i="2"/>
  <c r="C649" i="2"/>
  <c r="P661" i="2"/>
  <c r="D673" i="2"/>
  <c r="P645" i="2"/>
  <c r="D657" i="2"/>
  <c r="D690" i="2"/>
  <c r="P678" i="2"/>
  <c r="P674" i="2"/>
  <c r="D686" i="2"/>
  <c r="P624" i="2"/>
  <c r="D636" i="2"/>
  <c r="D644" i="2"/>
  <c r="P632" i="2"/>
  <c r="G642" i="2"/>
  <c r="C654" i="2"/>
  <c r="E642" i="2"/>
  <c r="P659" i="2"/>
  <c r="D671" i="2"/>
  <c r="AD53" i="2"/>
  <c r="G604" i="2"/>
  <c r="C616" i="2"/>
  <c r="E604" i="2"/>
  <c r="P655" i="2"/>
  <c r="D667" i="2"/>
  <c r="G634" i="2"/>
  <c r="C646" i="2"/>
  <c r="E634" i="2"/>
  <c r="G612" i="2"/>
  <c r="C624" i="2"/>
  <c r="E612" i="2"/>
  <c r="I106" i="26" l="1"/>
  <c r="T105" i="26"/>
  <c r="O18" i="2"/>
  <c r="S18" i="2" s="1"/>
  <c r="AF17" i="2"/>
  <c r="AG17" i="2" s="1"/>
  <c r="AH17" i="2" s="1"/>
  <c r="D57" i="15"/>
  <c r="D640" i="2"/>
  <c r="P628" i="2"/>
  <c r="G616" i="2"/>
  <c r="E616" i="2"/>
  <c r="C628" i="2"/>
  <c r="G654" i="2"/>
  <c r="E654" i="2"/>
  <c r="C666" i="2"/>
  <c r="G649" i="2"/>
  <c r="C661" i="2"/>
  <c r="E649" i="2"/>
  <c r="P657" i="2"/>
  <c r="D669" i="2"/>
  <c r="G629" i="2"/>
  <c r="E629" i="2"/>
  <c r="C641" i="2"/>
  <c r="G646" i="2"/>
  <c r="E646" i="2"/>
  <c r="C658" i="2"/>
  <c r="P644" i="2"/>
  <c r="D656" i="2"/>
  <c r="AD54" i="2"/>
  <c r="G651" i="2"/>
  <c r="C663" i="2"/>
  <c r="E651" i="2"/>
  <c r="D698" i="2"/>
  <c r="P686" i="2"/>
  <c r="C669" i="2"/>
  <c r="G657" i="2"/>
  <c r="E657" i="2"/>
  <c r="M55" i="2"/>
  <c r="T55" i="2"/>
  <c r="B56" i="2"/>
  <c r="N55" i="2"/>
  <c r="AE55" i="2"/>
  <c r="P694" i="2"/>
  <c r="D706" i="2"/>
  <c r="G650" i="2"/>
  <c r="C662" i="2"/>
  <c r="E650" i="2"/>
  <c r="P636" i="2"/>
  <c r="D648" i="2"/>
  <c r="D687" i="2"/>
  <c r="P673" i="2"/>
  <c r="D685" i="2"/>
  <c r="G631" i="2"/>
  <c r="E631" i="2"/>
  <c r="C643" i="2"/>
  <c r="D689" i="2"/>
  <c r="P677" i="2"/>
  <c r="H29" i="2"/>
  <c r="D702" i="2"/>
  <c r="P690" i="2"/>
  <c r="G624" i="2"/>
  <c r="E624" i="2"/>
  <c r="C636" i="2"/>
  <c r="D679" i="2"/>
  <c r="P667" i="2"/>
  <c r="D683" i="2"/>
  <c r="P671" i="2"/>
  <c r="W17" i="2"/>
  <c r="G647" i="2"/>
  <c r="E647" i="2"/>
  <c r="C659" i="2"/>
  <c r="G620" i="2"/>
  <c r="E620" i="2"/>
  <c r="C632" i="2"/>
  <c r="T106" i="26" l="1"/>
  <c r="I107" i="26"/>
  <c r="U18" i="2"/>
  <c r="V18" i="2" s="1"/>
  <c r="I29" i="2"/>
  <c r="D58" i="15"/>
  <c r="F30" i="2"/>
  <c r="P706" i="2"/>
  <c r="D718" i="2"/>
  <c r="P718" i="2" s="1"/>
  <c r="C681" i="2"/>
  <c r="E669" i="2"/>
  <c r="G669" i="2"/>
  <c r="G632" i="2"/>
  <c r="E632" i="2"/>
  <c r="C644" i="2"/>
  <c r="P683" i="2"/>
  <c r="D695" i="2"/>
  <c r="G641" i="2"/>
  <c r="C653" i="2"/>
  <c r="E641" i="2"/>
  <c r="D691" i="2"/>
  <c r="P679" i="2"/>
  <c r="M56" i="2"/>
  <c r="T56" i="2"/>
  <c r="B57" i="2"/>
  <c r="AE56" i="2"/>
  <c r="N56" i="2"/>
  <c r="D710" i="2"/>
  <c r="P698" i="2"/>
  <c r="G661" i="2"/>
  <c r="C673" i="2"/>
  <c r="E661" i="2"/>
  <c r="G636" i="2"/>
  <c r="E636" i="2"/>
  <c r="C648" i="2"/>
  <c r="D699" i="2"/>
  <c r="P656" i="2"/>
  <c r="D668" i="2"/>
  <c r="P669" i="2"/>
  <c r="D681" i="2"/>
  <c r="P640" i="2"/>
  <c r="D652" i="2"/>
  <c r="P702" i="2"/>
  <c r="D714" i="2"/>
  <c r="P714" i="2" s="1"/>
  <c r="D701" i="2"/>
  <c r="P689" i="2"/>
  <c r="G659" i="2"/>
  <c r="C671" i="2"/>
  <c r="E659" i="2"/>
  <c r="AD55" i="2"/>
  <c r="C675" i="2"/>
  <c r="G663" i="2"/>
  <c r="E663" i="2"/>
  <c r="G666" i="2"/>
  <c r="C678" i="2"/>
  <c r="E666" i="2"/>
  <c r="G628" i="2"/>
  <c r="E628" i="2"/>
  <c r="C640" i="2"/>
  <c r="G643" i="2"/>
  <c r="C655" i="2"/>
  <c r="E643" i="2"/>
  <c r="C674" i="2"/>
  <c r="G662" i="2"/>
  <c r="E662" i="2"/>
  <c r="P685" i="2"/>
  <c r="D697" i="2"/>
  <c r="P648" i="2"/>
  <c r="D660" i="2"/>
  <c r="G658" i="2"/>
  <c r="C670" i="2"/>
  <c r="E658" i="2"/>
  <c r="I108" i="26" l="1"/>
  <c r="T107" i="26"/>
  <c r="O19" i="2"/>
  <c r="S19" i="2" s="1"/>
  <c r="AF18" i="2"/>
  <c r="AG18" i="2" s="1"/>
  <c r="AH18" i="2" s="1"/>
  <c r="D59" i="15"/>
  <c r="P695" i="2"/>
  <c r="D707" i="2"/>
  <c r="P652" i="2"/>
  <c r="D664" i="2"/>
  <c r="D711" i="2"/>
  <c r="P681" i="2"/>
  <c r="D693" i="2"/>
  <c r="C685" i="2"/>
  <c r="G673" i="2"/>
  <c r="E673" i="2"/>
  <c r="M57" i="2"/>
  <c r="T57" i="2"/>
  <c r="B58" i="2"/>
  <c r="AE57" i="2"/>
  <c r="N57" i="2"/>
  <c r="C693" i="2"/>
  <c r="G681" i="2"/>
  <c r="E681" i="2"/>
  <c r="P660" i="2"/>
  <c r="D672" i="2"/>
  <c r="G648" i="2"/>
  <c r="C660" i="2"/>
  <c r="E648" i="2"/>
  <c r="C686" i="2"/>
  <c r="G674" i="2"/>
  <c r="E674" i="2"/>
  <c r="G640" i="2"/>
  <c r="D60" i="15" s="1"/>
  <c r="E640" i="2"/>
  <c r="C652" i="2"/>
  <c r="C687" i="2"/>
  <c r="G675" i="2"/>
  <c r="E675" i="2"/>
  <c r="P710" i="2"/>
  <c r="D722" i="2"/>
  <c r="P722" i="2" s="1"/>
  <c r="D703" i="2"/>
  <c r="P691" i="2"/>
  <c r="G644" i="2"/>
  <c r="E644" i="2"/>
  <c r="C656" i="2"/>
  <c r="P697" i="2"/>
  <c r="D709" i="2"/>
  <c r="H30" i="2"/>
  <c r="C682" i="2"/>
  <c r="G670" i="2"/>
  <c r="E670" i="2"/>
  <c r="C690" i="2"/>
  <c r="E678" i="2"/>
  <c r="G678" i="2"/>
  <c r="P701" i="2"/>
  <c r="D713" i="2"/>
  <c r="P713" i="2" s="1"/>
  <c r="W18" i="2"/>
  <c r="C683" i="2"/>
  <c r="G671" i="2"/>
  <c r="E671" i="2"/>
  <c r="D680" i="2"/>
  <c r="P668" i="2"/>
  <c r="C667" i="2"/>
  <c r="G655" i="2"/>
  <c r="E655" i="2"/>
  <c r="G653" i="2"/>
  <c r="E653" i="2"/>
  <c r="C665" i="2"/>
  <c r="I109" i="26" l="1"/>
  <c r="T108" i="26"/>
  <c r="U19" i="2"/>
  <c r="V19" i="2" s="1"/>
  <c r="I30" i="2"/>
  <c r="F31" i="2" s="1"/>
  <c r="AD57" i="2"/>
  <c r="E683" i="2"/>
  <c r="G683" i="2"/>
  <c r="C695" i="2"/>
  <c r="D721" i="2"/>
  <c r="P721" i="2" s="1"/>
  <c r="P709" i="2"/>
  <c r="C699" i="2"/>
  <c r="E687" i="2"/>
  <c r="G687" i="2"/>
  <c r="G660" i="2"/>
  <c r="C672" i="2"/>
  <c r="E660" i="2"/>
  <c r="M58" i="2"/>
  <c r="T58" i="2"/>
  <c r="B59" i="2"/>
  <c r="AE58" i="2"/>
  <c r="N58" i="2"/>
  <c r="D723" i="2"/>
  <c r="G652" i="2"/>
  <c r="E652" i="2"/>
  <c r="C664" i="2"/>
  <c r="P672" i="2"/>
  <c r="D684" i="2"/>
  <c r="C705" i="2"/>
  <c r="G693" i="2"/>
  <c r="E693" i="2"/>
  <c r="D676" i="2"/>
  <c r="P664" i="2"/>
  <c r="C677" i="2"/>
  <c r="G665" i="2"/>
  <c r="E665" i="2"/>
  <c r="G656" i="2"/>
  <c r="E656" i="2"/>
  <c r="C668" i="2"/>
  <c r="C697" i="2"/>
  <c r="G685" i="2"/>
  <c r="E685" i="2"/>
  <c r="C679" i="2"/>
  <c r="G667" i="2"/>
  <c r="E667" i="2"/>
  <c r="E690" i="2"/>
  <c r="G690" i="2"/>
  <c r="C702" i="2"/>
  <c r="C698" i="2"/>
  <c r="G686" i="2"/>
  <c r="E686" i="2"/>
  <c r="P707" i="2"/>
  <c r="D719" i="2"/>
  <c r="P719" i="2" s="1"/>
  <c r="E682" i="2"/>
  <c r="C694" i="2"/>
  <c r="G682" i="2"/>
  <c r="P703" i="2"/>
  <c r="D715" i="2"/>
  <c r="P715" i="2" s="1"/>
  <c r="D692" i="2"/>
  <c r="P680" i="2"/>
  <c r="D705" i="2"/>
  <c r="P693" i="2"/>
  <c r="I110" i="26" l="1"/>
  <c r="T109" i="26"/>
  <c r="O20" i="2"/>
  <c r="S20" i="2" s="1"/>
  <c r="AF19" i="2"/>
  <c r="AG19" i="2" s="1"/>
  <c r="AH19" i="2" s="1"/>
  <c r="D61" i="15"/>
  <c r="AD56" i="2"/>
  <c r="AD58" i="2"/>
  <c r="H31" i="2"/>
  <c r="M59" i="2"/>
  <c r="T59" i="2"/>
  <c r="AE59" i="2"/>
  <c r="N59" i="2"/>
  <c r="B60" i="2"/>
  <c r="P676" i="2"/>
  <c r="D688" i="2"/>
  <c r="C689" i="2"/>
  <c r="G677" i="2"/>
  <c r="E677" i="2"/>
  <c r="W19" i="2"/>
  <c r="C680" i="2"/>
  <c r="G668" i="2"/>
  <c r="E668" i="2"/>
  <c r="C717" i="2"/>
  <c r="G705" i="2"/>
  <c r="E705" i="2"/>
  <c r="C706" i="2"/>
  <c r="G694" i="2"/>
  <c r="E694" i="2"/>
  <c r="C709" i="2"/>
  <c r="G697" i="2"/>
  <c r="E697" i="2"/>
  <c r="P705" i="2"/>
  <c r="D717" i="2"/>
  <c r="P717" i="2" s="1"/>
  <c r="C691" i="2"/>
  <c r="E679" i="2"/>
  <c r="G679" i="2"/>
  <c r="P684" i="2"/>
  <c r="D696" i="2"/>
  <c r="C676" i="2"/>
  <c r="G664" i="2"/>
  <c r="D62" i="15" s="1"/>
  <c r="E664" i="2"/>
  <c r="C711" i="2"/>
  <c r="E699" i="2"/>
  <c r="G699" i="2"/>
  <c r="C710" i="2"/>
  <c r="E698" i="2"/>
  <c r="G698" i="2"/>
  <c r="G702" i="2"/>
  <c r="E702" i="2"/>
  <c r="C714" i="2"/>
  <c r="C684" i="2"/>
  <c r="G672" i="2"/>
  <c r="E672" i="2"/>
  <c r="C707" i="2"/>
  <c r="G695" i="2"/>
  <c r="E695" i="2"/>
  <c r="D704" i="2"/>
  <c r="P692" i="2"/>
  <c r="I111" i="26" l="1"/>
  <c r="T110" i="26"/>
  <c r="U20" i="2"/>
  <c r="V20" i="2" s="1"/>
  <c r="I31" i="2"/>
  <c r="F32" i="2" s="1"/>
  <c r="C719" i="2"/>
  <c r="G707" i="2"/>
  <c r="E707" i="2"/>
  <c r="P696" i="2"/>
  <c r="D708" i="2"/>
  <c r="G714" i="2"/>
  <c r="E714" i="2"/>
  <c r="C723" i="2"/>
  <c r="G711" i="2"/>
  <c r="E711" i="2"/>
  <c r="M60" i="2"/>
  <c r="T60" i="2"/>
  <c r="AE60" i="2"/>
  <c r="N60" i="2"/>
  <c r="B61" i="2"/>
  <c r="C688" i="2"/>
  <c r="E676" i="2"/>
  <c r="G676" i="2"/>
  <c r="G706" i="2"/>
  <c r="C718" i="2"/>
  <c r="E706" i="2"/>
  <c r="E717" i="2"/>
  <c r="G717" i="2"/>
  <c r="C701" i="2"/>
  <c r="E689" i="2"/>
  <c r="G689" i="2"/>
  <c r="C696" i="2"/>
  <c r="E684" i="2"/>
  <c r="G684" i="2"/>
  <c r="D716" i="2"/>
  <c r="P716" i="2" s="1"/>
  <c r="P704" i="2"/>
  <c r="C692" i="2"/>
  <c r="E680" i="2"/>
  <c r="G680" i="2"/>
  <c r="C721" i="2"/>
  <c r="G709" i="2"/>
  <c r="E709" i="2"/>
  <c r="C722" i="2"/>
  <c r="E710" i="2"/>
  <c r="G710" i="2"/>
  <c r="AD59" i="2"/>
  <c r="C703" i="2"/>
  <c r="E691" i="2"/>
  <c r="G691" i="2"/>
  <c r="D700" i="2"/>
  <c r="P688" i="2"/>
  <c r="I112" i="26" l="1"/>
  <c r="T111" i="26"/>
  <c r="O21" i="2"/>
  <c r="S21" i="2" s="1"/>
  <c r="AF20" i="2"/>
  <c r="AG20" i="2" s="1"/>
  <c r="AH20" i="2" s="1"/>
  <c r="D63" i="15"/>
  <c r="C704" i="2"/>
  <c r="G692" i="2"/>
  <c r="E692" i="2"/>
  <c r="E701" i="2"/>
  <c r="C713" i="2"/>
  <c r="G701" i="2"/>
  <c r="C715" i="2"/>
  <c r="E703" i="2"/>
  <c r="G703" i="2"/>
  <c r="G722" i="2"/>
  <c r="E722" i="2"/>
  <c r="W20" i="2"/>
  <c r="C708" i="2"/>
  <c r="G696" i="2"/>
  <c r="E696" i="2"/>
  <c r="M61" i="2"/>
  <c r="T61" i="2"/>
  <c r="AE61" i="2"/>
  <c r="N61" i="2"/>
  <c r="B62" i="2"/>
  <c r="E723" i="2"/>
  <c r="G723" i="2"/>
  <c r="E721" i="2"/>
  <c r="G721" i="2"/>
  <c r="D720" i="2"/>
  <c r="P720" i="2" s="1"/>
  <c r="P708" i="2"/>
  <c r="H32" i="2"/>
  <c r="G718" i="2"/>
  <c r="E718" i="2"/>
  <c r="C700" i="2"/>
  <c r="G688" i="2"/>
  <c r="E688" i="2"/>
  <c r="P700" i="2"/>
  <c r="D712" i="2"/>
  <c r="P712" i="2" s="1"/>
  <c r="AD60" i="2"/>
  <c r="E719" i="2"/>
  <c r="G719" i="2"/>
  <c r="I113" i="26" l="1"/>
  <c r="T112" i="26"/>
  <c r="U21" i="2"/>
  <c r="V21" i="2" s="1"/>
  <c r="I32" i="2"/>
  <c r="F33" i="2" s="1"/>
  <c r="D64" i="15"/>
  <c r="AD61" i="2"/>
  <c r="M62" i="2"/>
  <c r="T62" i="2"/>
  <c r="N62" i="2"/>
  <c r="B63" i="2"/>
  <c r="AE62" i="2"/>
  <c r="E713" i="2"/>
  <c r="G713" i="2"/>
  <c r="C716" i="2"/>
  <c r="G704" i="2"/>
  <c r="E704" i="2"/>
  <c r="E700" i="2"/>
  <c r="C712" i="2"/>
  <c r="G700" i="2"/>
  <c r="C720" i="2"/>
  <c r="G708" i="2"/>
  <c r="E708" i="2"/>
  <c r="E715" i="2"/>
  <c r="G715" i="2"/>
  <c r="I114" i="26" l="1"/>
  <c r="T113" i="26"/>
  <c r="O22" i="2"/>
  <c r="S22" i="2" s="1"/>
  <c r="U22" i="2" s="1"/>
  <c r="V22" i="2" s="1"/>
  <c r="AF21" i="2"/>
  <c r="AG21" i="2" s="1"/>
  <c r="AH21" i="2" s="1"/>
  <c r="D65" i="15"/>
  <c r="H33" i="2"/>
  <c r="G720" i="2"/>
  <c r="E720" i="2"/>
  <c r="G716" i="2"/>
  <c r="E716" i="2"/>
  <c r="W21" i="2"/>
  <c r="M63" i="2"/>
  <c r="B64" i="2"/>
  <c r="N63" i="2"/>
  <c r="G712" i="2"/>
  <c r="E712" i="2"/>
  <c r="AD62" i="2"/>
  <c r="T114" i="26" l="1"/>
  <c r="I115" i="26"/>
  <c r="I33" i="2"/>
  <c r="D66" i="15"/>
  <c r="B9" i="13"/>
  <c r="AF22" i="2"/>
  <c r="AG22" i="2" s="1"/>
  <c r="AH22" i="2" s="1"/>
  <c r="AE64" i="2"/>
  <c r="M64" i="2"/>
  <c r="T64" i="2"/>
  <c r="B65" i="2"/>
  <c r="N64" i="2"/>
  <c r="F34" i="2"/>
  <c r="AD63" i="2"/>
  <c r="I116" i="26" l="1"/>
  <c r="T115" i="26"/>
  <c r="O23" i="2"/>
  <c r="S23" i="2" s="1"/>
  <c r="AE63" i="2"/>
  <c r="AD64" i="2"/>
  <c r="W22" i="2"/>
  <c r="H34" i="2"/>
  <c r="I34" i="2" s="1"/>
  <c r="U23" i="2"/>
  <c r="V23" i="2" s="1"/>
  <c r="AE65" i="2"/>
  <c r="N65" i="2"/>
  <c r="M65" i="2"/>
  <c r="T65" i="2"/>
  <c r="B66" i="2"/>
  <c r="I117" i="26" l="1"/>
  <c r="T116" i="26"/>
  <c r="AD66" i="2"/>
  <c r="AD65" i="2"/>
  <c r="B67" i="2"/>
  <c r="T66" i="2"/>
  <c r="N66" i="2"/>
  <c r="M66" i="2"/>
  <c r="AE66" i="2"/>
  <c r="AF23" i="2"/>
  <c r="AG23" i="2" s="1"/>
  <c r="AH23" i="2" s="1"/>
  <c r="F35" i="2"/>
  <c r="I118" i="26" l="1"/>
  <c r="T117" i="26"/>
  <c r="O24" i="2"/>
  <c r="S24" i="2" s="1"/>
  <c r="U24" i="2" s="1"/>
  <c r="V24" i="2" s="1"/>
  <c r="W23" i="2"/>
  <c r="H35" i="2"/>
  <c r="I35" i="2" s="1"/>
  <c r="B68" i="2"/>
  <c r="N67" i="2"/>
  <c r="T67" i="2"/>
  <c r="M67" i="2"/>
  <c r="AE67" i="2"/>
  <c r="B126" i="26" l="1"/>
  <c r="B128" i="26"/>
  <c r="B127" i="26"/>
  <c r="T118" i="26"/>
  <c r="E17" i="26"/>
  <c r="AD67" i="2"/>
  <c r="AF24" i="2"/>
  <c r="AG24" i="2" s="1"/>
  <c r="AH24" i="2" s="1"/>
  <c r="F36" i="2"/>
  <c r="B69" i="2"/>
  <c r="T68" i="2"/>
  <c r="N68" i="2"/>
  <c r="M68" i="2"/>
  <c r="AE68" i="2"/>
  <c r="M128" i="26" l="1"/>
  <c r="L128" i="26"/>
  <c r="Q128" i="26"/>
  <c r="M129" i="26"/>
  <c r="L129" i="26"/>
  <c r="Q129" i="26"/>
  <c r="M127" i="26"/>
  <c r="L127" i="26"/>
  <c r="Q127" i="26"/>
  <c r="O25" i="2"/>
  <c r="S25" i="2" s="1"/>
  <c r="B70" i="2"/>
  <c r="N69" i="2"/>
  <c r="T69" i="2"/>
  <c r="M69" i="2"/>
  <c r="AE69" i="2"/>
  <c r="H36" i="2"/>
  <c r="I36" i="2" s="1"/>
  <c r="U25" i="2"/>
  <c r="V25" i="2" s="1"/>
  <c r="AD68" i="2"/>
  <c r="W24" i="2"/>
  <c r="AF25" i="2" l="1"/>
  <c r="AG25" i="2" s="1"/>
  <c r="AH25" i="2" s="1"/>
  <c r="B71" i="2"/>
  <c r="T70" i="2"/>
  <c r="N70" i="2"/>
  <c r="M70" i="2"/>
  <c r="AE70" i="2"/>
  <c r="AD69" i="2"/>
  <c r="F37" i="2"/>
  <c r="O26" i="2" l="1"/>
  <c r="S26" i="2" s="1"/>
  <c r="U26" i="2" s="1"/>
  <c r="V26" i="2" s="1"/>
  <c r="H37" i="2"/>
  <c r="I37" i="2" s="1"/>
  <c r="B72" i="2"/>
  <c r="N71" i="2"/>
  <c r="T71" i="2"/>
  <c r="M71" i="2"/>
  <c r="AE71" i="2"/>
  <c r="AD70" i="2"/>
  <c r="W25" i="2"/>
  <c r="AF26" i="2" l="1"/>
  <c r="AG26" i="2" s="1"/>
  <c r="AH26" i="2" s="1"/>
  <c r="B73" i="2"/>
  <c r="T72" i="2"/>
  <c r="N72" i="2"/>
  <c r="M72" i="2"/>
  <c r="AE72" i="2"/>
  <c r="F38" i="2"/>
  <c r="AD71" i="2"/>
  <c r="O27" i="2" l="1"/>
  <c r="S27" i="2" s="1"/>
  <c r="U27" i="2" s="1"/>
  <c r="V27" i="2" s="1"/>
  <c r="B74" i="2"/>
  <c r="N73" i="2"/>
  <c r="T73" i="2"/>
  <c r="AE73" i="2"/>
  <c r="M73" i="2"/>
  <c r="H38" i="2"/>
  <c r="I38" i="2" s="1"/>
  <c r="AD72" i="2"/>
  <c r="W26" i="2"/>
  <c r="AD73" i="2" l="1"/>
  <c r="AF27" i="2"/>
  <c r="AG27" i="2" s="1"/>
  <c r="AH27" i="2" s="1"/>
  <c r="T27" i="2"/>
  <c r="G6" i="3" s="1"/>
  <c r="B75" i="2"/>
  <c r="T74" i="2"/>
  <c r="N74" i="2"/>
  <c r="M74" i="2"/>
  <c r="AE74" i="2"/>
  <c r="F39" i="2"/>
  <c r="O28" i="2" l="1"/>
  <c r="S28" i="2" s="1"/>
  <c r="AD75" i="2"/>
  <c r="H39" i="2"/>
  <c r="I39" i="2" s="1"/>
  <c r="AD74" i="2"/>
  <c r="B76" i="2"/>
  <c r="N75" i="2"/>
  <c r="M75" i="2"/>
  <c r="W27" i="2"/>
  <c r="U28" i="2" l="1"/>
  <c r="V28" i="2" s="1"/>
  <c r="AE75" i="2"/>
  <c r="F40" i="2"/>
  <c r="B77" i="2"/>
  <c r="T76" i="2"/>
  <c r="N76" i="2"/>
  <c r="M76" i="2"/>
  <c r="AE76" i="2"/>
  <c r="O29" i="2" l="1"/>
  <c r="S29" i="2" s="1"/>
  <c r="AF28" i="2"/>
  <c r="AG28" i="2" s="1"/>
  <c r="AH28" i="2" s="1"/>
  <c r="AD76" i="2"/>
  <c r="B78" i="2"/>
  <c r="N77" i="2"/>
  <c r="T77" i="2"/>
  <c r="M77" i="2"/>
  <c r="AE77" i="2"/>
  <c r="W28" i="2"/>
  <c r="H40" i="2"/>
  <c r="P39" i="2"/>
  <c r="U29" i="2" l="1"/>
  <c r="V29" i="2" s="1"/>
  <c r="I40" i="2"/>
  <c r="F41" i="2" s="1"/>
  <c r="AD77" i="2"/>
  <c r="B79" i="2"/>
  <c r="T78" i="2"/>
  <c r="N78" i="2"/>
  <c r="M78" i="2"/>
  <c r="AE78" i="2"/>
  <c r="O30" i="2" l="1"/>
  <c r="S30" i="2" s="1"/>
  <c r="AF29" i="2"/>
  <c r="AG29" i="2" s="1"/>
  <c r="AH29" i="2" s="1"/>
  <c r="AD78" i="2"/>
  <c r="B80" i="2"/>
  <c r="N79" i="2"/>
  <c r="T79" i="2"/>
  <c r="M79" i="2"/>
  <c r="AE79" i="2"/>
  <c r="H41" i="2"/>
  <c r="W29" i="2"/>
  <c r="U30" i="2" l="1"/>
  <c r="V30" i="2" s="1"/>
  <c r="I41" i="2"/>
  <c r="F42" i="2" s="1"/>
  <c r="AD79" i="2"/>
  <c r="B81" i="2"/>
  <c r="T80" i="2"/>
  <c r="N80" i="2"/>
  <c r="M80" i="2"/>
  <c r="AE80" i="2"/>
  <c r="O31" i="2" l="1"/>
  <c r="S31" i="2" s="1"/>
  <c r="AF30" i="2"/>
  <c r="AG30" i="2" s="1"/>
  <c r="AH30" i="2" s="1"/>
  <c r="AD80" i="2"/>
  <c r="H42" i="2"/>
  <c r="W30" i="2"/>
  <c r="B82" i="2"/>
  <c r="N81" i="2"/>
  <c r="T81" i="2"/>
  <c r="AE81" i="2"/>
  <c r="M81" i="2"/>
  <c r="U31" i="2" l="1"/>
  <c r="V31" i="2" s="1"/>
  <c r="I42" i="2"/>
  <c r="F43" i="2" s="1"/>
  <c r="B83" i="2"/>
  <c r="T82" i="2"/>
  <c r="N82" i="2"/>
  <c r="M82" i="2"/>
  <c r="AE82" i="2"/>
  <c r="AD81" i="2"/>
  <c r="O32" i="2" l="1"/>
  <c r="S32" i="2" s="1"/>
  <c r="AF31" i="2"/>
  <c r="AG31" i="2" s="1"/>
  <c r="AH31" i="2" s="1"/>
  <c r="AD82" i="2"/>
  <c r="B84" i="2"/>
  <c r="N83" i="2"/>
  <c r="AE83" i="2"/>
  <c r="T83" i="2"/>
  <c r="M83" i="2"/>
  <c r="W31" i="2"/>
  <c r="H43" i="2"/>
  <c r="I43" i="2" l="1"/>
  <c r="F44" i="2" s="1"/>
  <c r="U32" i="2"/>
  <c r="V32" i="2" s="1"/>
  <c r="AD83" i="2"/>
  <c r="B85" i="2"/>
  <c r="N84" i="2"/>
  <c r="AE84" i="2"/>
  <c r="T84" i="2"/>
  <c r="M84" i="2"/>
  <c r="O33" i="2" l="1"/>
  <c r="S33" i="2" s="1"/>
  <c r="AF32" i="2"/>
  <c r="AG32" i="2" s="1"/>
  <c r="AH32" i="2" s="1"/>
  <c r="B86" i="2"/>
  <c r="N85" i="2"/>
  <c r="AE85" i="2"/>
  <c r="T85" i="2"/>
  <c r="M85" i="2"/>
  <c r="W32" i="2"/>
  <c r="AD84" i="2"/>
  <c r="H44" i="2"/>
  <c r="U33" i="2" l="1"/>
  <c r="V33" i="2" s="1"/>
  <c r="I44" i="2"/>
  <c r="F45" i="2" s="1"/>
  <c r="AD85" i="2"/>
  <c r="B87" i="2"/>
  <c r="N86" i="2"/>
  <c r="AE86" i="2"/>
  <c r="T86" i="2"/>
  <c r="M86" i="2"/>
  <c r="O34" i="2" l="1"/>
  <c r="S34" i="2" s="1"/>
  <c r="U34" i="2" s="1"/>
  <c r="V34" i="2" s="1"/>
  <c r="AF33" i="2"/>
  <c r="AG33" i="2" s="1"/>
  <c r="AH33" i="2" s="1"/>
  <c r="B88" i="2"/>
  <c r="N87" i="2"/>
  <c r="M87" i="2"/>
  <c r="AD86" i="2"/>
  <c r="H45" i="2"/>
  <c r="W33" i="2"/>
  <c r="I45" i="2" l="1"/>
  <c r="F46" i="2" s="1"/>
  <c r="AD87" i="2"/>
  <c r="AF34" i="2"/>
  <c r="AG34" i="2" s="1"/>
  <c r="AH34" i="2" s="1"/>
  <c r="B89" i="2"/>
  <c r="N88" i="2"/>
  <c r="AE88" i="2"/>
  <c r="T88" i="2"/>
  <c r="M88" i="2"/>
  <c r="O35" i="2" l="1"/>
  <c r="S35" i="2" s="1"/>
  <c r="U35" i="2" s="1"/>
  <c r="V35" i="2" s="1"/>
  <c r="AE87" i="2"/>
  <c r="B90" i="2"/>
  <c r="N89" i="2"/>
  <c r="AE89" i="2"/>
  <c r="T89" i="2"/>
  <c r="M89" i="2"/>
  <c r="AD88" i="2"/>
  <c r="H46" i="2"/>
  <c r="I46" i="2" s="1"/>
  <c r="W34" i="2"/>
  <c r="AF35" i="2" l="1"/>
  <c r="AG35" i="2" s="1"/>
  <c r="AH35" i="2" s="1"/>
  <c r="F47" i="2"/>
  <c r="AD89" i="2"/>
  <c r="B91" i="2"/>
  <c r="N90" i="2"/>
  <c r="AE90" i="2"/>
  <c r="T90" i="2"/>
  <c r="M90" i="2"/>
  <c r="O36" i="2" l="1"/>
  <c r="S36" i="2" s="1"/>
  <c r="B92" i="2"/>
  <c r="N91" i="2"/>
  <c r="AE91" i="2"/>
  <c r="T91" i="2"/>
  <c r="M91" i="2"/>
  <c r="H47" i="2"/>
  <c r="I47" i="2" s="1"/>
  <c r="U36" i="2"/>
  <c r="V36" i="2" s="1"/>
  <c r="AD90" i="2"/>
  <c r="W35" i="2"/>
  <c r="AD91" i="2" l="1"/>
  <c r="F48" i="2"/>
  <c r="AF36" i="2"/>
  <c r="AG36" i="2" s="1"/>
  <c r="AH36" i="2" s="1"/>
  <c r="B93" i="2"/>
  <c r="N92" i="2"/>
  <c r="AE92" i="2"/>
  <c r="T92" i="2"/>
  <c r="M92" i="2"/>
  <c r="O37" i="2" l="1"/>
  <c r="S37" i="2" s="1"/>
  <c r="U37" i="2" s="1"/>
  <c r="V37" i="2" s="1"/>
  <c r="AD92" i="2"/>
  <c r="H48" i="2"/>
  <c r="I48" i="2" s="1"/>
  <c r="B94" i="2"/>
  <c r="N93" i="2"/>
  <c r="AE93" i="2"/>
  <c r="T93" i="2"/>
  <c r="M93" i="2"/>
  <c r="W36" i="2"/>
  <c r="AD93" i="2" l="1"/>
  <c r="AF37" i="2"/>
  <c r="AG37" i="2" s="1"/>
  <c r="AH37" i="2" s="1"/>
  <c r="F49" i="2"/>
  <c r="B95" i="2"/>
  <c r="N94" i="2"/>
  <c r="AE94" i="2"/>
  <c r="T94" i="2"/>
  <c r="M94" i="2"/>
  <c r="O38" i="2" l="1"/>
  <c r="S38" i="2" s="1"/>
  <c r="U38" i="2" s="1"/>
  <c r="V38" i="2" s="1"/>
  <c r="B96" i="2"/>
  <c r="N95" i="2"/>
  <c r="AE95" i="2"/>
  <c r="T95" i="2"/>
  <c r="M95" i="2"/>
  <c r="H49" i="2"/>
  <c r="I49" i="2" s="1"/>
  <c r="AD94" i="2"/>
  <c r="W37" i="2"/>
  <c r="AD95" i="2" l="1"/>
  <c r="AF38" i="2"/>
  <c r="AG38" i="2" s="1"/>
  <c r="AH38" i="2" s="1"/>
  <c r="B97" i="2"/>
  <c r="N96" i="2"/>
  <c r="AE96" i="2"/>
  <c r="T96" i="2"/>
  <c r="M96" i="2"/>
  <c r="F50" i="2"/>
  <c r="O39" i="2" l="1"/>
  <c r="S39" i="2" s="1"/>
  <c r="U39" i="2" s="1"/>
  <c r="V39" i="2" s="1"/>
  <c r="AD96" i="2"/>
  <c r="B98" i="2"/>
  <c r="N97" i="2"/>
  <c r="AE97" i="2"/>
  <c r="T97" i="2"/>
  <c r="M97" i="2"/>
  <c r="H50" i="2"/>
  <c r="I50" i="2" s="1"/>
  <c r="W38" i="2"/>
  <c r="AF39" i="2" l="1"/>
  <c r="AG39" i="2" s="1"/>
  <c r="AH39" i="2" s="1"/>
  <c r="T39" i="2"/>
  <c r="G7" i="3" s="1"/>
  <c r="AD97" i="2"/>
  <c r="F51" i="2"/>
  <c r="B99" i="2"/>
  <c r="AE98" i="2"/>
  <c r="T98" i="2"/>
  <c r="N98" i="2"/>
  <c r="M98" i="2"/>
  <c r="O40" i="2" l="1"/>
  <c r="S40" i="2" s="1"/>
  <c r="H51" i="2"/>
  <c r="I51" i="2" s="1"/>
  <c r="AD98" i="2"/>
  <c r="B100" i="2"/>
  <c r="N99" i="2"/>
  <c r="M99" i="2"/>
  <c r="W39" i="2"/>
  <c r="U40" i="2" l="1"/>
  <c r="V40" i="2" s="1"/>
  <c r="B101" i="2"/>
  <c r="M100" i="2"/>
  <c r="AE100" i="2"/>
  <c r="T100" i="2"/>
  <c r="N100" i="2"/>
  <c r="AD99" i="2"/>
  <c r="F52" i="2"/>
  <c r="O41" i="2" l="1"/>
  <c r="S41" i="2" s="1"/>
  <c r="AF40" i="2"/>
  <c r="AG40" i="2" s="1"/>
  <c r="AH40" i="2" s="1"/>
  <c r="AE99" i="2"/>
  <c r="AD100" i="2"/>
  <c r="H52" i="2"/>
  <c r="P51" i="2"/>
  <c r="B102" i="2"/>
  <c r="N101" i="2"/>
  <c r="M101" i="2"/>
  <c r="AE101" i="2"/>
  <c r="T101" i="2"/>
  <c r="W40" i="2"/>
  <c r="U41" i="2" l="1"/>
  <c r="V41" i="2" s="1"/>
  <c r="I52" i="2"/>
  <c r="B103" i="2"/>
  <c r="AE102" i="2"/>
  <c r="T102" i="2"/>
  <c r="N102" i="2"/>
  <c r="M102" i="2"/>
  <c r="F53" i="2"/>
  <c r="AD101" i="2"/>
  <c r="O42" i="2" l="1"/>
  <c r="S42" i="2" s="1"/>
  <c r="AF41" i="2"/>
  <c r="AG41" i="2" s="1"/>
  <c r="AH41" i="2" s="1"/>
  <c r="AD102" i="2"/>
  <c r="B104" i="2"/>
  <c r="N103" i="2"/>
  <c r="M103" i="2"/>
  <c r="AE103" i="2"/>
  <c r="T103" i="2"/>
  <c r="W41" i="2"/>
  <c r="H53" i="2"/>
  <c r="U42" i="2" l="1"/>
  <c r="V42" i="2" s="1"/>
  <c r="I53" i="2"/>
  <c r="B105" i="2"/>
  <c r="AE104" i="2"/>
  <c r="T104" i="2"/>
  <c r="N104" i="2"/>
  <c r="M104" i="2"/>
  <c r="F54" i="2"/>
  <c r="AD103" i="2"/>
  <c r="O43" i="2" l="1"/>
  <c r="S43" i="2" s="1"/>
  <c r="AF42" i="2"/>
  <c r="AG42" i="2" s="1"/>
  <c r="AH42" i="2" s="1"/>
  <c r="W42" i="2"/>
  <c r="H54" i="2"/>
  <c r="AD104" i="2"/>
  <c r="B106" i="2"/>
  <c r="AE105" i="2"/>
  <c r="T105" i="2"/>
  <c r="N105" i="2"/>
  <c r="M105" i="2"/>
  <c r="U43" i="2" l="1"/>
  <c r="V43" i="2" s="1"/>
  <c r="I54" i="2"/>
  <c r="F55" i="2" s="1"/>
  <c r="B107" i="2"/>
  <c r="N106" i="2"/>
  <c r="M106" i="2"/>
  <c r="AE106" i="2"/>
  <c r="T106" i="2"/>
  <c r="AD105" i="2"/>
  <c r="O44" i="2" l="1"/>
  <c r="S44" i="2" s="1"/>
  <c r="AF43" i="2"/>
  <c r="AG43" i="2" s="1"/>
  <c r="AH43" i="2" s="1"/>
  <c r="W43" i="2"/>
  <c r="B108" i="2"/>
  <c r="AE107" i="2"/>
  <c r="T107" i="2"/>
  <c r="N107" i="2"/>
  <c r="M107" i="2"/>
  <c r="H55" i="2"/>
  <c r="AD106" i="2"/>
  <c r="I55" i="2" l="1"/>
  <c r="U44" i="2"/>
  <c r="V44" i="2" s="1"/>
  <c r="AD107" i="2"/>
  <c r="B109" i="2"/>
  <c r="M108" i="2"/>
  <c r="AE108" i="2"/>
  <c r="T108" i="2"/>
  <c r="N108" i="2"/>
  <c r="F56" i="2"/>
  <c r="O45" i="2" l="1"/>
  <c r="S45" i="2" s="1"/>
  <c r="AF44" i="2"/>
  <c r="AG44" i="2" s="1"/>
  <c r="AH44" i="2" s="1"/>
  <c r="B110" i="2"/>
  <c r="N109" i="2"/>
  <c r="M109" i="2"/>
  <c r="AE109" i="2"/>
  <c r="T109" i="2"/>
  <c r="H56" i="2"/>
  <c r="W44" i="2"/>
  <c r="U45" i="2" l="1"/>
  <c r="V45" i="2" s="1"/>
  <c r="I56" i="2"/>
  <c r="F57" i="2" s="1"/>
  <c r="AD109" i="2"/>
  <c r="B111" i="2"/>
  <c r="AE110" i="2"/>
  <c r="T110" i="2"/>
  <c r="N110" i="2"/>
  <c r="M110" i="2"/>
  <c r="O46" i="2" l="1"/>
  <c r="S46" i="2" s="1"/>
  <c r="U46" i="2" s="1"/>
  <c r="V46" i="2" s="1"/>
  <c r="AF45" i="2"/>
  <c r="AG45" i="2" s="1"/>
  <c r="AH45" i="2" s="1"/>
  <c r="AD108" i="2"/>
  <c r="AD110" i="2"/>
  <c r="B112" i="2"/>
  <c r="N111" i="2"/>
  <c r="M111" i="2"/>
  <c r="W45" i="2"/>
  <c r="H57" i="2"/>
  <c r="I57" i="2" l="1"/>
  <c r="AF46" i="2"/>
  <c r="AG46" i="2" s="1"/>
  <c r="AH46" i="2" s="1"/>
  <c r="F58" i="2"/>
  <c r="B113" i="2"/>
  <c r="AE112" i="2"/>
  <c r="T112" i="2"/>
  <c r="N112" i="2"/>
  <c r="M112" i="2"/>
  <c r="AD111" i="2"/>
  <c r="O47" i="2" l="1"/>
  <c r="S47" i="2" s="1"/>
  <c r="U47" i="2" s="1"/>
  <c r="V47" i="2" s="1"/>
  <c r="AE111" i="2"/>
  <c r="AD112" i="2"/>
  <c r="B114" i="2"/>
  <c r="AE113" i="2"/>
  <c r="T113" i="2"/>
  <c r="N113" i="2"/>
  <c r="M113" i="2"/>
  <c r="H58" i="2"/>
  <c r="I58" i="2" s="1"/>
  <c r="W46" i="2"/>
  <c r="AD113" i="2" l="1"/>
  <c r="AF47" i="2"/>
  <c r="AG47" i="2" s="1"/>
  <c r="AH47" i="2" s="1"/>
  <c r="B115" i="2"/>
  <c r="N114" i="2"/>
  <c r="M114" i="2"/>
  <c r="AE114" i="2"/>
  <c r="T114" i="2"/>
  <c r="F59" i="2"/>
  <c r="O48" i="2" l="1"/>
  <c r="S48" i="2" s="1"/>
  <c r="U48" i="2" s="1"/>
  <c r="V48" i="2" s="1"/>
  <c r="B116" i="2"/>
  <c r="AE115" i="2"/>
  <c r="T115" i="2"/>
  <c r="N115" i="2"/>
  <c r="M115" i="2"/>
  <c r="H59" i="2"/>
  <c r="I59" i="2" s="1"/>
  <c r="AD114" i="2"/>
  <c r="W47" i="2"/>
  <c r="B117" i="2" l="1"/>
  <c r="M116" i="2"/>
  <c r="AE116" i="2"/>
  <c r="T116" i="2"/>
  <c r="N116" i="2"/>
  <c r="AD115" i="2"/>
  <c r="AF48" i="2"/>
  <c r="AG48" i="2" s="1"/>
  <c r="AH48" i="2" s="1"/>
  <c r="F60" i="2"/>
  <c r="O49" i="2" l="1"/>
  <c r="S49" i="2" s="1"/>
  <c r="U49" i="2" s="1"/>
  <c r="V49" i="2" s="1"/>
  <c r="AD116" i="2"/>
  <c r="H60" i="2"/>
  <c r="I60" i="2" s="1"/>
  <c r="B118" i="2"/>
  <c r="N117" i="2"/>
  <c r="M117" i="2"/>
  <c r="AE117" i="2"/>
  <c r="T117" i="2"/>
  <c r="W48" i="2"/>
  <c r="AD117" i="2" l="1"/>
  <c r="F61" i="2"/>
  <c r="B119" i="2"/>
  <c r="AE118" i="2"/>
  <c r="T118" i="2"/>
  <c r="N118" i="2"/>
  <c r="M118" i="2"/>
  <c r="AF49" i="2"/>
  <c r="AG49" i="2" s="1"/>
  <c r="AH49" i="2" s="1"/>
  <c r="O50" i="2" l="1"/>
  <c r="S50" i="2" s="1"/>
  <c r="U50" i="2" s="1"/>
  <c r="V50" i="2" s="1"/>
  <c r="AD118" i="2"/>
  <c r="B120" i="2"/>
  <c r="N119" i="2"/>
  <c r="M119" i="2"/>
  <c r="AE119" i="2"/>
  <c r="T119" i="2"/>
  <c r="W49" i="2"/>
  <c r="H61" i="2"/>
  <c r="I61" i="2" s="1"/>
  <c r="F62" i="2" l="1"/>
  <c r="B121" i="2"/>
  <c r="AE120" i="2"/>
  <c r="T120" i="2"/>
  <c r="N120" i="2"/>
  <c r="M120" i="2"/>
  <c r="AF50" i="2"/>
  <c r="AG50" i="2" s="1"/>
  <c r="AH50" i="2" s="1"/>
  <c r="AD119" i="2"/>
  <c r="O51" i="2" l="1"/>
  <c r="S51" i="2" s="1"/>
  <c r="W50" i="2"/>
  <c r="H62" i="2"/>
  <c r="I62" i="2" s="1"/>
  <c r="U51" i="2"/>
  <c r="V51" i="2" s="1"/>
  <c r="AD120" i="2"/>
  <c r="B122" i="2"/>
  <c r="AE121" i="2"/>
  <c r="T121" i="2"/>
  <c r="N121" i="2"/>
  <c r="M121" i="2"/>
  <c r="B123" i="2" l="1"/>
  <c r="N122" i="2"/>
  <c r="M122" i="2"/>
  <c r="AE122" i="2"/>
  <c r="T122" i="2"/>
  <c r="AF51" i="2"/>
  <c r="AG51" i="2" s="1"/>
  <c r="AH51" i="2" s="1"/>
  <c r="T51" i="2"/>
  <c r="G8" i="3" s="1"/>
  <c r="F63" i="2"/>
  <c r="AD121" i="2"/>
  <c r="O52" i="2" l="1"/>
  <c r="S52" i="2" s="1"/>
  <c r="H63" i="2"/>
  <c r="I63" i="2" s="1"/>
  <c r="B124" i="2"/>
  <c r="N123" i="2"/>
  <c r="M123" i="2"/>
  <c r="W51" i="2"/>
  <c r="AD122" i="2"/>
  <c r="U52" i="2" l="1"/>
  <c r="V52" i="2" s="1"/>
  <c r="B125" i="2"/>
  <c r="M124" i="2"/>
  <c r="AE124" i="2"/>
  <c r="T124" i="2"/>
  <c r="N124" i="2"/>
  <c r="AD123" i="2"/>
  <c r="F64" i="2"/>
  <c r="O53" i="2" l="1"/>
  <c r="S53" i="2" s="1"/>
  <c r="AF52" i="2"/>
  <c r="AG52" i="2" s="1"/>
  <c r="AH52" i="2" s="1"/>
  <c r="AE123" i="2"/>
  <c r="AD124" i="2"/>
  <c r="B126" i="2"/>
  <c r="N125" i="2"/>
  <c r="M125" i="2"/>
  <c r="AE125" i="2"/>
  <c r="T125" i="2"/>
  <c r="H64" i="2"/>
  <c r="P63" i="2"/>
  <c r="W52" i="2"/>
  <c r="U53" i="2" l="1"/>
  <c r="V53" i="2" s="1"/>
  <c r="I64" i="2"/>
  <c r="F65" i="2" s="1"/>
  <c r="AD125" i="2"/>
  <c r="B127" i="2"/>
  <c r="AE126" i="2"/>
  <c r="T126" i="2"/>
  <c r="N126" i="2"/>
  <c r="M126" i="2"/>
  <c r="O54" i="2" l="1"/>
  <c r="S54" i="2" s="1"/>
  <c r="AF53" i="2"/>
  <c r="AG53" i="2" s="1"/>
  <c r="AH53" i="2" s="1"/>
  <c r="H65" i="2"/>
  <c r="AD126" i="2"/>
  <c r="W53" i="2"/>
  <c r="AE127" i="2"/>
  <c r="N127" i="2"/>
  <c r="T127" i="2"/>
  <c r="M127" i="2"/>
  <c r="B128" i="2"/>
  <c r="U54" i="2" l="1"/>
  <c r="V54" i="2" s="1"/>
  <c r="I65" i="2"/>
  <c r="AE128" i="2"/>
  <c r="N128" i="2"/>
  <c r="B129" i="2"/>
  <c r="M128" i="2"/>
  <c r="T128" i="2"/>
  <c r="F66" i="2"/>
  <c r="AD127" i="2"/>
  <c r="O55" i="2" l="1"/>
  <c r="S55" i="2" s="1"/>
  <c r="AF54" i="2"/>
  <c r="AG54" i="2" s="1"/>
  <c r="AH54" i="2" s="1"/>
  <c r="AE129" i="2"/>
  <c r="N129" i="2"/>
  <c r="T129" i="2"/>
  <c r="B130" i="2"/>
  <c r="M129" i="2"/>
  <c r="H66" i="2"/>
  <c r="AD128" i="2"/>
  <c r="W54" i="2"/>
  <c r="U55" i="2" l="1"/>
  <c r="V55" i="2" s="1"/>
  <c r="I66" i="2"/>
  <c r="F67" i="2" s="1"/>
  <c r="AD130" i="2"/>
  <c r="AE130" i="2"/>
  <c r="N130" i="2"/>
  <c r="B131" i="2"/>
  <c r="M130" i="2"/>
  <c r="T130" i="2"/>
  <c r="AD129" i="2"/>
  <c r="O56" i="2" l="1"/>
  <c r="S56" i="2" s="1"/>
  <c r="AF55" i="2"/>
  <c r="AG55" i="2" s="1"/>
  <c r="AH55" i="2" s="1"/>
  <c r="W55" i="2"/>
  <c r="H67" i="2"/>
  <c r="AE131" i="2"/>
  <c r="N131" i="2"/>
  <c r="T131" i="2"/>
  <c r="B132" i="2"/>
  <c r="M131" i="2"/>
  <c r="U56" i="2" l="1"/>
  <c r="V56" i="2" s="1"/>
  <c r="I67" i="2"/>
  <c r="F68" i="2" s="1"/>
  <c r="AE132" i="2"/>
  <c r="N132" i="2"/>
  <c r="B133" i="2"/>
  <c r="M132" i="2"/>
  <c r="T132" i="2"/>
  <c r="AD131" i="2"/>
  <c r="O57" i="2" l="1"/>
  <c r="S57" i="2" s="1"/>
  <c r="AF56" i="2"/>
  <c r="AG56" i="2" s="1"/>
  <c r="AH56" i="2" s="1"/>
  <c r="AD132" i="2"/>
  <c r="AE133" i="2"/>
  <c r="N133" i="2"/>
  <c r="T133" i="2"/>
  <c r="M133" i="2"/>
  <c r="B134" i="2"/>
  <c r="W56" i="2"/>
  <c r="H68" i="2"/>
  <c r="U57" i="2" l="1"/>
  <c r="V57" i="2" s="1"/>
  <c r="I68" i="2"/>
  <c r="F69" i="2" s="1"/>
  <c r="AD133" i="2"/>
  <c r="AE134" i="2"/>
  <c r="N134" i="2"/>
  <c r="B135" i="2"/>
  <c r="M134" i="2"/>
  <c r="T134" i="2"/>
  <c r="O58" i="2" l="1"/>
  <c r="S58" i="2" s="1"/>
  <c r="AF57" i="2"/>
  <c r="AG57" i="2" s="1"/>
  <c r="AH57" i="2" s="1"/>
  <c r="AD134" i="2"/>
  <c r="N135" i="2"/>
  <c r="B136" i="2"/>
  <c r="M135" i="2"/>
  <c r="W57" i="2"/>
  <c r="H69" i="2"/>
  <c r="U58" i="2"/>
  <c r="V58" i="2" s="1"/>
  <c r="I69" i="2" l="1"/>
  <c r="AE136" i="2"/>
  <c r="N136" i="2"/>
  <c r="B137" i="2"/>
  <c r="M136" i="2"/>
  <c r="T136" i="2"/>
  <c r="AF58" i="2"/>
  <c r="AG58" i="2" s="1"/>
  <c r="AH58" i="2" s="1"/>
  <c r="F70" i="2"/>
  <c r="AD135" i="2"/>
  <c r="O59" i="2" l="1"/>
  <c r="S59" i="2" s="1"/>
  <c r="U59" i="2" s="1"/>
  <c r="V59" i="2" s="1"/>
  <c r="AE135" i="2"/>
  <c r="AD136" i="2"/>
  <c r="H70" i="2"/>
  <c r="I70" i="2" s="1"/>
  <c r="AE137" i="2"/>
  <c r="N137" i="2"/>
  <c r="T137" i="2"/>
  <c r="M137" i="2"/>
  <c r="B138" i="2"/>
  <c r="W58" i="2"/>
  <c r="F71" i="2" l="1"/>
  <c r="AE138" i="2"/>
  <c r="N138" i="2"/>
  <c r="T138" i="2"/>
  <c r="M138" i="2"/>
  <c r="B139" i="2"/>
  <c r="AD137" i="2"/>
  <c r="AF59" i="2"/>
  <c r="AG59" i="2" s="1"/>
  <c r="AH59" i="2" s="1"/>
  <c r="O60" i="2" l="1"/>
  <c r="S60" i="2" s="1"/>
  <c r="U60" i="2" s="1"/>
  <c r="V60" i="2" s="1"/>
  <c r="AE139" i="2"/>
  <c r="N139" i="2"/>
  <c r="B140" i="2"/>
  <c r="T139" i="2"/>
  <c r="M139" i="2"/>
  <c r="W59" i="2"/>
  <c r="H71" i="2"/>
  <c r="I71" i="2" s="1"/>
  <c r="AD138" i="2"/>
  <c r="AD139" i="2" l="1"/>
  <c r="AE140" i="2"/>
  <c r="N140" i="2"/>
  <c r="B141" i="2"/>
  <c r="M140" i="2"/>
  <c r="T140" i="2"/>
  <c r="AF60" i="2"/>
  <c r="AG60" i="2" s="1"/>
  <c r="AH60" i="2" s="1"/>
  <c r="F72" i="2"/>
  <c r="O61" i="2" l="1"/>
  <c r="S61" i="2" s="1"/>
  <c r="U61" i="2" s="1"/>
  <c r="V61" i="2" s="1"/>
  <c r="AE141" i="2"/>
  <c r="N141" i="2"/>
  <c r="T141" i="2"/>
  <c r="B142" i="2"/>
  <c r="M141" i="2"/>
  <c r="H72" i="2"/>
  <c r="I72" i="2" s="1"/>
  <c r="W60" i="2"/>
  <c r="AD140" i="2"/>
  <c r="AD141" i="2" l="1"/>
  <c r="AE142" i="2"/>
  <c r="N142" i="2"/>
  <c r="B143" i="2"/>
  <c r="T142" i="2"/>
  <c r="M142" i="2"/>
  <c r="AF61" i="2"/>
  <c r="AG61" i="2" s="1"/>
  <c r="AH61" i="2" s="1"/>
  <c r="F73" i="2"/>
  <c r="O62" i="2" l="1"/>
  <c r="S62" i="2" s="1"/>
  <c r="U62" i="2" s="1"/>
  <c r="V62" i="2" s="1"/>
  <c r="AD142" i="2"/>
  <c r="AE143" i="2"/>
  <c r="N143" i="2"/>
  <c r="T143" i="2"/>
  <c r="M143" i="2"/>
  <c r="B144" i="2"/>
  <c r="H73" i="2"/>
  <c r="I73" i="2" s="1"/>
  <c r="W61" i="2"/>
  <c r="F74" i="2" l="1"/>
  <c r="AE144" i="2"/>
  <c r="N144" i="2"/>
  <c r="B145" i="2"/>
  <c r="T144" i="2"/>
  <c r="M144" i="2"/>
  <c r="AD143" i="2"/>
  <c r="AF62" i="2"/>
  <c r="AG62" i="2" s="1"/>
  <c r="AH62" i="2" s="1"/>
  <c r="O63" i="2" l="1"/>
  <c r="S63" i="2" s="1"/>
  <c r="U63" i="2" s="1"/>
  <c r="V63" i="2" s="1"/>
  <c r="AD144" i="2"/>
  <c r="H74" i="2"/>
  <c r="I74" i="2" s="1"/>
  <c r="W62" i="2"/>
  <c r="AE145" i="2"/>
  <c r="N145" i="2"/>
  <c r="M145" i="2"/>
  <c r="B146" i="2"/>
  <c r="T145" i="2"/>
  <c r="AD145" i="2" l="1"/>
  <c r="AE146" i="2"/>
  <c r="N146" i="2"/>
  <c r="B147" i="2"/>
  <c r="M146" i="2"/>
  <c r="T146" i="2"/>
  <c r="AF63" i="2"/>
  <c r="AG63" i="2" s="1"/>
  <c r="AH63" i="2" s="1"/>
  <c r="T63" i="2"/>
  <c r="G9" i="3" s="1"/>
  <c r="F75" i="2"/>
  <c r="O64" i="2" l="1"/>
  <c r="S64" i="2" s="1"/>
  <c r="N147" i="2"/>
  <c r="B148" i="2"/>
  <c r="M147" i="2"/>
  <c r="H75" i="2"/>
  <c r="I75" i="2" s="1"/>
  <c r="W63" i="2"/>
  <c r="AD146" i="2"/>
  <c r="U64" i="2" l="1"/>
  <c r="V64" i="2" s="1"/>
  <c r="AD147" i="2"/>
  <c r="F76" i="2"/>
  <c r="AE148" i="2"/>
  <c r="N148" i="2"/>
  <c r="B149" i="2"/>
  <c r="M148" i="2"/>
  <c r="T148" i="2"/>
  <c r="O65" i="2" l="1"/>
  <c r="S65" i="2" s="1"/>
  <c r="AF64" i="2"/>
  <c r="AG64" i="2" s="1"/>
  <c r="AH64" i="2" s="1"/>
  <c r="AE147" i="2"/>
  <c r="AD148" i="2"/>
  <c r="AE149" i="2"/>
  <c r="N149" i="2"/>
  <c r="T149" i="2"/>
  <c r="B150" i="2"/>
  <c r="M149" i="2"/>
  <c r="W64" i="2"/>
  <c r="H76" i="2"/>
  <c r="P75" i="2"/>
  <c r="U65" i="2" l="1"/>
  <c r="V65" i="2" s="1"/>
  <c r="I76" i="2"/>
  <c r="F77" i="2" s="1"/>
  <c r="AE150" i="2"/>
  <c r="N150" i="2"/>
  <c r="B151" i="2"/>
  <c r="T150" i="2"/>
  <c r="M150" i="2"/>
  <c r="AD149" i="2"/>
  <c r="O66" i="2" l="1"/>
  <c r="S66" i="2" s="1"/>
  <c r="AF65" i="2"/>
  <c r="AG65" i="2" s="1"/>
  <c r="AH65" i="2" s="1"/>
  <c r="AD150" i="2"/>
  <c r="AE151" i="2"/>
  <c r="N151" i="2"/>
  <c r="T151" i="2"/>
  <c r="M151" i="2"/>
  <c r="B152" i="2"/>
  <c r="H77" i="2"/>
  <c r="W65" i="2"/>
  <c r="U66" i="2" l="1"/>
  <c r="V66" i="2" s="1"/>
  <c r="I77" i="2"/>
  <c r="F78" i="2" s="1"/>
  <c r="AD151" i="2"/>
  <c r="AE152" i="2"/>
  <c r="N152" i="2"/>
  <c r="M152" i="2"/>
  <c r="T152" i="2"/>
  <c r="B153" i="2"/>
  <c r="O67" i="2" l="1"/>
  <c r="S67" i="2" s="1"/>
  <c r="AF66" i="2"/>
  <c r="AG66" i="2" s="1"/>
  <c r="AH66" i="2" s="1"/>
  <c r="AD152" i="2"/>
  <c r="W66" i="2"/>
  <c r="H78" i="2"/>
  <c r="AE153" i="2"/>
  <c r="N153" i="2"/>
  <c r="T153" i="2"/>
  <c r="B154" i="2"/>
  <c r="M153" i="2"/>
  <c r="U67" i="2" l="1"/>
  <c r="V67" i="2" s="1"/>
  <c r="I78" i="2"/>
  <c r="F79" i="2" s="1"/>
  <c r="AD153" i="2"/>
  <c r="AE154" i="2"/>
  <c r="N154" i="2"/>
  <c r="B155" i="2"/>
  <c r="M154" i="2"/>
  <c r="T154" i="2"/>
  <c r="O68" i="2" l="1"/>
  <c r="S68" i="2" s="1"/>
  <c r="AF67" i="2"/>
  <c r="AG67" i="2" s="1"/>
  <c r="AH67" i="2" s="1"/>
  <c r="AD154" i="2"/>
  <c r="AE155" i="2"/>
  <c r="N155" i="2"/>
  <c r="B156" i="2"/>
  <c r="M155" i="2"/>
  <c r="T155" i="2"/>
  <c r="W67" i="2"/>
  <c r="H79" i="2"/>
  <c r="U68" i="2" l="1"/>
  <c r="V68" i="2" s="1"/>
  <c r="I79" i="2"/>
  <c r="F80" i="2" s="1"/>
  <c r="AD155" i="2"/>
  <c r="AE156" i="2"/>
  <c r="N156" i="2"/>
  <c r="T156" i="2"/>
  <c r="B157" i="2"/>
  <c r="M156" i="2"/>
  <c r="O69" i="2" l="1"/>
  <c r="S69" i="2" s="1"/>
  <c r="AF68" i="2"/>
  <c r="AG68" i="2" s="1"/>
  <c r="AH68" i="2" s="1"/>
  <c r="W68" i="2"/>
  <c r="AD156" i="2"/>
  <c r="H80" i="2"/>
  <c r="AE157" i="2"/>
  <c r="N157" i="2"/>
  <c r="T157" i="2"/>
  <c r="M157" i="2"/>
  <c r="B158" i="2"/>
  <c r="U69" i="2" l="1"/>
  <c r="V69" i="2" s="1"/>
  <c r="I80" i="2"/>
  <c r="F81" i="2" s="1"/>
  <c r="AD157" i="2"/>
  <c r="AE158" i="2"/>
  <c r="N158" i="2"/>
  <c r="T158" i="2"/>
  <c r="B159" i="2"/>
  <c r="M158" i="2"/>
  <c r="O70" i="2" l="1"/>
  <c r="S70" i="2" s="1"/>
  <c r="U70" i="2" s="1"/>
  <c r="V70" i="2" s="1"/>
  <c r="AF69" i="2"/>
  <c r="AG69" i="2" s="1"/>
  <c r="AH69" i="2" s="1"/>
  <c r="H81" i="2"/>
  <c r="AD158" i="2"/>
  <c r="N159" i="2"/>
  <c r="M159" i="2"/>
  <c r="B160" i="2"/>
  <c r="W69" i="2"/>
  <c r="I81" i="2" l="1"/>
  <c r="F82" i="2" s="1"/>
  <c r="AE160" i="2"/>
  <c r="N160" i="2"/>
  <c r="T160" i="2"/>
  <c r="M160" i="2"/>
  <c r="B161" i="2"/>
  <c r="AF70" i="2"/>
  <c r="AG70" i="2" s="1"/>
  <c r="AH70" i="2" s="1"/>
  <c r="AD159" i="2"/>
  <c r="O71" i="2" l="1"/>
  <c r="S71" i="2" s="1"/>
  <c r="U71" i="2" s="1"/>
  <c r="V71" i="2" s="1"/>
  <c r="AE159" i="2"/>
  <c r="W70" i="2"/>
  <c r="AE161" i="2"/>
  <c r="N161" i="2"/>
  <c r="B162" i="2"/>
  <c r="M161" i="2"/>
  <c r="T161" i="2"/>
  <c r="H82" i="2"/>
  <c r="I82" i="2" s="1"/>
  <c r="AF71" i="2" l="1"/>
  <c r="AG71" i="2" s="1"/>
  <c r="AH71" i="2" s="1"/>
  <c r="AD161" i="2"/>
  <c r="F83" i="2"/>
  <c r="AE162" i="2"/>
  <c r="N162" i="2"/>
  <c r="B163" i="2"/>
  <c r="M162" i="2"/>
  <c r="T162" i="2"/>
  <c r="O72" i="2" l="1"/>
  <c r="S72" i="2" s="1"/>
  <c r="U72" i="2" s="1"/>
  <c r="V72" i="2" s="1"/>
  <c r="AD160" i="2"/>
  <c r="AD162" i="2"/>
  <c r="AE163" i="2"/>
  <c r="N163" i="2"/>
  <c r="B164" i="2"/>
  <c r="M163" i="2"/>
  <c r="T163" i="2"/>
  <c r="H83" i="2"/>
  <c r="I83" i="2" s="1"/>
  <c r="W71" i="2"/>
  <c r="AE164" i="2" l="1"/>
  <c r="N164" i="2"/>
  <c r="T164" i="2"/>
  <c r="B165" i="2"/>
  <c r="M164" i="2"/>
  <c r="AF72" i="2"/>
  <c r="AG72" i="2" s="1"/>
  <c r="AH72" i="2" s="1"/>
  <c r="F84" i="2"/>
  <c r="AD163" i="2"/>
  <c r="O73" i="2" l="1"/>
  <c r="S73" i="2" s="1"/>
  <c r="U73" i="2" s="1"/>
  <c r="V73" i="2" s="1"/>
  <c r="H84" i="2"/>
  <c r="I84" i="2" s="1"/>
  <c r="W72" i="2"/>
  <c r="AE165" i="2"/>
  <c r="N165" i="2"/>
  <c r="T165" i="2"/>
  <c r="AD165" i="2"/>
  <c r="M165" i="2"/>
  <c r="B166" i="2"/>
  <c r="AD164" i="2"/>
  <c r="AE166" i="2" l="1"/>
  <c r="N166" i="2"/>
  <c r="T166" i="2"/>
  <c r="B167" i="2"/>
  <c r="M166" i="2"/>
  <c r="AF73" i="2"/>
  <c r="AG73" i="2" s="1"/>
  <c r="AH73" i="2" s="1"/>
  <c r="F85" i="2"/>
  <c r="O74" i="2" l="1"/>
  <c r="S74" i="2" s="1"/>
  <c r="U74" i="2" s="1"/>
  <c r="V74" i="2" s="1"/>
  <c r="AD166" i="2"/>
  <c r="H85" i="2"/>
  <c r="I85" i="2" s="1"/>
  <c r="W73" i="2"/>
  <c r="AE167" i="2"/>
  <c r="N167" i="2"/>
  <c r="T167" i="2"/>
  <c r="M167" i="2"/>
  <c r="B168" i="2"/>
  <c r="AD167" i="2" l="1"/>
  <c r="AE168" i="2"/>
  <c r="N168" i="2"/>
  <c r="M168" i="2"/>
  <c r="B169" i="2"/>
  <c r="T168" i="2"/>
  <c r="AF74" i="2"/>
  <c r="AG74" i="2" s="1"/>
  <c r="AH74" i="2" s="1"/>
  <c r="F86" i="2"/>
  <c r="O75" i="2" l="1"/>
  <c r="S75" i="2" s="1"/>
  <c r="U75" i="2" s="1"/>
  <c r="V75" i="2" s="1"/>
  <c r="AD168" i="2"/>
  <c r="AE169" i="2"/>
  <c r="N169" i="2"/>
  <c r="B170" i="2"/>
  <c r="M169" i="2"/>
  <c r="T169" i="2"/>
  <c r="H86" i="2"/>
  <c r="I86" i="2" s="1"/>
  <c r="W74" i="2"/>
  <c r="AD170" i="2" l="1"/>
  <c r="AE170" i="2"/>
  <c r="N170" i="2"/>
  <c r="B171" i="2"/>
  <c r="M170" i="2"/>
  <c r="T170" i="2"/>
  <c r="AF75" i="2"/>
  <c r="AG75" i="2" s="1"/>
  <c r="AH75" i="2" s="1"/>
  <c r="T75" i="2"/>
  <c r="G10" i="3" s="1"/>
  <c r="F87" i="2"/>
  <c r="AD169" i="2"/>
  <c r="O76" i="2" l="1"/>
  <c r="S76" i="2" s="1"/>
  <c r="W75" i="2"/>
  <c r="H87" i="2"/>
  <c r="I87" i="2" s="1"/>
  <c r="N171" i="2"/>
  <c r="B172" i="2"/>
  <c r="M171" i="2"/>
  <c r="U76" i="2" l="1"/>
  <c r="V76" i="2" s="1"/>
  <c r="AE172" i="2"/>
  <c r="N172" i="2"/>
  <c r="T172" i="2"/>
  <c r="B173" i="2"/>
  <c r="M172" i="2"/>
  <c r="F88" i="2"/>
  <c r="AD171" i="2"/>
  <c r="O77" i="2" l="1"/>
  <c r="S77" i="2" s="1"/>
  <c r="AF76" i="2"/>
  <c r="AG76" i="2" s="1"/>
  <c r="AH76" i="2" s="1"/>
  <c r="AE171" i="2"/>
  <c r="AE173" i="2"/>
  <c r="N173" i="2"/>
  <c r="T173" i="2"/>
  <c r="M173" i="2"/>
  <c r="B174" i="2"/>
  <c r="H88" i="2"/>
  <c r="P87" i="2"/>
  <c r="AD172" i="2"/>
  <c r="W76" i="2"/>
  <c r="U77" i="2" l="1"/>
  <c r="V77" i="2" s="1"/>
  <c r="I88" i="2"/>
  <c r="F89" i="2" s="1"/>
  <c r="AD173" i="2"/>
  <c r="AE174" i="2"/>
  <c r="N174" i="2"/>
  <c r="T174" i="2"/>
  <c r="B175" i="2"/>
  <c r="M174" i="2"/>
  <c r="O78" i="2" l="1"/>
  <c r="S78" i="2" s="1"/>
  <c r="AF77" i="2"/>
  <c r="AG77" i="2" s="1"/>
  <c r="AH77" i="2" s="1"/>
  <c r="AD174" i="2"/>
  <c r="AE175" i="2"/>
  <c r="N175" i="2"/>
  <c r="T175" i="2"/>
  <c r="M175" i="2"/>
  <c r="B176" i="2"/>
  <c r="W77" i="2"/>
  <c r="H89" i="2"/>
  <c r="U78" i="2" l="1"/>
  <c r="V78" i="2" s="1"/>
  <c r="I89" i="2"/>
  <c r="F90" i="2" s="1"/>
  <c r="AE176" i="2"/>
  <c r="N176" i="2"/>
  <c r="T176" i="2"/>
  <c r="M176" i="2"/>
  <c r="B177" i="2"/>
  <c r="AD175" i="2"/>
  <c r="O79" i="2" l="1"/>
  <c r="S79" i="2" s="1"/>
  <c r="AF78" i="2"/>
  <c r="AG78" i="2" s="1"/>
  <c r="AH78" i="2" s="1"/>
  <c r="AD176" i="2"/>
  <c r="W78" i="2"/>
  <c r="H90" i="2"/>
  <c r="AE177" i="2"/>
  <c r="N177" i="2"/>
  <c r="B178" i="2"/>
  <c r="M177" i="2"/>
  <c r="T177" i="2"/>
  <c r="U79" i="2" l="1"/>
  <c r="V79" i="2" s="1"/>
  <c r="I90" i="2"/>
  <c r="AD177" i="2"/>
  <c r="F91" i="2"/>
  <c r="AE178" i="2"/>
  <c r="N178" i="2"/>
  <c r="B179" i="2"/>
  <c r="M178" i="2"/>
  <c r="T178" i="2"/>
  <c r="O80" i="2" l="1"/>
  <c r="S80" i="2" s="1"/>
  <c r="AF79" i="2"/>
  <c r="AG79" i="2" s="1"/>
  <c r="AH79" i="2" s="1"/>
  <c r="AD178" i="2"/>
  <c r="W79" i="2"/>
  <c r="AE179" i="2"/>
  <c r="N179" i="2"/>
  <c r="B180" i="2"/>
  <c r="M179" i="2"/>
  <c r="T179" i="2"/>
  <c r="H91" i="2"/>
  <c r="U80" i="2" l="1"/>
  <c r="V80" i="2" s="1"/>
  <c r="I91" i="2"/>
  <c r="AE180" i="2"/>
  <c r="N180" i="2"/>
  <c r="T180" i="2"/>
  <c r="B181" i="2"/>
  <c r="M180" i="2"/>
  <c r="F92" i="2"/>
  <c r="AD179" i="2"/>
  <c r="O81" i="2" l="1"/>
  <c r="S81" i="2" s="1"/>
  <c r="AF80" i="2"/>
  <c r="AG80" i="2" s="1"/>
  <c r="AH80" i="2" s="1"/>
  <c r="H92" i="2"/>
  <c r="AD180" i="2"/>
  <c r="W80" i="2"/>
  <c r="AE181" i="2"/>
  <c r="N181" i="2"/>
  <c r="T181" i="2"/>
  <c r="M181" i="2"/>
  <c r="B182" i="2"/>
  <c r="U81" i="2" l="1"/>
  <c r="V81" i="2" s="1"/>
  <c r="I92" i="2"/>
  <c r="F93" i="2" s="1"/>
  <c r="AD181" i="2"/>
  <c r="AE182" i="2"/>
  <c r="N182" i="2"/>
  <c r="T182" i="2"/>
  <c r="B183" i="2"/>
  <c r="M182" i="2"/>
  <c r="O82" i="2" l="1"/>
  <c r="S82" i="2" s="1"/>
  <c r="U82" i="2" s="1"/>
  <c r="V82" i="2" s="1"/>
  <c r="AF81" i="2"/>
  <c r="AG81" i="2" s="1"/>
  <c r="AH81" i="2" s="1"/>
  <c r="H93" i="2"/>
  <c r="W81" i="2"/>
  <c r="AD182" i="2"/>
  <c r="N183" i="2"/>
  <c r="B184" i="2"/>
  <c r="M183" i="2"/>
  <c r="I93" i="2" l="1"/>
  <c r="F94" i="2" s="1"/>
  <c r="AD183" i="2"/>
  <c r="AE184" i="2"/>
  <c r="N184" i="2"/>
  <c r="B185" i="2"/>
  <c r="T184" i="2"/>
  <c r="M184" i="2"/>
  <c r="AF82" i="2"/>
  <c r="AG82" i="2" s="1"/>
  <c r="AH82" i="2" s="1"/>
  <c r="O83" i="2" l="1"/>
  <c r="S83" i="2" s="1"/>
  <c r="U83" i="2" s="1"/>
  <c r="V83" i="2" s="1"/>
  <c r="AE183" i="2"/>
  <c r="AD184" i="2"/>
  <c r="AE185" i="2"/>
  <c r="N185" i="2"/>
  <c r="B186" i="2"/>
  <c r="M185" i="2"/>
  <c r="T185" i="2"/>
  <c r="H94" i="2"/>
  <c r="I94" i="2" s="1"/>
  <c r="W82" i="2"/>
  <c r="AD185" i="2" l="1"/>
  <c r="F95" i="2"/>
  <c r="AE186" i="2"/>
  <c r="N186" i="2"/>
  <c r="B187" i="2"/>
  <c r="M186" i="2"/>
  <c r="T186" i="2"/>
  <c r="AF83" i="2"/>
  <c r="AG83" i="2" s="1"/>
  <c r="AH83" i="2" s="1"/>
  <c r="O84" i="2" l="1"/>
  <c r="S84" i="2" s="1"/>
  <c r="U84" i="2" s="1"/>
  <c r="V84" i="2" s="1"/>
  <c r="W83" i="2"/>
  <c r="AD186" i="2"/>
  <c r="AE187" i="2"/>
  <c r="N187" i="2"/>
  <c r="B188" i="2"/>
  <c r="M187" i="2"/>
  <c r="T187" i="2"/>
  <c r="H95" i="2"/>
  <c r="I95" i="2" s="1"/>
  <c r="AD187" i="2" l="1"/>
  <c r="AF84" i="2"/>
  <c r="AG84" i="2" s="1"/>
  <c r="AH84" i="2" s="1"/>
  <c r="F96" i="2"/>
  <c r="AE188" i="2"/>
  <c r="N188" i="2"/>
  <c r="T188" i="2"/>
  <c r="B189" i="2"/>
  <c r="M188" i="2"/>
  <c r="O85" i="2" l="1"/>
  <c r="S85" i="2" s="1"/>
  <c r="U85" i="2" s="1"/>
  <c r="V85" i="2" s="1"/>
  <c r="H96" i="2"/>
  <c r="I96" i="2" s="1"/>
  <c r="AD188" i="2"/>
  <c r="W84" i="2"/>
  <c r="AE189" i="2"/>
  <c r="N189" i="2"/>
  <c r="T189" i="2"/>
  <c r="B190" i="2"/>
  <c r="M189" i="2"/>
  <c r="AD189" i="2" l="1"/>
  <c r="AE190" i="2"/>
  <c r="N190" i="2"/>
  <c r="T190" i="2"/>
  <c r="B191" i="2"/>
  <c r="M190" i="2"/>
  <c r="F97" i="2"/>
  <c r="AF85" i="2"/>
  <c r="AG85" i="2" s="1"/>
  <c r="AH85" i="2" s="1"/>
  <c r="O86" i="2" l="1"/>
  <c r="S86" i="2" s="1"/>
  <c r="U86" i="2" s="1"/>
  <c r="V86" i="2" s="1"/>
  <c r="H97" i="2"/>
  <c r="I97" i="2" s="1"/>
  <c r="AD190" i="2"/>
  <c r="W85" i="2"/>
  <c r="AE191" i="2"/>
  <c r="N191" i="2"/>
  <c r="T191" i="2"/>
  <c r="B192" i="2"/>
  <c r="M191" i="2"/>
  <c r="AD191" i="2" l="1"/>
  <c r="AF86" i="2"/>
  <c r="AG86" i="2" s="1"/>
  <c r="AH86" i="2" s="1"/>
  <c r="AE192" i="2"/>
  <c r="N192" i="2"/>
  <c r="M192" i="2"/>
  <c r="B193" i="2"/>
  <c r="T192" i="2"/>
  <c r="F98" i="2"/>
  <c r="O87" i="2" l="1"/>
  <c r="S87" i="2" s="1"/>
  <c r="U87" i="2" s="1"/>
  <c r="V87" i="2" s="1"/>
  <c r="AD192" i="2"/>
  <c r="W86" i="2"/>
  <c r="AE193" i="2"/>
  <c r="N193" i="2"/>
  <c r="B194" i="2"/>
  <c r="M193" i="2"/>
  <c r="T193" i="2"/>
  <c r="H98" i="2"/>
  <c r="I98" i="2" s="1"/>
  <c r="AF87" i="2" l="1"/>
  <c r="AG87" i="2" s="1"/>
  <c r="AH87" i="2" s="1"/>
  <c r="T87" i="2"/>
  <c r="G11" i="3" s="1"/>
  <c r="F99" i="2"/>
  <c r="AD193" i="2"/>
  <c r="AE194" i="2"/>
  <c r="N194" i="2"/>
  <c r="B195" i="2"/>
  <c r="M194" i="2"/>
  <c r="T194" i="2"/>
  <c r="O88" i="2" l="1"/>
  <c r="S88" i="2" s="1"/>
  <c r="N195" i="2"/>
  <c r="B196" i="2"/>
  <c r="M195" i="2"/>
  <c r="H99" i="2"/>
  <c r="I99" i="2" s="1"/>
  <c r="W87" i="2"/>
  <c r="AD194" i="2"/>
  <c r="U88" i="2" l="1"/>
  <c r="V88" i="2" s="1"/>
  <c r="AD195" i="2"/>
  <c r="AE196" i="2"/>
  <c r="N196" i="2"/>
  <c r="T196" i="2"/>
  <c r="B197" i="2"/>
  <c r="M196" i="2"/>
  <c r="F100" i="2"/>
  <c r="O89" i="2" l="1"/>
  <c r="S89" i="2" s="1"/>
  <c r="AF88" i="2"/>
  <c r="AG88" i="2" s="1"/>
  <c r="AH88" i="2" s="1"/>
  <c r="AE195" i="2"/>
  <c r="W88" i="2"/>
  <c r="AE197" i="2"/>
  <c r="N197" i="2"/>
  <c r="T197" i="2"/>
  <c r="B198" i="2"/>
  <c r="M197" i="2"/>
  <c r="H100" i="2"/>
  <c r="P99" i="2"/>
  <c r="AD196" i="2"/>
  <c r="U89" i="2" l="1"/>
  <c r="V89" i="2" s="1"/>
  <c r="I100" i="2"/>
  <c r="F101" i="2" s="1"/>
  <c r="AD197" i="2"/>
  <c r="AE198" i="2"/>
  <c r="N198" i="2"/>
  <c r="T198" i="2"/>
  <c r="B199" i="2"/>
  <c r="M198" i="2"/>
  <c r="O90" i="2" l="1"/>
  <c r="S90" i="2" s="1"/>
  <c r="AF89" i="2"/>
  <c r="AG89" i="2" s="1"/>
  <c r="AH89" i="2" s="1"/>
  <c r="AE199" i="2"/>
  <c r="N199" i="2"/>
  <c r="T199" i="2"/>
  <c r="B200" i="2"/>
  <c r="M199" i="2"/>
  <c r="H101" i="2"/>
  <c r="W89" i="2"/>
  <c r="AD198" i="2"/>
  <c r="I101" i="2" l="1"/>
  <c r="U90" i="2"/>
  <c r="V90" i="2" s="1"/>
  <c r="AD199" i="2"/>
  <c r="AE200" i="2"/>
  <c r="N200" i="2"/>
  <c r="B201" i="2"/>
  <c r="T200" i="2"/>
  <c r="M200" i="2"/>
  <c r="F102" i="2"/>
  <c r="O91" i="2" l="1"/>
  <c r="S91" i="2" s="1"/>
  <c r="AF90" i="2"/>
  <c r="AG90" i="2" s="1"/>
  <c r="AH90" i="2" s="1"/>
  <c r="AD200" i="2"/>
  <c r="AE201" i="2"/>
  <c r="N201" i="2"/>
  <c r="B202" i="2"/>
  <c r="M201" i="2"/>
  <c r="T201" i="2"/>
  <c r="H102" i="2"/>
  <c r="W90" i="2"/>
  <c r="U91" i="2" l="1"/>
  <c r="V91" i="2" s="1"/>
  <c r="I102" i="2"/>
  <c r="F103" i="2" s="1"/>
  <c r="AE202" i="2"/>
  <c r="N202" i="2"/>
  <c r="B203" i="2"/>
  <c r="M202" i="2"/>
  <c r="T202" i="2"/>
  <c r="AD201" i="2"/>
  <c r="O92" i="2" l="1"/>
  <c r="S92" i="2" s="1"/>
  <c r="AF91" i="2"/>
  <c r="AG91" i="2" s="1"/>
  <c r="AH91" i="2" s="1"/>
  <c r="AD202" i="2"/>
  <c r="H103" i="2"/>
  <c r="AE203" i="2"/>
  <c r="N203" i="2"/>
  <c r="B204" i="2"/>
  <c r="M203" i="2"/>
  <c r="T203" i="2"/>
  <c r="W91" i="2"/>
  <c r="U92" i="2" l="1"/>
  <c r="V92" i="2" s="1"/>
  <c r="I103" i="2"/>
  <c r="F104" i="2" s="1"/>
  <c r="AD203" i="2"/>
  <c r="AE204" i="2"/>
  <c r="N204" i="2"/>
  <c r="T204" i="2"/>
  <c r="B205" i="2"/>
  <c r="M204" i="2"/>
  <c r="O93" i="2" l="1"/>
  <c r="S93" i="2" s="1"/>
  <c r="AF92" i="2"/>
  <c r="AG92" i="2" s="1"/>
  <c r="AH92" i="2" s="1"/>
  <c r="AD204" i="2"/>
  <c r="AE205" i="2"/>
  <c r="N205" i="2"/>
  <c r="T205" i="2"/>
  <c r="B206" i="2"/>
  <c r="M205" i="2"/>
  <c r="W92" i="2"/>
  <c r="H104" i="2"/>
  <c r="U93" i="2" l="1"/>
  <c r="V93" i="2" s="1"/>
  <c r="I104" i="2"/>
  <c r="F105" i="2" s="1"/>
  <c r="AD205" i="2"/>
  <c r="AE206" i="2"/>
  <c r="N206" i="2"/>
  <c r="T206" i="2"/>
  <c r="B207" i="2"/>
  <c r="M206" i="2"/>
  <c r="O94" i="2" l="1"/>
  <c r="S94" i="2" s="1"/>
  <c r="AF93" i="2"/>
  <c r="AG93" i="2" s="1"/>
  <c r="AH93" i="2" s="1"/>
  <c r="AD206" i="2"/>
  <c r="N207" i="2"/>
  <c r="B208" i="2"/>
  <c r="M207" i="2"/>
  <c r="H105" i="2"/>
  <c r="U94" i="2"/>
  <c r="V94" i="2" s="1"/>
  <c r="W93" i="2"/>
  <c r="I105" i="2" l="1"/>
  <c r="AF94" i="2"/>
  <c r="AG94" i="2" s="1"/>
  <c r="AH94" i="2" s="1"/>
  <c r="AD207" i="2"/>
  <c r="AE208" i="2"/>
  <c r="N208" i="2"/>
  <c r="M208" i="2"/>
  <c r="B209" i="2"/>
  <c r="T208" i="2"/>
  <c r="F106" i="2"/>
  <c r="O95" i="2" l="1"/>
  <c r="S95" i="2" s="1"/>
  <c r="U95" i="2" s="1"/>
  <c r="V95" i="2" s="1"/>
  <c r="AE207" i="2"/>
  <c r="AD208" i="2"/>
  <c r="H106" i="2"/>
  <c r="I106" i="2" s="1"/>
  <c r="W94" i="2"/>
  <c r="AE209" i="2"/>
  <c r="N209" i="2"/>
  <c r="B210" i="2"/>
  <c r="M209" i="2"/>
  <c r="T209" i="2"/>
  <c r="AD209" i="2" l="1"/>
  <c r="AF95" i="2"/>
  <c r="AG95" i="2" s="1"/>
  <c r="AH95" i="2" s="1"/>
  <c r="F107" i="2"/>
  <c r="AE210" i="2"/>
  <c r="N210" i="2"/>
  <c r="B211" i="2"/>
  <c r="M210" i="2"/>
  <c r="T210" i="2"/>
  <c r="O96" i="2" l="1"/>
  <c r="S96" i="2" s="1"/>
  <c r="U96" i="2" s="1"/>
  <c r="V96" i="2" s="1"/>
  <c r="AD210" i="2"/>
  <c r="W95" i="2"/>
  <c r="H107" i="2"/>
  <c r="I107" i="2" s="1"/>
  <c r="AE211" i="2"/>
  <c r="N211" i="2"/>
  <c r="B212" i="2"/>
  <c r="M211" i="2"/>
  <c r="T211" i="2"/>
  <c r="AF96" i="2" l="1"/>
  <c r="AG96" i="2" s="1"/>
  <c r="AH96" i="2" s="1"/>
  <c r="F108" i="2"/>
  <c r="AD211" i="2"/>
  <c r="AE212" i="2"/>
  <c r="N212" i="2"/>
  <c r="T212" i="2"/>
  <c r="B213" i="2"/>
  <c r="M212" i="2"/>
  <c r="O97" i="2" l="1"/>
  <c r="S97" i="2" s="1"/>
  <c r="W96" i="2"/>
  <c r="H108" i="2"/>
  <c r="I108" i="2" s="1"/>
  <c r="U97" i="2"/>
  <c r="V97" i="2" s="1"/>
  <c r="AE213" i="2"/>
  <c r="N213" i="2"/>
  <c r="T213" i="2"/>
  <c r="B214" i="2"/>
  <c r="M213" i="2"/>
  <c r="AD213" i="2" l="1"/>
  <c r="AF97" i="2"/>
  <c r="AG97" i="2" s="1"/>
  <c r="AH97" i="2" s="1"/>
  <c r="AE214" i="2"/>
  <c r="N214" i="2"/>
  <c r="T214" i="2"/>
  <c r="B215" i="2"/>
  <c r="M214" i="2"/>
  <c r="F109" i="2"/>
  <c r="O98" i="2" l="1"/>
  <c r="S98" i="2" s="1"/>
  <c r="U98" i="2" s="1"/>
  <c r="V98" i="2" s="1"/>
  <c r="AD212" i="2"/>
  <c r="AD214" i="2"/>
  <c r="H109" i="2"/>
  <c r="I109" i="2" s="1"/>
  <c r="AE215" i="2"/>
  <c r="N215" i="2"/>
  <c r="B216" i="2"/>
  <c r="M215" i="2"/>
  <c r="T215" i="2"/>
  <c r="W97" i="2"/>
  <c r="AD215" i="2" l="1"/>
  <c r="AF98" i="2"/>
  <c r="AG98" i="2" s="1"/>
  <c r="AH98" i="2" s="1"/>
  <c r="F110" i="2"/>
  <c r="AE216" i="2"/>
  <c r="N216" i="2"/>
  <c r="T216" i="2"/>
  <c r="M216" i="2"/>
  <c r="B217" i="2"/>
  <c r="O99" i="2" l="1"/>
  <c r="S99" i="2" s="1"/>
  <c r="U99" i="2" s="1"/>
  <c r="V99" i="2" s="1"/>
  <c r="H110" i="2"/>
  <c r="I110" i="2" s="1"/>
  <c r="AE217" i="2"/>
  <c r="N217" i="2"/>
  <c r="B218" i="2"/>
  <c r="M217" i="2"/>
  <c r="T217" i="2"/>
  <c r="AD216" i="2"/>
  <c r="W98" i="2"/>
  <c r="AD217" i="2" l="1"/>
  <c r="AE218" i="2"/>
  <c r="N218" i="2"/>
  <c r="B219" i="2"/>
  <c r="M218" i="2"/>
  <c r="T218" i="2"/>
  <c r="AF99" i="2"/>
  <c r="AG99" i="2" s="1"/>
  <c r="AH99" i="2" s="1"/>
  <c r="T99" i="2"/>
  <c r="G12" i="3" s="1"/>
  <c r="F111" i="2"/>
  <c r="O100" i="2" l="1"/>
  <c r="S100" i="2" s="1"/>
  <c r="AD218" i="2"/>
  <c r="H111" i="2"/>
  <c r="I111" i="2" s="1"/>
  <c r="W99" i="2"/>
  <c r="N219" i="2"/>
  <c r="B220" i="2"/>
  <c r="M219" i="2"/>
  <c r="U100" i="2" l="1"/>
  <c r="V100" i="2" s="1"/>
  <c r="F112" i="2"/>
  <c r="AE220" i="2"/>
  <c r="N220" i="2"/>
  <c r="M220" i="2"/>
  <c r="B221" i="2"/>
  <c r="T220" i="2"/>
  <c r="AD219" i="2"/>
  <c r="O101" i="2" l="1"/>
  <c r="S101" i="2" s="1"/>
  <c r="AF100" i="2"/>
  <c r="AG100" i="2" s="1"/>
  <c r="AH100" i="2" s="1"/>
  <c r="AD221" i="2"/>
  <c r="AE219" i="2"/>
  <c r="H112" i="2"/>
  <c r="P111" i="2"/>
  <c r="W100" i="2"/>
  <c r="AE221" i="2"/>
  <c r="N221" i="2"/>
  <c r="M221" i="2"/>
  <c r="B222" i="2"/>
  <c r="T221" i="2"/>
  <c r="AD220" i="2"/>
  <c r="U101" i="2" l="1"/>
  <c r="V101" i="2" s="1"/>
  <c r="I112" i="2"/>
  <c r="AE222" i="2"/>
  <c r="N222" i="2"/>
  <c r="M222" i="2"/>
  <c r="B223" i="2"/>
  <c r="T222" i="2"/>
  <c r="F113" i="2"/>
  <c r="O102" i="2" l="1"/>
  <c r="S102" i="2" s="1"/>
  <c r="AF101" i="2"/>
  <c r="AG101" i="2" s="1"/>
  <c r="AH101" i="2" s="1"/>
  <c r="AD222" i="2"/>
  <c r="H113" i="2"/>
  <c r="AE223" i="2"/>
  <c r="N223" i="2"/>
  <c r="M223" i="2"/>
  <c r="B224" i="2"/>
  <c r="T223" i="2"/>
  <c r="W101" i="2"/>
  <c r="U102" i="2" l="1"/>
  <c r="V102" i="2" s="1"/>
  <c r="I113" i="2"/>
  <c r="AE224" i="2"/>
  <c r="N224" i="2"/>
  <c r="M224" i="2"/>
  <c r="B225" i="2"/>
  <c r="T224" i="2"/>
  <c r="F114" i="2"/>
  <c r="AD223" i="2"/>
  <c r="O103" i="2" l="1"/>
  <c r="S103" i="2" s="1"/>
  <c r="AF102" i="2"/>
  <c r="AG102" i="2" s="1"/>
  <c r="AH102" i="2" s="1"/>
  <c r="AD224" i="2"/>
  <c r="W102" i="2"/>
  <c r="H114" i="2"/>
  <c r="AE225" i="2"/>
  <c r="N225" i="2"/>
  <c r="M225" i="2"/>
  <c r="B226" i="2"/>
  <c r="T225" i="2"/>
  <c r="U103" i="2" l="1"/>
  <c r="V103" i="2" s="1"/>
  <c r="I114" i="2"/>
  <c r="F115" i="2" s="1"/>
  <c r="AD225" i="2"/>
  <c r="AE226" i="2"/>
  <c r="N226" i="2"/>
  <c r="M226" i="2"/>
  <c r="B227" i="2"/>
  <c r="T226" i="2"/>
  <c r="O104" i="2" l="1"/>
  <c r="S104" i="2" s="1"/>
  <c r="AF103" i="2"/>
  <c r="AG103" i="2" s="1"/>
  <c r="AH103" i="2" s="1"/>
  <c r="W103" i="2"/>
  <c r="H115" i="2"/>
  <c r="AE227" i="2"/>
  <c r="N227" i="2"/>
  <c r="M227" i="2"/>
  <c r="B228" i="2"/>
  <c r="T227" i="2"/>
  <c r="AD226" i="2"/>
  <c r="U104" i="2" l="1"/>
  <c r="V104" i="2" s="1"/>
  <c r="I115" i="2"/>
  <c r="F116" i="2" s="1"/>
  <c r="AD227" i="2"/>
  <c r="AE228" i="2"/>
  <c r="N228" i="2"/>
  <c r="M228" i="2"/>
  <c r="B229" i="2"/>
  <c r="T228" i="2"/>
  <c r="O105" i="2" l="1"/>
  <c r="S105" i="2" s="1"/>
  <c r="AF104" i="2"/>
  <c r="AG104" i="2" s="1"/>
  <c r="AH104" i="2" s="1"/>
  <c r="AD228" i="2"/>
  <c r="W104" i="2"/>
  <c r="H116" i="2"/>
  <c r="AE229" i="2"/>
  <c r="N229" i="2"/>
  <c r="M229" i="2"/>
  <c r="B230" i="2"/>
  <c r="T229" i="2"/>
  <c r="U105" i="2" l="1"/>
  <c r="V105" i="2" s="1"/>
  <c r="I116" i="2"/>
  <c r="F117" i="2" s="1"/>
  <c r="AD229" i="2"/>
  <c r="AE230" i="2"/>
  <c r="N230" i="2"/>
  <c r="M230" i="2"/>
  <c r="B231" i="2"/>
  <c r="T230" i="2"/>
  <c r="O106" i="2" l="1"/>
  <c r="S106" i="2" s="1"/>
  <c r="AF105" i="2"/>
  <c r="AG105" i="2" s="1"/>
  <c r="AH105" i="2" s="1"/>
  <c r="AD230" i="2"/>
  <c r="H117" i="2"/>
  <c r="U106" i="2"/>
  <c r="V106" i="2" s="1"/>
  <c r="N231" i="2"/>
  <c r="M231" i="2"/>
  <c r="B232" i="2"/>
  <c r="W105" i="2"/>
  <c r="I117" i="2" l="1"/>
  <c r="F118" i="2" s="1"/>
  <c r="AD231" i="2"/>
  <c r="AE232" i="2"/>
  <c r="N232" i="2"/>
  <c r="M232" i="2"/>
  <c r="T232" i="2"/>
  <c r="B233" i="2"/>
  <c r="AF106" i="2"/>
  <c r="AG106" i="2" s="1"/>
  <c r="AH106" i="2" s="1"/>
  <c r="O107" i="2" l="1"/>
  <c r="S107" i="2" s="1"/>
  <c r="U107" i="2" s="1"/>
  <c r="V107" i="2" s="1"/>
  <c r="AE231" i="2"/>
  <c r="AD232" i="2"/>
  <c r="H118" i="2"/>
  <c r="I118" i="2" s="1"/>
  <c r="W106" i="2"/>
  <c r="AE233" i="2"/>
  <c r="N233" i="2"/>
  <c r="M233" i="2"/>
  <c r="T233" i="2"/>
  <c r="B234" i="2"/>
  <c r="AE234" i="2" l="1"/>
  <c r="N234" i="2"/>
  <c r="M234" i="2"/>
  <c r="T234" i="2"/>
  <c r="B235" i="2"/>
  <c r="AF107" i="2"/>
  <c r="AG107" i="2" s="1"/>
  <c r="AH107" i="2" s="1"/>
  <c r="F119" i="2"/>
  <c r="AD233" i="2"/>
  <c r="O108" i="2" l="1"/>
  <c r="S108" i="2" s="1"/>
  <c r="U108" i="2" s="1"/>
  <c r="V108" i="2" s="1"/>
  <c r="AD234" i="2"/>
  <c r="H119" i="2"/>
  <c r="I119" i="2" s="1"/>
  <c r="AE235" i="2"/>
  <c r="N235" i="2"/>
  <c r="M235" i="2"/>
  <c r="T235" i="2"/>
  <c r="B236" i="2"/>
  <c r="W107" i="2"/>
  <c r="F120" i="2" l="1"/>
  <c r="AD235" i="2"/>
  <c r="AF108" i="2"/>
  <c r="AG108" i="2" s="1"/>
  <c r="AH108" i="2" s="1"/>
  <c r="AE236" i="2"/>
  <c r="N236" i="2"/>
  <c r="M236" i="2"/>
  <c r="T236" i="2"/>
  <c r="B237" i="2"/>
  <c r="O109" i="2" l="1"/>
  <c r="S109" i="2" s="1"/>
  <c r="U109" i="2" s="1"/>
  <c r="V109" i="2" s="1"/>
  <c r="AD236" i="2"/>
  <c r="W108" i="2"/>
  <c r="H120" i="2"/>
  <c r="I120" i="2" s="1"/>
  <c r="AE237" i="2"/>
  <c r="N237" i="2"/>
  <c r="M237" i="2"/>
  <c r="T237" i="2"/>
  <c r="B238" i="2"/>
  <c r="AF109" i="2" l="1"/>
  <c r="AG109" i="2" s="1"/>
  <c r="AH109" i="2" s="1"/>
  <c r="F121" i="2"/>
  <c r="AE238" i="2"/>
  <c r="N238" i="2"/>
  <c r="M238" i="2"/>
  <c r="T238" i="2"/>
  <c r="B239" i="2"/>
  <c r="AD237" i="2"/>
  <c r="O110" i="2" l="1"/>
  <c r="S110" i="2" s="1"/>
  <c r="U110" i="2" s="1"/>
  <c r="V110" i="2" s="1"/>
  <c r="AD238" i="2"/>
  <c r="H121" i="2"/>
  <c r="I121" i="2" s="1"/>
  <c r="W109" i="2"/>
  <c r="AE239" i="2"/>
  <c r="N239" i="2"/>
  <c r="M239" i="2"/>
  <c r="T239" i="2"/>
  <c r="B240" i="2"/>
  <c r="AF110" i="2" l="1"/>
  <c r="AG110" i="2" s="1"/>
  <c r="AH110" i="2" s="1"/>
  <c r="AE240" i="2"/>
  <c r="N240" i="2"/>
  <c r="M240" i="2"/>
  <c r="T240" i="2"/>
  <c r="B241" i="2"/>
  <c r="F122" i="2"/>
  <c r="AD239" i="2"/>
  <c r="O111" i="2" l="1"/>
  <c r="S111" i="2" s="1"/>
  <c r="U111" i="2" s="1"/>
  <c r="V111" i="2" s="1"/>
  <c r="H122" i="2"/>
  <c r="I122" i="2" s="1"/>
  <c r="W110" i="2"/>
  <c r="AD240" i="2"/>
  <c r="AE241" i="2"/>
  <c r="N241" i="2"/>
  <c r="M241" i="2"/>
  <c r="T241" i="2"/>
  <c r="B242" i="2"/>
  <c r="AE242" i="2" l="1"/>
  <c r="N242" i="2"/>
  <c r="M242" i="2"/>
  <c r="T242" i="2"/>
  <c r="B243" i="2"/>
  <c r="AD241" i="2"/>
  <c r="AF111" i="2"/>
  <c r="AG111" i="2" s="1"/>
  <c r="AH111" i="2" s="1"/>
  <c r="T111" i="2"/>
  <c r="G13" i="3" s="1"/>
  <c r="F123" i="2"/>
  <c r="O112" i="2" l="1"/>
  <c r="AD242" i="2"/>
  <c r="N243" i="2"/>
  <c r="M243" i="2"/>
  <c r="B244" i="2"/>
  <c r="H123" i="2"/>
  <c r="I123" i="2" s="1"/>
  <c r="W111" i="2"/>
  <c r="S112" i="2" l="1"/>
  <c r="U112" i="2" s="1"/>
  <c r="V112" i="2" s="1"/>
  <c r="AD243" i="2"/>
  <c r="F124" i="2"/>
  <c r="AE244" i="2"/>
  <c r="N244" i="2"/>
  <c r="M244" i="2"/>
  <c r="T244" i="2"/>
  <c r="B245" i="2"/>
  <c r="O113" i="2" l="1"/>
  <c r="AF112" i="2"/>
  <c r="AG112" i="2" s="1"/>
  <c r="AH112" i="2" s="1"/>
  <c r="AE243" i="2"/>
  <c r="W112" i="2"/>
  <c r="AE245" i="2"/>
  <c r="N245" i="2"/>
  <c r="M245" i="2"/>
  <c r="T245" i="2"/>
  <c r="B246" i="2"/>
  <c r="AD244" i="2"/>
  <c r="H124" i="2"/>
  <c r="P123" i="2"/>
  <c r="S113" i="2" l="1"/>
  <c r="U113" i="2" s="1"/>
  <c r="V113" i="2" s="1"/>
  <c r="I124" i="2"/>
  <c r="F125" i="2" s="1"/>
  <c r="AD245" i="2"/>
  <c r="AE246" i="2"/>
  <c r="N246" i="2"/>
  <c r="M246" i="2"/>
  <c r="T246" i="2"/>
  <c r="B247" i="2"/>
  <c r="O114" i="2" l="1"/>
  <c r="AF113" i="2"/>
  <c r="AG113" i="2" s="1"/>
  <c r="AH113" i="2" s="1"/>
  <c r="AD246" i="2"/>
  <c r="H125" i="2"/>
  <c r="W113" i="2"/>
  <c r="AE247" i="2"/>
  <c r="N247" i="2"/>
  <c r="M247" i="2"/>
  <c r="T247" i="2"/>
  <c r="B248" i="2"/>
  <c r="S114" i="2" l="1"/>
  <c r="U114" i="2" s="1"/>
  <c r="V114" i="2" s="1"/>
  <c r="I125" i="2"/>
  <c r="F126" i="2" s="1"/>
  <c r="N248" i="2"/>
  <c r="AE248" i="2"/>
  <c r="M248" i="2"/>
  <c r="T248" i="2"/>
  <c r="B249" i="2"/>
  <c r="AD247" i="2"/>
  <c r="O115" i="2" l="1"/>
  <c r="AF114" i="2"/>
  <c r="AG114" i="2" s="1"/>
  <c r="AH114" i="2" s="1"/>
  <c r="AD248" i="2"/>
  <c r="H126" i="2"/>
  <c r="T249" i="2"/>
  <c r="B250" i="2"/>
  <c r="N249" i="2"/>
  <c r="M249" i="2"/>
  <c r="AE249" i="2"/>
  <c r="W114" i="2"/>
  <c r="S115" i="2" l="1"/>
  <c r="U115" i="2" s="1"/>
  <c r="V115" i="2" s="1"/>
  <c r="I126" i="2"/>
  <c r="F127" i="2" s="1"/>
  <c r="AD249" i="2"/>
  <c r="T250" i="2"/>
  <c r="M250" i="2"/>
  <c r="AE250" i="2"/>
  <c r="B251" i="2"/>
  <c r="N250" i="2"/>
  <c r="O116" i="2" l="1"/>
  <c r="AF115" i="2"/>
  <c r="AG115" i="2" s="1"/>
  <c r="AH115" i="2" s="1"/>
  <c r="AD250" i="2"/>
  <c r="H127" i="2"/>
  <c r="T251" i="2"/>
  <c r="B252" i="2"/>
  <c r="N251" i="2"/>
  <c r="M251" i="2"/>
  <c r="AE251" i="2"/>
  <c r="W115" i="2"/>
  <c r="S116" i="2" l="1"/>
  <c r="U116" i="2" s="1"/>
  <c r="V116" i="2" s="1"/>
  <c r="I127" i="2"/>
  <c r="F128" i="2" s="1"/>
  <c r="AD251" i="2"/>
  <c r="T252" i="2"/>
  <c r="M252" i="2"/>
  <c r="AE252" i="2"/>
  <c r="B253" i="2"/>
  <c r="N252" i="2"/>
  <c r="O117" i="2" l="1"/>
  <c r="S117" i="2" s="1"/>
  <c r="AF116" i="2"/>
  <c r="AG116" i="2" s="1"/>
  <c r="AH116" i="2" s="1"/>
  <c r="AD252" i="2"/>
  <c r="H128" i="2"/>
  <c r="T253" i="2"/>
  <c r="B254" i="2"/>
  <c r="N253" i="2"/>
  <c r="M253" i="2"/>
  <c r="AE253" i="2"/>
  <c r="W116" i="2"/>
  <c r="U117" i="2" l="1"/>
  <c r="V117" i="2" s="1"/>
  <c r="I128" i="2"/>
  <c r="F129" i="2" s="1"/>
  <c r="AD253" i="2"/>
  <c r="M254" i="2"/>
  <c r="B255" i="2"/>
  <c r="N254" i="2"/>
  <c r="AE254" i="2"/>
  <c r="T254" i="2"/>
  <c r="O118" i="2" l="1"/>
  <c r="S118" i="2" s="1"/>
  <c r="U118" i="2" s="1"/>
  <c r="V118" i="2" s="1"/>
  <c r="AF117" i="2"/>
  <c r="AG117" i="2" s="1"/>
  <c r="AH117" i="2" s="1"/>
  <c r="N255" i="2"/>
  <c r="M255" i="2"/>
  <c r="B256" i="2"/>
  <c r="H129" i="2"/>
  <c r="AD254" i="2"/>
  <c r="W117" i="2"/>
  <c r="I129" i="2" l="1"/>
  <c r="F130" i="2" s="1"/>
  <c r="AD255" i="2"/>
  <c r="M256" i="2"/>
  <c r="AE256" i="2"/>
  <c r="T256" i="2"/>
  <c r="B257" i="2"/>
  <c r="N256" i="2"/>
  <c r="AF118" i="2"/>
  <c r="AG118" i="2" s="1"/>
  <c r="AH118" i="2" s="1"/>
  <c r="O119" i="2" l="1"/>
  <c r="S119" i="2" s="1"/>
  <c r="U119" i="2" s="1"/>
  <c r="V119" i="2" s="1"/>
  <c r="AE255" i="2"/>
  <c r="AD256" i="2"/>
  <c r="AE257" i="2"/>
  <c r="T257" i="2"/>
  <c r="B258" i="2"/>
  <c r="M257" i="2"/>
  <c r="N257" i="2"/>
  <c r="W118" i="2"/>
  <c r="H130" i="2"/>
  <c r="I130" i="2" s="1"/>
  <c r="M258" i="2" l="1"/>
  <c r="AE258" i="2"/>
  <c r="T258" i="2"/>
  <c r="B259" i="2"/>
  <c r="N258" i="2"/>
  <c r="AD257" i="2"/>
  <c r="AF119" i="2"/>
  <c r="AG119" i="2" s="1"/>
  <c r="AH119" i="2" s="1"/>
  <c r="F131" i="2"/>
  <c r="O120" i="2" l="1"/>
  <c r="S120" i="2" s="1"/>
  <c r="U120" i="2" s="1"/>
  <c r="V120" i="2" s="1"/>
  <c r="H131" i="2"/>
  <c r="I131" i="2" s="1"/>
  <c r="W119" i="2"/>
  <c r="AD258" i="2"/>
  <c r="B260" i="2"/>
  <c r="N259" i="2"/>
  <c r="M259" i="2"/>
  <c r="AE259" i="2"/>
  <c r="T259" i="2"/>
  <c r="AF120" i="2" l="1"/>
  <c r="AG120" i="2" s="1"/>
  <c r="AH120" i="2" s="1"/>
  <c r="M260" i="2"/>
  <c r="B261" i="2"/>
  <c r="N260" i="2"/>
  <c r="AE260" i="2"/>
  <c r="T260" i="2"/>
  <c r="AD259" i="2"/>
  <c r="F132" i="2"/>
  <c r="O121" i="2" l="1"/>
  <c r="S121" i="2" s="1"/>
  <c r="U121" i="2" s="1"/>
  <c r="V121" i="2" s="1"/>
  <c r="AD260" i="2"/>
  <c r="H132" i="2"/>
  <c r="I132" i="2" s="1"/>
  <c r="W120" i="2"/>
  <c r="B262" i="2"/>
  <c r="N261" i="2"/>
  <c r="M261" i="2"/>
  <c r="AE261" i="2"/>
  <c r="T261" i="2"/>
  <c r="AD261" i="2" l="1"/>
  <c r="F133" i="2"/>
  <c r="M262" i="2"/>
  <c r="B263" i="2"/>
  <c r="N262" i="2"/>
  <c r="AE262" i="2"/>
  <c r="T262" i="2"/>
  <c r="AF121" i="2"/>
  <c r="AG121" i="2" s="1"/>
  <c r="AH121" i="2" s="1"/>
  <c r="O122" i="2" l="1"/>
  <c r="S122" i="2" s="1"/>
  <c r="U122" i="2" s="1"/>
  <c r="V122" i="2" s="1"/>
  <c r="N263" i="2"/>
  <c r="M263" i="2"/>
  <c r="AE263" i="2"/>
  <c r="T263" i="2"/>
  <c r="B264" i="2"/>
  <c r="AD262" i="2"/>
  <c r="W121" i="2"/>
  <c r="H133" i="2"/>
  <c r="I133" i="2" s="1"/>
  <c r="M264" i="2" l="1"/>
  <c r="AE264" i="2"/>
  <c r="T264" i="2"/>
  <c r="B265" i="2"/>
  <c r="N264" i="2"/>
  <c r="AF122" i="2"/>
  <c r="AG122" i="2" s="1"/>
  <c r="AH122" i="2" s="1"/>
  <c r="F134" i="2"/>
  <c r="AD263" i="2"/>
  <c r="O123" i="2" l="1"/>
  <c r="S123" i="2" s="1"/>
  <c r="AE265" i="2"/>
  <c r="T265" i="2"/>
  <c r="B266" i="2"/>
  <c r="M265" i="2"/>
  <c r="N265" i="2"/>
  <c r="H134" i="2"/>
  <c r="I134" i="2" s="1"/>
  <c r="U123" i="2"/>
  <c r="V123" i="2" s="1"/>
  <c r="W122" i="2"/>
  <c r="AD265" i="2" l="1"/>
  <c r="AF123" i="2"/>
  <c r="AG123" i="2" s="1"/>
  <c r="AH123" i="2" s="1"/>
  <c r="T123" i="2"/>
  <c r="G14" i="3" s="1"/>
  <c r="F135" i="2"/>
  <c r="M266" i="2"/>
  <c r="AE266" i="2"/>
  <c r="T266" i="2"/>
  <c r="B267" i="2"/>
  <c r="N266" i="2"/>
  <c r="O124" i="2" l="1"/>
  <c r="S124" i="2" s="1"/>
  <c r="AD264" i="2"/>
  <c r="AD266" i="2"/>
  <c r="H135" i="2"/>
  <c r="I135" i="2" s="1"/>
  <c r="W123" i="2"/>
  <c r="B268" i="2"/>
  <c r="N267" i="2"/>
  <c r="M267" i="2"/>
  <c r="U124" i="2" l="1"/>
  <c r="V124" i="2" s="1"/>
  <c r="M268" i="2"/>
  <c r="B269" i="2"/>
  <c r="N268" i="2"/>
  <c r="AE268" i="2"/>
  <c r="T268" i="2"/>
  <c r="AD267" i="2"/>
  <c r="F136" i="2"/>
  <c r="O125" i="2" l="1"/>
  <c r="S125" i="2" s="1"/>
  <c r="AF124" i="2"/>
  <c r="AG124" i="2" s="1"/>
  <c r="AH124" i="2" s="1"/>
  <c r="AE267" i="2"/>
  <c r="W124" i="2"/>
  <c r="B270" i="2"/>
  <c r="N269" i="2"/>
  <c r="M269" i="2"/>
  <c r="AE269" i="2"/>
  <c r="T269" i="2"/>
  <c r="AD268" i="2"/>
  <c r="H136" i="2"/>
  <c r="P135" i="2"/>
  <c r="U125" i="2" l="1"/>
  <c r="V125" i="2" s="1"/>
  <c r="I136" i="2"/>
  <c r="F137" i="2" s="1"/>
  <c r="M270" i="2"/>
  <c r="B271" i="2"/>
  <c r="N270" i="2"/>
  <c r="AE270" i="2"/>
  <c r="T270" i="2"/>
  <c r="AD269" i="2"/>
  <c r="O126" i="2" l="1"/>
  <c r="S126" i="2" s="1"/>
  <c r="AF125" i="2"/>
  <c r="AG125" i="2" s="1"/>
  <c r="AH125" i="2" s="1"/>
  <c r="AD270" i="2"/>
  <c r="H137" i="2"/>
  <c r="W125" i="2"/>
  <c r="N271" i="2"/>
  <c r="M271" i="2"/>
  <c r="AE271" i="2"/>
  <c r="T271" i="2"/>
  <c r="B272" i="2"/>
  <c r="U126" i="2" l="1"/>
  <c r="V126" i="2" s="1"/>
  <c r="I137" i="2"/>
  <c r="F138" i="2" s="1"/>
  <c r="AD271" i="2"/>
  <c r="M272" i="2"/>
  <c r="AE272" i="2"/>
  <c r="T272" i="2"/>
  <c r="B273" i="2"/>
  <c r="N272" i="2"/>
  <c r="O127" i="2" l="1"/>
  <c r="S127" i="2" s="1"/>
  <c r="AF126" i="2"/>
  <c r="AG126" i="2" s="1"/>
  <c r="AH126" i="2" s="1"/>
  <c r="AD272" i="2"/>
  <c r="AE273" i="2"/>
  <c r="T273" i="2"/>
  <c r="B274" i="2"/>
  <c r="M273" i="2"/>
  <c r="N273" i="2"/>
  <c r="H138" i="2"/>
  <c r="W126" i="2"/>
  <c r="U127" i="2" l="1"/>
  <c r="V127" i="2" s="1"/>
  <c r="I138" i="2"/>
  <c r="F139" i="2" s="1"/>
  <c r="AD273" i="2"/>
  <c r="M274" i="2"/>
  <c r="B275" i="2"/>
  <c r="T274" i="2"/>
  <c r="AE274" i="2"/>
  <c r="N274" i="2"/>
  <c r="O128" i="2" l="1"/>
  <c r="S128" i="2" s="1"/>
  <c r="AF127" i="2"/>
  <c r="AG127" i="2" s="1"/>
  <c r="AH127" i="2" s="1"/>
  <c r="N275" i="2"/>
  <c r="M275" i="2"/>
  <c r="B276" i="2"/>
  <c r="T275" i="2"/>
  <c r="AE275" i="2"/>
  <c r="H139" i="2"/>
  <c r="W127" i="2"/>
  <c r="AD274" i="2"/>
  <c r="I139" i="2" l="1"/>
  <c r="F140" i="2" s="1"/>
  <c r="U128" i="2"/>
  <c r="V128" i="2" s="1"/>
  <c r="M276" i="2"/>
  <c r="AE276" i="2"/>
  <c r="N276" i="2"/>
  <c r="B277" i="2"/>
  <c r="T276" i="2"/>
  <c r="AD275" i="2"/>
  <c r="O129" i="2" l="1"/>
  <c r="S129" i="2" s="1"/>
  <c r="AF128" i="2"/>
  <c r="AG128" i="2" s="1"/>
  <c r="AH128" i="2" s="1"/>
  <c r="AD276" i="2"/>
  <c r="N277" i="2"/>
  <c r="T277" i="2"/>
  <c r="AE277" i="2"/>
  <c r="B278" i="2"/>
  <c r="M277" i="2"/>
  <c r="W128" i="2"/>
  <c r="H140" i="2"/>
  <c r="U129" i="2" l="1"/>
  <c r="V129" i="2" s="1"/>
  <c r="I140" i="2"/>
  <c r="F141" i="2" s="1"/>
  <c r="M278" i="2"/>
  <c r="N278" i="2"/>
  <c r="B279" i="2"/>
  <c r="T278" i="2"/>
  <c r="AE278" i="2"/>
  <c r="AD277" i="2"/>
  <c r="O130" i="2" l="1"/>
  <c r="S130" i="2" s="1"/>
  <c r="U130" i="2" s="1"/>
  <c r="V130" i="2" s="1"/>
  <c r="AF129" i="2"/>
  <c r="AG129" i="2" s="1"/>
  <c r="AH129" i="2" s="1"/>
  <c r="B280" i="2"/>
  <c r="N279" i="2"/>
  <c r="M279" i="2"/>
  <c r="AD278" i="2"/>
  <c r="H141" i="2"/>
  <c r="W129" i="2"/>
  <c r="I141" i="2" l="1"/>
  <c r="F142" i="2" s="1"/>
  <c r="AE280" i="2"/>
  <c r="N280" i="2"/>
  <c r="M280" i="2"/>
  <c r="B281" i="2"/>
  <c r="T280" i="2"/>
  <c r="AF130" i="2"/>
  <c r="AG130" i="2" s="1"/>
  <c r="AH130" i="2" s="1"/>
  <c r="AD279" i="2"/>
  <c r="O131" i="2" l="1"/>
  <c r="S131" i="2" s="1"/>
  <c r="U131" i="2" s="1"/>
  <c r="V131" i="2" s="1"/>
  <c r="AE279" i="2"/>
  <c r="W130" i="2"/>
  <c r="B282" i="2"/>
  <c r="N281" i="2"/>
  <c r="T281" i="2"/>
  <c r="AE281" i="2"/>
  <c r="M281" i="2"/>
  <c r="AD280" i="2"/>
  <c r="H142" i="2"/>
  <c r="I142" i="2" s="1"/>
  <c r="M282" i="2" l="1"/>
  <c r="AE282" i="2"/>
  <c r="N282" i="2"/>
  <c r="T282" i="2"/>
  <c r="B283" i="2"/>
  <c r="AF131" i="2"/>
  <c r="AG131" i="2" s="1"/>
  <c r="AH131" i="2" s="1"/>
  <c r="F143" i="2"/>
  <c r="AD281" i="2"/>
  <c r="O132" i="2" l="1"/>
  <c r="S132" i="2" s="1"/>
  <c r="U132" i="2" s="1"/>
  <c r="V132" i="2" s="1"/>
  <c r="W131" i="2"/>
  <c r="N283" i="2"/>
  <c r="M283" i="2"/>
  <c r="B284" i="2"/>
  <c r="T283" i="2"/>
  <c r="AE283" i="2"/>
  <c r="AD282" i="2"/>
  <c r="H143" i="2"/>
  <c r="I143" i="2" s="1"/>
  <c r="AE284" i="2" l="1"/>
  <c r="T284" i="2"/>
  <c r="B285" i="2"/>
  <c r="N284" i="2"/>
  <c r="M284" i="2"/>
  <c r="AF132" i="2"/>
  <c r="AG132" i="2" s="1"/>
  <c r="AH132" i="2" s="1"/>
  <c r="F144" i="2"/>
  <c r="AD283" i="2"/>
  <c r="O133" i="2" l="1"/>
  <c r="S133" i="2" s="1"/>
  <c r="W132" i="2"/>
  <c r="M285" i="2"/>
  <c r="T285" i="2"/>
  <c r="B286" i="2"/>
  <c r="AE285" i="2"/>
  <c r="N285" i="2"/>
  <c r="H144" i="2"/>
  <c r="I144" i="2" s="1"/>
  <c r="U133" i="2"/>
  <c r="V133" i="2" s="1"/>
  <c r="AD284" i="2"/>
  <c r="AF133" i="2" l="1"/>
  <c r="AG133" i="2" s="1"/>
  <c r="AH133" i="2" s="1"/>
  <c r="F145" i="2"/>
  <c r="AE286" i="2"/>
  <c r="T286" i="2"/>
  <c r="B287" i="2"/>
  <c r="N286" i="2"/>
  <c r="M286" i="2"/>
  <c r="AD285" i="2"/>
  <c r="O134" i="2" l="1"/>
  <c r="S134" i="2" s="1"/>
  <c r="U134" i="2" s="1"/>
  <c r="V134" i="2" s="1"/>
  <c r="AD286" i="2"/>
  <c r="AE287" i="2"/>
  <c r="T287" i="2"/>
  <c r="B288" i="2"/>
  <c r="N287" i="2"/>
  <c r="M287" i="2"/>
  <c r="H145" i="2"/>
  <c r="I145" i="2" s="1"/>
  <c r="W133" i="2"/>
  <c r="AD287" i="2" l="1"/>
  <c r="F146" i="2"/>
  <c r="AF134" i="2"/>
  <c r="AG134" i="2" s="1"/>
  <c r="AH134" i="2" s="1"/>
  <c r="B289" i="2"/>
  <c r="T288" i="2"/>
  <c r="AE288" i="2"/>
  <c r="N288" i="2"/>
  <c r="M288" i="2"/>
  <c r="O135" i="2" l="1"/>
  <c r="S135" i="2" s="1"/>
  <c r="U135" i="2" s="1"/>
  <c r="V135" i="2" s="1"/>
  <c r="B290" i="2"/>
  <c r="N289" i="2"/>
  <c r="T289" i="2"/>
  <c r="AE289" i="2"/>
  <c r="M289" i="2"/>
  <c r="H146" i="2"/>
  <c r="I146" i="2" s="1"/>
  <c r="W134" i="2"/>
  <c r="AD288" i="2"/>
  <c r="AD289" i="2" l="1"/>
  <c r="M290" i="2"/>
  <c r="T290" i="2"/>
  <c r="B291" i="2"/>
  <c r="AE290" i="2"/>
  <c r="N290" i="2"/>
  <c r="AF135" i="2"/>
  <c r="AG135" i="2" s="1"/>
  <c r="AH135" i="2" s="1"/>
  <c r="T135" i="2"/>
  <c r="G15" i="3" s="1"/>
  <c r="F147" i="2"/>
  <c r="O136" i="2" l="1"/>
  <c r="S136" i="2" s="1"/>
  <c r="AD290" i="2"/>
  <c r="B292" i="2"/>
  <c r="N291" i="2"/>
  <c r="M291" i="2"/>
  <c r="W135" i="2"/>
  <c r="H147" i="2"/>
  <c r="I147" i="2" s="1"/>
  <c r="U136" i="2" l="1"/>
  <c r="V136" i="2" s="1"/>
  <c r="AD291" i="2"/>
  <c r="AE292" i="2"/>
  <c r="T292" i="2"/>
  <c r="B293" i="2"/>
  <c r="N292" i="2"/>
  <c r="M292" i="2"/>
  <c r="F148" i="2"/>
  <c r="O137" i="2" l="1"/>
  <c r="S137" i="2" s="1"/>
  <c r="AF136" i="2"/>
  <c r="AG136" i="2" s="1"/>
  <c r="AH136" i="2" s="1"/>
  <c r="AE291" i="2"/>
  <c r="W136" i="2"/>
  <c r="H148" i="2"/>
  <c r="P147" i="2"/>
  <c r="AD292" i="2"/>
  <c r="M293" i="2"/>
  <c r="T293" i="2"/>
  <c r="B294" i="2"/>
  <c r="AE293" i="2"/>
  <c r="N293" i="2"/>
  <c r="U137" i="2" l="1"/>
  <c r="V137" i="2" s="1"/>
  <c r="I148" i="2"/>
  <c r="F149" i="2" s="1"/>
  <c r="AD293" i="2"/>
  <c r="AE294" i="2"/>
  <c r="T294" i="2"/>
  <c r="B295" i="2"/>
  <c r="N294" i="2"/>
  <c r="M294" i="2"/>
  <c r="O138" i="2" l="1"/>
  <c r="S138" i="2" s="1"/>
  <c r="AF137" i="2"/>
  <c r="AG137" i="2" s="1"/>
  <c r="AH137" i="2" s="1"/>
  <c r="AD294" i="2"/>
  <c r="H149" i="2"/>
  <c r="W137" i="2"/>
  <c r="AE295" i="2"/>
  <c r="T295" i="2"/>
  <c r="B296" i="2"/>
  <c r="N295" i="2"/>
  <c r="M295" i="2"/>
  <c r="U138" i="2" l="1"/>
  <c r="V138" i="2" s="1"/>
  <c r="I149" i="2"/>
  <c r="F150" i="2" s="1"/>
  <c r="B297" i="2"/>
  <c r="T296" i="2"/>
  <c r="AE296" i="2"/>
  <c r="N296" i="2"/>
  <c r="M296" i="2"/>
  <c r="AD295" i="2"/>
  <c r="O139" i="2" l="1"/>
  <c r="S139" i="2" s="1"/>
  <c r="AF138" i="2"/>
  <c r="AG138" i="2" s="1"/>
  <c r="AH138" i="2" s="1"/>
  <c r="AD296" i="2"/>
  <c r="W138" i="2"/>
  <c r="B298" i="2"/>
  <c r="N297" i="2"/>
  <c r="T297" i="2"/>
  <c r="AE297" i="2"/>
  <c r="M297" i="2"/>
  <c r="H150" i="2"/>
  <c r="U139" i="2" l="1"/>
  <c r="V139" i="2" s="1"/>
  <c r="I150" i="2"/>
  <c r="F151" i="2" s="1"/>
  <c r="M298" i="2"/>
  <c r="T298" i="2"/>
  <c r="B299" i="2"/>
  <c r="AE298" i="2"/>
  <c r="N298" i="2"/>
  <c r="AD297" i="2"/>
  <c r="O140" i="2" l="1"/>
  <c r="S140" i="2" s="1"/>
  <c r="AF139" i="2"/>
  <c r="AG139" i="2" s="1"/>
  <c r="AH139" i="2" s="1"/>
  <c r="W139" i="2"/>
  <c r="AD298" i="2"/>
  <c r="H151" i="2"/>
  <c r="B300" i="2"/>
  <c r="N299" i="2"/>
  <c r="T299" i="2"/>
  <c r="AE299" i="2"/>
  <c r="M299" i="2"/>
  <c r="U140" i="2" l="1"/>
  <c r="V140" i="2" s="1"/>
  <c r="I151" i="2"/>
  <c r="F152" i="2" s="1"/>
  <c r="AD299" i="2"/>
  <c r="AE300" i="2"/>
  <c r="T300" i="2"/>
  <c r="B301" i="2"/>
  <c r="N300" i="2"/>
  <c r="M300" i="2"/>
  <c r="O141" i="2" l="1"/>
  <c r="S141" i="2" s="1"/>
  <c r="AF140" i="2"/>
  <c r="AG140" i="2" s="1"/>
  <c r="AH140" i="2" s="1"/>
  <c r="W140" i="2"/>
  <c r="AD300" i="2"/>
  <c r="M301" i="2"/>
  <c r="T301" i="2"/>
  <c r="B302" i="2"/>
  <c r="AE301" i="2"/>
  <c r="N301" i="2"/>
  <c r="H152" i="2"/>
  <c r="U141" i="2" l="1"/>
  <c r="V141" i="2" s="1"/>
  <c r="I152" i="2"/>
  <c r="F153" i="2" s="1"/>
  <c r="AE302" i="2"/>
  <c r="T302" i="2"/>
  <c r="B303" i="2"/>
  <c r="N302" i="2"/>
  <c r="M302" i="2"/>
  <c r="AD301" i="2"/>
  <c r="O142" i="2" l="1"/>
  <c r="S142" i="2" s="1"/>
  <c r="U142" i="2" s="1"/>
  <c r="V142" i="2" s="1"/>
  <c r="AF141" i="2"/>
  <c r="AG141" i="2" s="1"/>
  <c r="AH141" i="2" s="1"/>
  <c r="AD302" i="2"/>
  <c r="W141" i="2"/>
  <c r="B304" i="2"/>
  <c r="N303" i="2"/>
  <c r="M303" i="2"/>
  <c r="H153" i="2"/>
  <c r="I153" i="2" l="1"/>
  <c r="F154" i="2" s="1"/>
  <c r="B305" i="2"/>
  <c r="T304" i="2"/>
  <c r="AE304" i="2"/>
  <c r="N304" i="2"/>
  <c r="M304" i="2"/>
  <c r="AF142" i="2"/>
  <c r="AG142" i="2" s="1"/>
  <c r="AH142" i="2" s="1"/>
  <c r="AD303" i="2"/>
  <c r="O143" i="2" l="1"/>
  <c r="S143" i="2" s="1"/>
  <c r="U143" i="2" s="1"/>
  <c r="V143" i="2" s="1"/>
  <c r="AE303" i="2"/>
  <c r="W142" i="2"/>
  <c r="B306" i="2"/>
  <c r="N305" i="2"/>
  <c r="T305" i="2"/>
  <c r="AE305" i="2"/>
  <c r="M305" i="2"/>
  <c r="AD304" i="2"/>
  <c r="H154" i="2"/>
  <c r="I154" i="2" s="1"/>
  <c r="M306" i="2" l="1"/>
  <c r="T306" i="2"/>
  <c r="B307" i="2"/>
  <c r="AE306" i="2"/>
  <c r="N306" i="2"/>
  <c r="AF143" i="2"/>
  <c r="AG143" i="2" s="1"/>
  <c r="AH143" i="2" s="1"/>
  <c r="F155" i="2"/>
  <c r="AD305" i="2"/>
  <c r="O144" i="2" l="1"/>
  <c r="S144" i="2" s="1"/>
  <c r="W143" i="2"/>
  <c r="AD306" i="2"/>
  <c r="H155" i="2"/>
  <c r="I155" i="2" s="1"/>
  <c r="U144" i="2"/>
  <c r="V144" i="2" s="1"/>
  <c r="B308" i="2"/>
  <c r="N307" i="2"/>
  <c r="T307" i="2"/>
  <c r="AE307" i="2"/>
  <c r="M307" i="2"/>
  <c r="AD307" i="2" l="1"/>
  <c r="F156" i="2"/>
  <c r="AE308" i="2"/>
  <c r="T308" i="2"/>
  <c r="B309" i="2"/>
  <c r="N308" i="2"/>
  <c r="M308" i="2"/>
  <c r="AF144" i="2"/>
  <c r="AG144" i="2" s="1"/>
  <c r="AH144" i="2" s="1"/>
  <c r="O145" i="2" l="1"/>
  <c r="S145" i="2" s="1"/>
  <c r="U145" i="2" s="1"/>
  <c r="V145" i="2" s="1"/>
  <c r="AD308" i="2"/>
  <c r="W144" i="2"/>
  <c r="M309" i="2"/>
  <c r="T309" i="2"/>
  <c r="B310" i="2"/>
  <c r="AE309" i="2"/>
  <c r="N309" i="2"/>
  <c r="H156" i="2"/>
  <c r="I156" i="2" s="1"/>
  <c r="F157" i="2" l="1"/>
  <c r="AE310" i="2"/>
  <c r="T310" i="2"/>
  <c r="B311" i="2"/>
  <c r="N310" i="2"/>
  <c r="M310" i="2"/>
  <c r="AF145" i="2"/>
  <c r="AG145" i="2" s="1"/>
  <c r="AH145" i="2" s="1"/>
  <c r="AD309" i="2"/>
  <c r="O146" i="2" l="1"/>
  <c r="S146" i="2" s="1"/>
  <c r="U146" i="2" s="1"/>
  <c r="V146" i="2" s="1"/>
  <c r="AD310" i="2"/>
  <c r="AE311" i="2"/>
  <c r="T311" i="2"/>
  <c r="B312" i="2"/>
  <c r="N311" i="2"/>
  <c r="M311" i="2"/>
  <c r="W145" i="2"/>
  <c r="H157" i="2"/>
  <c r="I157" i="2" s="1"/>
  <c r="AD311" i="2" l="1"/>
  <c r="F158" i="2"/>
  <c r="AF146" i="2"/>
  <c r="AG146" i="2" s="1"/>
  <c r="AH146" i="2" s="1"/>
  <c r="B313" i="2"/>
  <c r="T312" i="2"/>
  <c r="AE312" i="2"/>
  <c r="N312" i="2"/>
  <c r="M312" i="2"/>
  <c r="O147" i="2" l="1"/>
  <c r="S147" i="2" s="1"/>
  <c r="U147" i="2" s="1"/>
  <c r="V147" i="2" s="1"/>
  <c r="AD312" i="2"/>
  <c r="H158" i="2"/>
  <c r="I158" i="2" s="1"/>
  <c r="B314" i="2"/>
  <c r="N313" i="2"/>
  <c r="T313" i="2"/>
  <c r="AE313" i="2"/>
  <c r="M313" i="2"/>
  <c r="W146" i="2"/>
  <c r="M314" i="2" l="1"/>
  <c r="T314" i="2"/>
  <c r="B315" i="2"/>
  <c r="AE314" i="2"/>
  <c r="N314" i="2"/>
  <c r="AF147" i="2"/>
  <c r="AG147" i="2" s="1"/>
  <c r="AH147" i="2" s="1"/>
  <c r="T147" i="2"/>
  <c r="G16" i="3" s="1"/>
  <c r="F159" i="2"/>
  <c r="AD313" i="2"/>
  <c r="O148" i="2" l="1"/>
  <c r="S148" i="2" s="1"/>
  <c r="W147" i="2"/>
  <c r="AD314" i="2"/>
  <c r="H159" i="2"/>
  <c r="I159" i="2" s="1"/>
  <c r="B316" i="2"/>
  <c r="N315" i="2"/>
  <c r="M315" i="2"/>
  <c r="U148" i="2" l="1"/>
  <c r="V148" i="2" s="1"/>
  <c r="F160" i="2"/>
  <c r="AD315" i="2"/>
  <c r="AE316" i="2"/>
  <c r="T316" i="2"/>
  <c r="B317" i="2"/>
  <c r="N316" i="2"/>
  <c r="M316" i="2"/>
  <c r="O149" i="2" l="1"/>
  <c r="S149" i="2" s="1"/>
  <c r="AF148" i="2"/>
  <c r="AG148" i="2" s="1"/>
  <c r="AH148" i="2" s="1"/>
  <c r="AE315" i="2"/>
  <c r="H160" i="2"/>
  <c r="P159" i="2"/>
  <c r="W148" i="2"/>
  <c r="M317" i="2"/>
  <c r="T317" i="2"/>
  <c r="B318" i="2"/>
  <c r="AE317" i="2"/>
  <c r="N317" i="2"/>
  <c r="U149" i="2" l="1"/>
  <c r="V149" i="2" s="1"/>
  <c r="I160" i="2"/>
  <c r="F161" i="2" s="1"/>
  <c r="AD317" i="2"/>
  <c r="AE318" i="2"/>
  <c r="T318" i="2"/>
  <c r="B319" i="2"/>
  <c r="N318" i="2"/>
  <c r="M318" i="2"/>
  <c r="O150" i="2" l="1"/>
  <c r="S150" i="2" s="1"/>
  <c r="AF149" i="2"/>
  <c r="AG149" i="2" s="1"/>
  <c r="AH149" i="2" s="1"/>
  <c r="AD316" i="2"/>
  <c r="AD318" i="2"/>
  <c r="H161" i="2"/>
  <c r="W149" i="2"/>
  <c r="AE319" i="2"/>
  <c r="T319" i="2"/>
  <c r="B320" i="2"/>
  <c r="N319" i="2"/>
  <c r="M319" i="2"/>
  <c r="U150" i="2" l="1"/>
  <c r="V150" i="2" s="1"/>
  <c r="I161" i="2"/>
  <c r="F162" i="2" s="1"/>
  <c r="AD319" i="2"/>
  <c r="B321" i="2"/>
  <c r="T320" i="2"/>
  <c r="AE320" i="2"/>
  <c r="N320" i="2"/>
  <c r="M320" i="2"/>
  <c r="O151" i="2" l="1"/>
  <c r="S151" i="2" s="1"/>
  <c r="AF150" i="2"/>
  <c r="AG150" i="2" s="1"/>
  <c r="AH150" i="2" s="1"/>
  <c r="H162" i="2"/>
  <c r="W150" i="2"/>
  <c r="B322" i="2"/>
  <c r="N321" i="2"/>
  <c r="T321" i="2"/>
  <c r="AE321" i="2"/>
  <c r="M321" i="2"/>
  <c r="AD320" i="2"/>
  <c r="U151" i="2" l="1"/>
  <c r="V151" i="2" s="1"/>
  <c r="I162" i="2"/>
  <c r="F163" i="2" s="1"/>
  <c r="M322" i="2"/>
  <c r="AE322" i="2"/>
  <c r="T322" i="2"/>
  <c r="N322" i="2"/>
  <c r="B323" i="2"/>
  <c r="AD321" i="2"/>
  <c r="O152" i="2" l="1"/>
  <c r="S152" i="2" s="1"/>
  <c r="AF151" i="2"/>
  <c r="AG151" i="2" s="1"/>
  <c r="AH151" i="2" s="1"/>
  <c r="AD322" i="2"/>
  <c r="H163" i="2"/>
  <c r="W151" i="2"/>
  <c r="AE323" i="2"/>
  <c r="T323" i="2"/>
  <c r="B324" i="2"/>
  <c r="N323" i="2"/>
  <c r="M323" i="2"/>
  <c r="U152" i="2" l="1"/>
  <c r="V152" i="2" s="1"/>
  <c r="I163" i="2"/>
  <c r="F164" i="2" s="1"/>
  <c r="AD323" i="2"/>
  <c r="AE324" i="2"/>
  <c r="T324" i="2"/>
  <c r="B325" i="2"/>
  <c r="N324" i="2"/>
  <c r="M324" i="2"/>
  <c r="O153" i="2" l="1"/>
  <c r="S153" i="2" s="1"/>
  <c r="AF152" i="2"/>
  <c r="AG152" i="2" s="1"/>
  <c r="AH152" i="2" s="1"/>
  <c r="B326" i="2"/>
  <c r="N325" i="2"/>
  <c r="M325" i="2"/>
  <c r="AE325" i="2"/>
  <c r="T325" i="2"/>
  <c r="H164" i="2"/>
  <c r="W152" i="2"/>
  <c r="AD324" i="2"/>
  <c r="I164" i="2" l="1"/>
  <c r="U153" i="2"/>
  <c r="V153" i="2" s="1"/>
  <c r="AD325" i="2"/>
  <c r="B327" i="2"/>
  <c r="N326" i="2"/>
  <c r="M326" i="2"/>
  <c r="AE326" i="2"/>
  <c r="T326" i="2"/>
  <c r="F165" i="2"/>
  <c r="O154" i="2" l="1"/>
  <c r="S154" i="2" s="1"/>
  <c r="U154" i="2" s="1"/>
  <c r="V154" i="2" s="1"/>
  <c r="AF153" i="2"/>
  <c r="AG153" i="2" s="1"/>
  <c r="AH153" i="2" s="1"/>
  <c r="H165" i="2"/>
  <c r="AD326" i="2"/>
  <c r="N327" i="2"/>
  <c r="M327" i="2"/>
  <c r="B328" i="2"/>
  <c r="W153" i="2"/>
  <c r="I165" i="2" l="1"/>
  <c r="AD327" i="2"/>
  <c r="T328" i="2"/>
  <c r="B329" i="2"/>
  <c r="AE328" i="2"/>
  <c r="N328" i="2"/>
  <c r="M328" i="2"/>
  <c r="F166" i="2"/>
  <c r="AF154" i="2"/>
  <c r="AG154" i="2" s="1"/>
  <c r="AH154" i="2" s="1"/>
  <c r="O155" i="2" l="1"/>
  <c r="S155" i="2" s="1"/>
  <c r="U155" i="2" s="1"/>
  <c r="V155" i="2" s="1"/>
  <c r="AE327" i="2"/>
  <c r="AD328" i="2"/>
  <c r="W154" i="2"/>
  <c r="H166" i="2"/>
  <c r="I166" i="2" s="1"/>
  <c r="T329" i="2"/>
  <c r="N329" i="2"/>
  <c r="M329" i="2"/>
  <c r="B330" i="2"/>
  <c r="AE329" i="2"/>
  <c r="AF155" i="2" l="1"/>
  <c r="AG155" i="2" s="1"/>
  <c r="AH155" i="2" s="1"/>
  <c r="T330" i="2"/>
  <c r="AE330" i="2"/>
  <c r="N330" i="2"/>
  <c r="M330" i="2"/>
  <c r="B331" i="2"/>
  <c r="F167" i="2"/>
  <c r="AD329" i="2"/>
  <c r="O156" i="2" l="1"/>
  <c r="S156" i="2" s="1"/>
  <c r="U156" i="2" s="1"/>
  <c r="V156" i="2" s="1"/>
  <c r="AD330" i="2"/>
  <c r="T331" i="2"/>
  <c r="M331" i="2"/>
  <c r="B332" i="2"/>
  <c r="AE331" i="2"/>
  <c r="N331" i="2"/>
  <c r="W155" i="2"/>
  <c r="H167" i="2"/>
  <c r="I167" i="2" s="1"/>
  <c r="AD331" i="2" l="1"/>
  <c r="AF156" i="2"/>
  <c r="AG156" i="2" s="1"/>
  <c r="AH156" i="2" s="1"/>
  <c r="F168" i="2"/>
  <c r="T332" i="2"/>
  <c r="N332" i="2"/>
  <c r="M332" i="2"/>
  <c r="B333" i="2"/>
  <c r="AE332" i="2"/>
  <c r="O157" i="2" l="1"/>
  <c r="S157" i="2" s="1"/>
  <c r="U157" i="2" s="1"/>
  <c r="V157" i="2" s="1"/>
  <c r="AD332" i="2"/>
  <c r="T333" i="2"/>
  <c r="AE333" i="2"/>
  <c r="N333" i="2"/>
  <c r="M333" i="2"/>
  <c r="B334" i="2"/>
  <c r="W156" i="2"/>
  <c r="H168" i="2"/>
  <c r="I168" i="2" s="1"/>
  <c r="AD333" i="2" l="1"/>
  <c r="F169" i="2"/>
  <c r="AF157" i="2"/>
  <c r="AG157" i="2" s="1"/>
  <c r="AH157" i="2" s="1"/>
  <c r="T334" i="2"/>
  <c r="N334" i="2"/>
  <c r="M334" i="2"/>
  <c r="B335" i="2"/>
  <c r="AE334" i="2"/>
  <c r="O158" i="2" l="1"/>
  <c r="S158" i="2" s="1"/>
  <c r="U158" i="2" s="1"/>
  <c r="V158" i="2" s="1"/>
  <c r="AD334" i="2"/>
  <c r="W157" i="2"/>
  <c r="T335" i="2"/>
  <c r="AE335" i="2"/>
  <c r="N335" i="2"/>
  <c r="M335" i="2"/>
  <c r="B336" i="2"/>
  <c r="H169" i="2"/>
  <c r="I169" i="2" s="1"/>
  <c r="AD335" i="2" l="1"/>
  <c r="AF158" i="2"/>
  <c r="AG158" i="2" s="1"/>
  <c r="AH158" i="2" s="1"/>
  <c r="F170" i="2"/>
  <c r="T336" i="2"/>
  <c r="B337" i="2"/>
  <c r="AE336" i="2"/>
  <c r="N336" i="2"/>
  <c r="M336" i="2"/>
  <c r="O159" i="2" l="1"/>
  <c r="S159" i="2" s="1"/>
  <c r="U159" i="2" s="1"/>
  <c r="V159" i="2" s="1"/>
  <c r="AD336" i="2"/>
  <c r="T337" i="2"/>
  <c r="N337" i="2"/>
  <c r="M337" i="2"/>
  <c r="B338" i="2"/>
  <c r="AE337" i="2"/>
  <c r="H170" i="2"/>
  <c r="I170" i="2" s="1"/>
  <c r="W158" i="2"/>
  <c r="T338" i="2" l="1"/>
  <c r="AE338" i="2"/>
  <c r="N338" i="2"/>
  <c r="M338" i="2"/>
  <c r="B339" i="2"/>
  <c r="AF159" i="2"/>
  <c r="AG159" i="2" s="1"/>
  <c r="AH159" i="2" s="1"/>
  <c r="T159" i="2"/>
  <c r="G17" i="3" s="1"/>
  <c r="AD337" i="2"/>
  <c r="F171" i="2"/>
  <c r="O160" i="2" l="1"/>
  <c r="S160" i="2" s="1"/>
  <c r="AD338" i="2"/>
  <c r="M339" i="2"/>
  <c r="B340" i="2"/>
  <c r="N339" i="2"/>
  <c r="H171" i="2"/>
  <c r="I171" i="2" s="1"/>
  <c r="W159" i="2"/>
  <c r="U160" i="2" l="1"/>
  <c r="V160" i="2" s="1"/>
  <c r="T340" i="2"/>
  <c r="N340" i="2"/>
  <c r="M340" i="2"/>
  <c r="B341" i="2"/>
  <c r="AE340" i="2"/>
  <c r="F172" i="2"/>
  <c r="AD339" i="2"/>
  <c r="O161" i="2" l="1"/>
  <c r="S161" i="2" s="1"/>
  <c r="AF160" i="2"/>
  <c r="AG160" i="2" s="1"/>
  <c r="AH160" i="2" s="1"/>
  <c r="AE339" i="2"/>
  <c r="AD340" i="2"/>
  <c r="T341" i="2"/>
  <c r="AE341" i="2"/>
  <c r="N341" i="2"/>
  <c r="M341" i="2"/>
  <c r="B342" i="2"/>
  <c r="H172" i="2"/>
  <c r="P171" i="2"/>
  <c r="W160" i="2"/>
  <c r="U161" i="2" l="1"/>
  <c r="V161" i="2" s="1"/>
  <c r="I172" i="2"/>
  <c r="F173" i="2" s="1"/>
  <c r="AD341" i="2"/>
  <c r="T342" i="2"/>
  <c r="N342" i="2"/>
  <c r="M342" i="2"/>
  <c r="B343" i="2"/>
  <c r="AE342" i="2"/>
  <c r="O162" i="2" l="1"/>
  <c r="S162" i="2" s="1"/>
  <c r="AF161" i="2"/>
  <c r="AG161" i="2" s="1"/>
  <c r="AH161" i="2" s="1"/>
  <c r="H173" i="2"/>
  <c r="T343" i="2"/>
  <c r="AE343" i="2"/>
  <c r="N343" i="2"/>
  <c r="M343" i="2"/>
  <c r="B344" i="2"/>
  <c r="AD342" i="2"/>
  <c r="W161" i="2"/>
  <c r="U162" i="2" l="1"/>
  <c r="V162" i="2" s="1"/>
  <c r="I173" i="2"/>
  <c r="F174" i="2" s="1"/>
  <c r="T344" i="2"/>
  <c r="B345" i="2"/>
  <c r="AE344" i="2"/>
  <c r="N344" i="2"/>
  <c r="M344" i="2"/>
  <c r="AD343" i="2"/>
  <c r="O163" i="2" l="1"/>
  <c r="S163" i="2" s="1"/>
  <c r="AF162" i="2"/>
  <c r="AG162" i="2" s="1"/>
  <c r="AH162" i="2" s="1"/>
  <c r="AD344" i="2"/>
  <c r="H174" i="2"/>
  <c r="W162" i="2"/>
  <c r="T345" i="2"/>
  <c r="N345" i="2"/>
  <c r="M345" i="2"/>
  <c r="B346" i="2"/>
  <c r="AE345" i="2"/>
  <c r="U163" i="2" l="1"/>
  <c r="V163" i="2" s="1"/>
  <c r="I174" i="2"/>
  <c r="F175" i="2" s="1"/>
  <c r="AD345" i="2"/>
  <c r="T346" i="2"/>
  <c r="AE346" i="2"/>
  <c r="N346" i="2"/>
  <c r="M346" i="2"/>
  <c r="B347" i="2"/>
  <c r="O164" i="2" l="1"/>
  <c r="S164" i="2" s="1"/>
  <c r="AF163" i="2"/>
  <c r="AG163" i="2" s="1"/>
  <c r="AH163" i="2" s="1"/>
  <c r="T347" i="2"/>
  <c r="M347" i="2"/>
  <c r="B348" i="2"/>
  <c r="AE347" i="2"/>
  <c r="N347" i="2"/>
  <c r="AD346" i="2"/>
  <c r="W163" i="2"/>
  <c r="H175" i="2"/>
  <c r="U164" i="2" l="1"/>
  <c r="V164" i="2" s="1"/>
  <c r="I175" i="2"/>
  <c r="F176" i="2" s="1"/>
  <c r="T348" i="2"/>
  <c r="N348" i="2"/>
  <c r="M348" i="2"/>
  <c r="B349" i="2"/>
  <c r="AE348" i="2"/>
  <c r="AD347" i="2"/>
  <c r="O165" i="2" l="1"/>
  <c r="S165" i="2" s="1"/>
  <c r="AF164" i="2"/>
  <c r="AG164" i="2" s="1"/>
  <c r="AH164" i="2" s="1"/>
  <c r="AD348" i="2"/>
  <c r="H176" i="2"/>
  <c r="T349" i="2"/>
  <c r="AE349" i="2"/>
  <c r="N349" i="2"/>
  <c r="M349" i="2"/>
  <c r="B350" i="2"/>
  <c r="W164" i="2"/>
  <c r="U165" i="2" l="1"/>
  <c r="V165" i="2" s="1"/>
  <c r="I176" i="2"/>
  <c r="T350" i="2"/>
  <c r="N350" i="2"/>
  <c r="M350" i="2"/>
  <c r="B351" i="2"/>
  <c r="AE350" i="2"/>
  <c r="F177" i="2"/>
  <c r="AD349" i="2"/>
  <c r="O166" i="2" l="1"/>
  <c r="S166" i="2" s="1"/>
  <c r="U166" i="2" s="1"/>
  <c r="V166" i="2" s="1"/>
  <c r="AF165" i="2"/>
  <c r="AG165" i="2" s="1"/>
  <c r="AH165" i="2" s="1"/>
  <c r="H177" i="2"/>
  <c r="N351" i="2"/>
  <c r="M351" i="2"/>
  <c r="B352" i="2"/>
  <c r="AD350" i="2"/>
  <c r="W165" i="2"/>
  <c r="I177" i="2" l="1"/>
  <c r="F178" i="2" s="1"/>
  <c r="T352" i="2"/>
  <c r="B353" i="2"/>
  <c r="AE352" i="2"/>
  <c r="N352" i="2"/>
  <c r="M352" i="2"/>
  <c r="AF166" i="2"/>
  <c r="AG166" i="2" s="1"/>
  <c r="AH166" i="2" s="1"/>
  <c r="AD351" i="2"/>
  <c r="O167" i="2" l="1"/>
  <c r="S167" i="2" s="1"/>
  <c r="AE351" i="2"/>
  <c r="AD352" i="2"/>
  <c r="W166" i="2"/>
  <c r="H178" i="2"/>
  <c r="I178" i="2" s="1"/>
  <c r="U167" i="2"/>
  <c r="V167" i="2" s="1"/>
  <c r="T353" i="2"/>
  <c r="N353" i="2"/>
  <c r="M353" i="2"/>
  <c r="B354" i="2"/>
  <c r="AE353" i="2"/>
  <c r="AD353" i="2" l="1"/>
  <c r="T354" i="2"/>
  <c r="AE354" i="2"/>
  <c r="N354" i="2"/>
  <c r="M354" i="2"/>
  <c r="B355" i="2"/>
  <c r="AF167" i="2"/>
  <c r="AG167" i="2" s="1"/>
  <c r="AH167" i="2" s="1"/>
  <c r="F179" i="2"/>
  <c r="O168" i="2" l="1"/>
  <c r="S168" i="2" s="1"/>
  <c r="U168" i="2" s="1"/>
  <c r="V168" i="2" s="1"/>
  <c r="W167" i="2"/>
  <c r="T355" i="2"/>
  <c r="M355" i="2"/>
  <c r="B356" i="2"/>
  <c r="AE355" i="2"/>
  <c r="N355" i="2"/>
  <c r="AD354" i="2"/>
  <c r="H179" i="2"/>
  <c r="I179" i="2" s="1"/>
  <c r="AF168" i="2" l="1"/>
  <c r="AG168" i="2" s="1"/>
  <c r="AH168" i="2" s="1"/>
  <c r="T356" i="2"/>
  <c r="B357" i="2"/>
  <c r="AE356" i="2"/>
  <c r="N356" i="2"/>
  <c r="M356" i="2"/>
  <c r="F180" i="2"/>
  <c r="AD355" i="2"/>
  <c r="O169" i="2" l="1"/>
  <c r="S169" i="2" s="1"/>
  <c r="U169" i="2" s="1"/>
  <c r="V169" i="2" s="1"/>
  <c r="AD356" i="2"/>
  <c r="H180" i="2"/>
  <c r="I180" i="2" s="1"/>
  <c r="T357" i="2"/>
  <c r="B358" i="2"/>
  <c r="AE357" i="2"/>
  <c r="N357" i="2"/>
  <c r="M357" i="2"/>
  <c r="W168" i="2"/>
  <c r="AF169" i="2" l="1"/>
  <c r="AG169" i="2" s="1"/>
  <c r="AH169" i="2" s="1"/>
  <c r="AD357" i="2"/>
  <c r="F181" i="2"/>
  <c r="T358" i="2"/>
  <c r="AE358" i="2"/>
  <c r="N358" i="2"/>
  <c r="M358" i="2"/>
  <c r="B359" i="2"/>
  <c r="O170" i="2" l="1"/>
  <c r="S170" i="2" s="1"/>
  <c r="U170" i="2" s="1"/>
  <c r="V170" i="2" s="1"/>
  <c r="T359" i="2"/>
  <c r="AE359" i="2"/>
  <c r="N359" i="2"/>
  <c r="M359" i="2"/>
  <c r="B360" i="2"/>
  <c r="H181" i="2"/>
  <c r="I181" i="2" s="1"/>
  <c r="AD358" i="2"/>
  <c r="W169" i="2"/>
  <c r="AF170" i="2" l="1"/>
  <c r="AG170" i="2" s="1"/>
  <c r="AH170" i="2" s="1"/>
  <c r="F182" i="2"/>
  <c r="T360" i="2"/>
  <c r="N360" i="2"/>
  <c r="M360" i="2"/>
  <c r="B361" i="2"/>
  <c r="AE360" i="2"/>
  <c r="AD359" i="2"/>
  <c r="O171" i="2" l="1"/>
  <c r="S171" i="2" s="1"/>
  <c r="U171" i="2" s="1"/>
  <c r="V171" i="2" s="1"/>
  <c r="AD360" i="2"/>
  <c r="H182" i="2"/>
  <c r="I182" i="2" s="1"/>
  <c r="T361" i="2"/>
  <c r="M361" i="2"/>
  <c r="B362" i="2"/>
  <c r="AE361" i="2"/>
  <c r="N361" i="2"/>
  <c r="W170" i="2"/>
  <c r="AD361" i="2" l="1"/>
  <c r="AF171" i="2"/>
  <c r="AG171" i="2" s="1"/>
  <c r="AH171" i="2" s="1"/>
  <c r="T171" i="2"/>
  <c r="G18" i="3" s="1"/>
  <c r="T362" i="2"/>
  <c r="B363" i="2"/>
  <c r="AE362" i="2"/>
  <c r="N362" i="2"/>
  <c r="M362" i="2"/>
  <c r="F183" i="2"/>
  <c r="O172" i="2" l="1"/>
  <c r="S172" i="2" s="1"/>
  <c r="B364" i="2"/>
  <c r="N363" i="2"/>
  <c r="M363" i="2"/>
  <c r="H183" i="2"/>
  <c r="I183" i="2" s="1"/>
  <c r="AD362" i="2"/>
  <c r="W171" i="2"/>
  <c r="U172" i="2" l="1"/>
  <c r="V172" i="2" s="1"/>
  <c r="F184" i="2"/>
  <c r="T364" i="2"/>
  <c r="B365" i="2"/>
  <c r="AE364" i="2"/>
  <c r="N364" i="2"/>
  <c r="M364" i="2"/>
  <c r="AD363" i="2"/>
  <c r="O173" i="2" l="1"/>
  <c r="S173" i="2" s="1"/>
  <c r="AF172" i="2"/>
  <c r="AG172" i="2" s="1"/>
  <c r="AH172" i="2" s="1"/>
  <c r="AE363" i="2"/>
  <c r="AD364" i="2"/>
  <c r="H184" i="2"/>
  <c r="P183" i="2"/>
  <c r="T365" i="2"/>
  <c r="B366" i="2"/>
  <c r="AE365" i="2"/>
  <c r="N365" i="2"/>
  <c r="M365" i="2"/>
  <c r="W172" i="2"/>
  <c r="U173" i="2" l="1"/>
  <c r="V173" i="2" s="1"/>
  <c r="I184" i="2"/>
  <c r="F185" i="2" s="1"/>
  <c r="T366" i="2"/>
  <c r="AE366" i="2"/>
  <c r="N366" i="2"/>
  <c r="M366" i="2"/>
  <c r="B367" i="2"/>
  <c r="AD365" i="2"/>
  <c r="O174" i="2" l="1"/>
  <c r="S174" i="2" s="1"/>
  <c r="AF173" i="2"/>
  <c r="AG173" i="2" s="1"/>
  <c r="AH173" i="2" s="1"/>
  <c r="AD366" i="2"/>
  <c r="T367" i="2"/>
  <c r="AE367" i="2"/>
  <c r="N367" i="2"/>
  <c r="M367" i="2"/>
  <c r="B368" i="2"/>
  <c r="W173" i="2"/>
  <c r="H185" i="2"/>
  <c r="U174" i="2" l="1"/>
  <c r="V174" i="2" s="1"/>
  <c r="I185" i="2"/>
  <c r="F186" i="2" s="1"/>
  <c r="T368" i="2"/>
  <c r="N368" i="2"/>
  <c r="M368" i="2"/>
  <c r="B369" i="2"/>
  <c r="AE368" i="2"/>
  <c r="AD367" i="2"/>
  <c r="O175" i="2" l="1"/>
  <c r="S175" i="2" s="1"/>
  <c r="AF174" i="2"/>
  <c r="AG174" i="2" s="1"/>
  <c r="AH174" i="2" s="1"/>
  <c r="W174" i="2"/>
  <c r="T369" i="2"/>
  <c r="M369" i="2"/>
  <c r="B370" i="2"/>
  <c r="AE369" i="2"/>
  <c r="N369" i="2"/>
  <c r="H186" i="2"/>
  <c r="U175" i="2" l="1"/>
  <c r="V175" i="2" s="1"/>
  <c r="I186" i="2"/>
  <c r="F187" i="2" s="1"/>
  <c r="T370" i="2"/>
  <c r="B371" i="2"/>
  <c r="AE370" i="2"/>
  <c r="N370" i="2"/>
  <c r="M370" i="2"/>
  <c r="AD369" i="2"/>
  <c r="O176" i="2" l="1"/>
  <c r="S176" i="2" s="1"/>
  <c r="AF175" i="2"/>
  <c r="AG175" i="2" s="1"/>
  <c r="AH175" i="2" s="1"/>
  <c r="AD368" i="2"/>
  <c r="AD370" i="2"/>
  <c r="W175" i="2"/>
  <c r="H187" i="2"/>
  <c r="T371" i="2"/>
  <c r="B372" i="2"/>
  <c r="AE371" i="2"/>
  <c r="N371" i="2"/>
  <c r="M371" i="2"/>
  <c r="U176" i="2" l="1"/>
  <c r="V176" i="2" s="1"/>
  <c r="I187" i="2"/>
  <c r="F188" i="2" s="1"/>
  <c r="AD371" i="2"/>
  <c r="T372" i="2"/>
  <c r="B373" i="2"/>
  <c r="AE372" i="2"/>
  <c r="N372" i="2"/>
  <c r="M372" i="2"/>
  <c r="O177" i="2" l="1"/>
  <c r="S177" i="2" s="1"/>
  <c r="AF176" i="2"/>
  <c r="AG176" i="2" s="1"/>
  <c r="AH176" i="2" s="1"/>
  <c r="T373" i="2"/>
  <c r="B374" i="2"/>
  <c r="AE373" i="2"/>
  <c r="N373" i="2"/>
  <c r="M373" i="2"/>
  <c r="H188" i="2"/>
  <c r="W176" i="2"/>
  <c r="AD372" i="2"/>
  <c r="I188" i="2" l="1"/>
  <c r="F189" i="2" s="1"/>
  <c r="U177" i="2"/>
  <c r="V177" i="2" s="1"/>
  <c r="T374" i="2"/>
  <c r="AE374" i="2"/>
  <c r="N374" i="2"/>
  <c r="M374" i="2"/>
  <c r="B375" i="2"/>
  <c r="AD373" i="2"/>
  <c r="O178" i="2" l="1"/>
  <c r="S178" i="2" s="1"/>
  <c r="U178" i="2" s="1"/>
  <c r="V178" i="2" s="1"/>
  <c r="AF177" i="2"/>
  <c r="AG177" i="2" s="1"/>
  <c r="AH177" i="2" s="1"/>
  <c r="AD374" i="2"/>
  <c r="N375" i="2"/>
  <c r="M375" i="2"/>
  <c r="B376" i="2"/>
  <c r="H189" i="2"/>
  <c r="W177" i="2"/>
  <c r="I189" i="2" l="1"/>
  <c r="F190" i="2" s="1"/>
  <c r="T376" i="2"/>
  <c r="N376" i="2"/>
  <c r="M376" i="2"/>
  <c r="B377" i="2"/>
  <c r="AE376" i="2"/>
  <c r="AD375" i="2"/>
  <c r="AF178" i="2"/>
  <c r="AG178" i="2" s="1"/>
  <c r="AH178" i="2" s="1"/>
  <c r="O179" i="2" l="1"/>
  <c r="S179" i="2" s="1"/>
  <c r="U179" i="2" s="1"/>
  <c r="V179" i="2" s="1"/>
  <c r="AE375" i="2"/>
  <c r="T377" i="2"/>
  <c r="M377" i="2"/>
  <c r="B378" i="2"/>
  <c r="AE377" i="2"/>
  <c r="N377" i="2"/>
  <c r="H190" i="2"/>
  <c r="I190" i="2" s="1"/>
  <c r="AD376" i="2"/>
  <c r="W178" i="2"/>
  <c r="AD377" i="2" l="1"/>
  <c r="F191" i="2"/>
  <c r="T378" i="2"/>
  <c r="B379" i="2"/>
  <c r="AE378" i="2"/>
  <c r="N378" i="2"/>
  <c r="M378" i="2"/>
  <c r="AF179" i="2"/>
  <c r="AG179" i="2" s="1"/>
  <c r="AH179" i="2" s="1"/>
  <c r="O180" i="2" l="1"/>
  <c r="S180" i="2" s="1"/>
  <c r="U180" i="2" s="1"/>
  <c r="V180" i="2" s="1"/>
  <c r="H191" i="2"/>
  <c r="I191" i="2" s="1"/>
  <c r="W179" i="2"/>
  <c r="AD378" i="2"/>
  <c r="T379" i="2"/>
  <c r="B380" i="2"/>
  <c r="AE379" i="2"/>
  <c r="N379" i="2"/>
  <c r="M379" i="2"/>
  <c r="AD379" i="2" l="1"/>
  <c r="T380" i="2"/>
  <c r="B381" i="2"/>
  <c r="AE380" i="2"/>
  <c r="N380" i="2"/>
  <c r="M380" i="2"/>
  <c r="AF180" i="2"/>
  <c r="AG180" i="2" s="1"/>
  <c r="AH180" i="2" s="1"/>
  <c r="F192" i="2"/>
  <c r="O181" i="2" l="1"/>
  <c r="S181" i="2" s="1"/>
  <c r="U181" i="2" s="1"/>
  <c r="V181" i="2" s="1"/>
  <c r="AD380" i="2"/>
  <c r="H192" i="2"/>
  <c r="I192" i="2" s="1"/>
  <c r="W180" i="2"/>
  <c r="T381" i="2"/>
  <c r="B382" i="2"/>
  <c r="AE381" i="2"/>
  <c r="N381" i="2"/>
  <c r="M381" i="2"/>
  <c r="AD381" i="2" l="1"/>
  <c r="AF181" i="2"/>
  <c r="AG181" i="2" s="1"/>
  <c r="AH181" i="2" s="1"/>
  <c r="F193" i="2"/>
  <c r="B383" i="2"/>
  <c r="AE382" i="2"/>
  <c r="N382" i="2"/>
  <c r="T382" i="2"/>
  <c r="M382" i="2"/>
  <c r="O182" i="2" l="1"/>
  <c r="S182" i="2" s="1"/>
  <c r="U182" i="2" s="1"/>
  <c r="V182" i="2" s="1"/>
  <c r="AD382" i="2"/>
  <c r="W181" i="2"/>
  <c r="H193" i="2"/>
  <c r="I193" i="2" s="1"/>
  <c r="T383" i="2"/>
  <c r="N383" i="2"/>
  <c r="M383" i="2"/>
  <c r="AE383" i="2"/>
  <c r="B384" i="2"/>
  <c r="AF182" i="2" l="1"/>
  <c r="AG182" i="2" s="1"/>
  <c r="AH182" i="2" s="1"/>
  <c r="AD383" i="2"/>
  <c r="B385" i="2"/>
  <c r="N384" i="2"/>
  <c r="AE384" i="2"/>
  <c r="T384" i="2"/>
  <c r="M384" i="2"/>
  <c r="F194" i="2"/>
  <c r="O183" i="2" l="1"/>
  <c r="S183" i="2" s="1"/>
  <c r="U183" i="2" s="1"/>
  <c r="V183" i="2" s="1"/>
  <c r="H194" i="2"/>
  <c r="I194" i="2" s="1"/>
  <c r="T385" i="2"/>
  <c r="N385" i="2"/>
  <c r="M385" i="2"/>
  <c r="B386" i="2"/>
  <c r="AE385" i="2"/>
  <c r="AD384" i="2"/>
  <c r="W182" i="2"/>
  <c r="B387" i="2" l="1"/>
  <c r="N386" i="2"/>
  <c r="T386" i="2"/>
  <c r="AE386" i="2"/>
  <c r="M386" i="2"/>
  <c r="AF183" i="2"/>
  <c r="AG183" i="2" s="1"/>
  <c r="AH183" i="2" s="1"/>
  <c r="T183" i="2"/>
  <c r="G19" i="3" s="1"/>
  <c r="AD385" i="2"/>
  <c r="F195" i="2"/>
  <c r="O184" i="2" l="1"/>
  <c r="S184" i="2" s="1"/>
  <c r="W183" i="2"/>
  <c r="B388" i="2"/>
  <c r="M387" i="2"/>
  <c r="N387" i="2"/>
  <c r="H195" i="2"/>
  <c r="I195" i="2" s="1"/>
  <c r="AD386" i="2"/>
  <c r="U184" i="2" l="1"/>
  <c r="V184" i="2" s="1"/>
  <c r="B389" i="2"/>
  <c r="M388" i="2"/>
  <c r="AE388" i="2"/>
  <c r="T388" i="2"/>
  <c r="N388" i="2"/>
  <c r="F196" i="2"/>
  <c r="AD387" i="2"/>
  <c r="O185" i="2" l="1"/>
  <c r="S185" i="2" s="1"/>
  <c r="AF184" i="2"/>
  <c r="AG184" i="2" s="1"/>
  <c r="AH184" i="2" s="1"/>
  <c r="AE387" i="2"/>
  <c r="AD388" i="2"/>
  <c r="B390" i="2"/>
  <c r="M389" i="2"/>
  <c r="N389" i="2"/>
  <c r="T389" i="2"/>
  <c r="AE389" i="2"/>
  <c r="H196" i="2"/>
  <c r="P195" i="2"/>
  <c r="W184" i="2"/>
  <c r="U185" i="2" l="1"/>
  <c r="V185" i="2" s="1"/>
  <c r="I196" i="2"/>
  <c r="F197" i="2" s="1"/>
  <c r="B391" i="2"/>
  <c r="M390" i="2"/>
  <c r="T390" i="2"/>
  <c r="N390" i="2"/>
  <c r="AE390" i="2"/>
  <c r="AD389" i="2"/>
  <c r="O186" i="2" l="1"/>
  <c r="S186" i="2" s="1"/>
  <c r="AF185" i="2"/>
  <c r="AG185" i="2" s="1"/>
  <c r="AH185" i="2" s="1"/>
  <c r="AD390" i="2"/>
  <c r="B392" i="2"/>
  <c r="M391" i="2"/>
  <c r="T391" i="2"/>
  <c r="N391" i="2"/>
  <c r="AE391" i="2"/>
  <c r="H197" i="2"/>
  <c r="W185" i="2"/>
  <c r="U186" i="2" l="1"/>
  <c r="V186" i="2" s="1"/>
  <c r="I197" i="2"/>
  <c r="F198" i="2" s="1"/>
  <c r="B393" i="2"/>
  <c r="M392" i="2"/>
  <c r="AE392" i="2"/>
  <c r="N392" i="2"/>
  <c r="T392" i="2"/>
  <c r="AD391" i="2"/>
  <c r="O187" i="2" l="1"/>
  <c r="S187" i="2" s="1"/>
  <c r="AF186" i="2"/>
  <c r="AG186" i="2" s="1"/>
  <c r="AH186" i="2" s="1"/>
  <c r="AD392" i="2"/>
  <c r="B394" i="2"/>
  <c r="M393" i="2"/>
  <c r="N393" i="2"/>
  <c r="T393" i="2"/>
  <c r="AE393" i="2"/>
  <c r="W186" i="2"/>
  <c r="H198" i="2"/>
  <c r="U187" i="2" l="1"/>
  <c r="V187" i="2" s="1"/>
  <c r="I198" i="2"/>
  <c r="B395" i="2"/>
  <c r="M394" i="2"/>
  <c r="T394" i="2"/>
  <c r="N394" i="2"/>
  <c r="AE394" i="2"/>
  <c r="F199" i="2"/>
  <c r="AD393" i="2"/>
  <c r="O188" i="2" l="1"/>
  <c r="S188" i="2" s="1"/>
  <c r="AF187" i="2"/>
  <c r="AG187" i="2" s="1"/>
  <c r="AH187" i="2" s="1"/>
  <c r="H199" i="2"/>
  <c r="B396" i="2"/>
  <c r="M395" i="2"/>
  <c r="T395" i="2"/>
  <c r="N395" i="2"/>
  <c r="AE395" i="2"/>
  <c r="W187" i="2"/>
  <c r="AD394" i="2"/>
  <c r="U188" i="2" l="1"/>
  <c r="V188" i="2" s="1"/>
  <c r="I199" i="2"/>
  <c r="F200" i="2" s="1"/>
  <c r="B397" i="2"/>
  <c r="M396" i="2"/>
  <c r="AE396" i="2"/>
  <c r="T396" i="2"/>
  <c r="N396" i="2"/>
  <c r="AD395" i="2"/>
  <c r="O189" i="2" l="1"/>
  <c r="S189" i="2" s="1"/>
  <c r="AF188" i="2"/>
  <c r="AG188" i="2" s="1"/>
  <c r="AH188" i="2" s="1"/>
  <c r="H200" i="2"/>
  <c r="B398" i="2"/>
  <c r="M397" i="2"/>
  <c r="N397" i="2"/>
  <c r="T397" i="2"/>
  <c r="AE397" i="2"/>
  <c r="W188" i="2"/>
  <c r="AD396" i="2"/>
  <c r="U189" i="2" l="1"/>
  <c r="V189" i="2" s="1"/>
  <c r="I200" i="2"/>
  <c r="F201" i="2" s="1"/>
  <c r="B399" i="2"/>
  <c r="N398" i="2"/>
  <c r="T398" i="2"/>
  <c r="AE398" i="2"/>
  <c r="M398" i="2"/>
  <c r="AD397" i="2"/>
  <c r="O190" i="2" l="1"/>
  <c r="S190" i="2" s="1"/>
  <c r="U190" i="2" s="1"/>
  <c r="V190" i="2" s="1"/>
  <c r="AF189" i="2"/>
  <c r="AG189" i="2" s="1"/>
  <c r="AH189" i="2" s="1"/>
  <c r="AD398" i="2"/>
  <c r="B400" i="2"/>
  <c r="M399" i="2"/>
  <c r="N399" i="2"/>
  <c r="W189" i="2"/>
  <c r="H201" i="2"/>
  <c r="I201" i="2" l="1"/>
  <c r="F202" i="2" s="1"/>
  <c r="AF190" i="2"/>
  <c r="AG190" i="2" s="1"/>
  <c r="AH190" i="2" s="1"/>
  <c r="B401" i="2"/>
  <c r="M400" i="2"/>
  <c r="N400" i="2"/>
  <c r="T400" i="2"/>
  <c r="AE400" i="2"/>
  <c r="AD399" i="2"/>
  <c r="O191" i="2" l="1"/>
  <c r="S191" i="2" s="1"/>
  <c r="U191" i="2" s="1"/>
  <c r="V191" i="2" s="1"/>
  <c r="AE399" i="2"/>
  <c r="AD400" i="2"/>
  <c r="B402" i="2"/>
  <c r="M401" i="2"/>
  <c r="T401" i="2"/>
  <c r="N401" i="2"/>
  <c r="AE401" i="2"/>
  <c r="H202" i="2"/>
  <c r="I202" i="2" s="1"/>
  <c r="W190" i="2"/>
  <c r="AF191" i="2" l="1"/>
  <c r="AG191" i="2" s="1"/>
  <c r="AH191" i="2" s="1"/>
  <c r="B403" i="2"/>
  <c r="M402" i="2"/>
  <c r="AE402" i="2"/>
  <c r="N402" i="2"/>
  <c r="T402" i="2"/>
  <c r="AD401" i="2"/>
  <c r="F203" i="2"/>
  <c r="O192" i="2" l="1"/>
  <c r="S192" i="2" s="1"/>
  <c r="U192" i="2" s="1"/>
  <c r="V192" i="2" s="1"/>
  <c r="AD402" i="2"/>
  <c r="B404" i="2"/>
  <c r="N403" i="2"/>
  <c r="M403" i="2"/>
  <c r="T403" i="2"/>
  <c r="AE403" i="2"/>
  <c r="H203" i="2"/>
  <c r="I203" i="2" s="1"/>
  <c r="W191" i="2"/>
  <c r="B405" i="2" l="1"/>
  <c r="AE404" i="2"/>
  <c r="T404" i="2"/>
  <c r="M404" i="2"/>
  <c r="N404" i="2"/>
  <c r="AF192" i="2"/>
  <c r="AG192" i="2" s="1"/>
  <c r="AH192" i="2" s="1"/>
  <c r="AD403" i="2"/>
  <c r="F204" i="2"/>
  <c r="O193" i="2" l="1"/>
  <c r="S193" i="2" s="1"/>
  <c r="U193" i="2" s="1"/>
  <c r="V193" i="2" s="1"/>
  <c r="W192" i="2"/>
  <c r="H204" i="2"/>
  <c r="I204" i="2" s="1"/>
  <c r="B406" i="2"/>
  <c r="M405" i="2"/>
  <c r="T405" i="2"/>
  <c r="AE405" i="2"/>
  <c r="N405" i="2"/>
  <c r="AD404" i="2"/>
  <c r="AD405" i="2" l="1"/>
  <c r="AF193" i="2"/>
  <c r="AG193" i="2" s="1"/>
  <c r="AH193" i="2" s="1"/>
  <c r="F205" i="2"/>
  <c r="B407" i="2"/>
  <c r="N406" i="2"/>
  <c r="T406" i="2"/>
  <c r="AE406" i="2"/>
  <c r="M406" i="2"/>
  <c r="O194" i="2" l="1"/>
  <c r="S194" i="2" s="1"/>
  <c r="U194" i="2" s="1"/>
  <c r="V194" i="2" s="1"/>
  <c r="AD406" i="2"/>
  <c r="B408" i="2"/>
  <c r="AE407" i="2"/>
  <c r="T407" i="2"/>
  <c r="M407" i="2"/>
  <c r="N407" i="2"/>
  <c r="H205" i="2"/>
  <c r="I205" i="2" s="1"/>
  <c r="W193" i="2"/>
  <c r="F206" i="2" l="1"/>
  <c r="B409" i="2"/>
  <c r="M408" i="2"/>
  <c r="N408" i="2"/>
  <c r="T408" i="2"/>
  <c r="AE408" i="2"/>
  <c r="AF194" i="2"/>
  <c r="AG194" i="2" s="1"/>
  <c r="AH194" i="2" s="1"/>
  <c r="AD407" i="2"/>
  <c r="O195" i="2" l="1"/>
  <c r="S195" i="2" s="1"/>
  <c r="U195" i="2" s="1"/>
  <c r="V195" i="2" s="1"/>
  <c r="AD408" i="2"/>
  <c r="B410" i="2"/>
  <c r="M409" i="2"/>
  <c r="T409" i="2"/>
  <c r="AE409" i="2"/>
  <c r="N409" i="2"/>
  <c r="W194" i="2"/>
  <c r="H206" i="2"/>
  <c r="I206" i="2" s="1"/>
  <c r="AF195" i="2" l="1"/>
  <c r="AG195" i="2" s="1"/>
  <c r="AH195" i="2" s="1"/>
  <c r="T195" i="2"/>
  <c r="G20" i="3" s="1"/>
  <c r="F207" i="2"/>
  <c r="B411" i="2"/>
  <c r="M410" i="2"/>
  <c r="T410" i="2"/>
  <c r="AE410" i="2"/>
  <c r="N410" i="2"/>
  <c r="AD409" i="2"/>
  <c r="O196" i="2" l="1"/>
  <c r="S196" i="2" s="1"/>
  <c r="AD410" i="2"/>
  <c r="H207" i="2"/>
  <c r="I207" i="2" s="1"/>
  <c r="W195" i="2"/>
  <c r="B412" i="2"/>
  <c r="N411" i="2"/>
  <c r="M411" i="2"/>
  <c r="U196" i="2" l="1"/>
  <c r="V196" i="2" s="1"/>
  <c r="B413" i="2"/>
  <c r="AE412" i="2"/>
  <c r="T412" i="2"/>
  <c r="M412" i="2"/>
  <c r="N412" i="2"/>
  <c r="AD411" i="2"/>
  <c r="F208" i="2"/>
  <c r="O197" i="2" l="1"/>
  <c r="S197" i="2" s="1"/>
  <c r="AF196" i="2"/>
  <c r="AG196" i="2" s="1"/>
  <c r="AH196" i="2" s="1"/>
  <c r="AE411" i="2"/>
  <c r="H208" i="2"/>
  <c r="P207" i="2"/>
  <c r="B414" i="2"/>
  <c r="M413" i="2"/>
  <c r="T413" i="2"/>
  <c r="AE413" i="2"/>
  <c r="N413" i="2"/>
  <c r="W196" i="2"/>
  <c r="AD412" i="2"/>
  <c r="U197" i="2" l="1"/>
  <c r="V197" i="2" s="1"/>
  <c r="I208" i="2"/>
  <c r="F209" i="2" s="1"/>
  <c r="B415" i="2"/>
  <c r="N414" i="2"/>
  <c r="T414" i="2"/>
  <c r="AE414" i="2"/>
  <c r="M414" i="2"/>
  <c r="AD413" i="2"/>
  <c r="O198" i="2" l="1"/>
  <c r="S198" i="2" s="1"/>
  <c r="AF197" i="2"/>
  <c r="AG197" i="2" s="1"/>
  <c r="AH197" i="2" s="1"/>
  <c r="H209" i="2"/>
  <c r="W197" i="2"/>
  <c r="B416" i="2"/>
  <c r="AE415" i="2"/>
  <c r="T415" i="2"/>
  <c r="M415" i="2"/>
  <c r="N415" i="2"/>
  <c r="AD414" i="2"/>
  <c r="U198" i="2" l="1"/>
  <c r="V198" i="2" s="1"/>
  <c r="I209" i="2"/>
  <c r="F210" i="2" s="1"/>
  <c r="B417" i="2"/>
  <c r="M416" i="2"/>
  <c r="N416" i="2"/>
  <c r="T416" i="2"/>
  <c r="AE416" i="2"/>
  <c r="AD415" i="2"/>
  <c r="O199" i="2" l="1"/>
  <c r="S199" i="2" s="1"/>
  <c r="AF198" i="2"/>
  <c r="AG198" i="2" s="1"/>
  <c r="AH198" i="2" s="1"/>
  <c r="H210" i="2"/>
  <c r="B418" i="2"/>
  <c r="M417" i="2"/>
  <c r="T417" i="2"/>
  <c r="AE417" i="2"/>
  <c r="N417" i="2"/>
  <c r="W198" i="2"/>
  <c r="AD416" i="2"/>
  <c r="U199" i="2" l="1"/>
  <c r="V199" i="2" s="1"/>
  <c r="I210" i="2"/>
  <c r="F211" i="2" s="1"/>
  <c r="B419" i="2"/>
  <c r="M418" i="2"/>
  <c r="T418" i="2"/>
  <c r="AE418" i="2"/>
  <c r="N418" i="2"/>
  <c r="AD417" i="2"/>
  <c r="O200" i="2" l="1"/>
  <c r="S200" i="2" s="1"/>
  <c r="AF199" i="2"/>
  <c r="AG199" i="2" s="1"/>
  <c r="AH199" i="2" s="1"/>
  <c r="W199" i="2"/>
  <c r="H211" i="2"/>
  <c r="B420" i="2"/>
  <c r="N419" i="2"/>
  <c r="M419" i="2"/>
  <c r="T419" i="2"/>
  <c r="AE419" i="2"/>
  <c r="AD418" i="2"/>
  <c r="U200" i="2" l="1"/>
  <c r="V200" i="2" s="1"/>
  <c r="I211" i="2"/>
  <c r="F212" i="2" s="1"/>
  <c r="AD419" i="2"/>
  <c r="B421" i="2"/>
  <c r="AE420" i="2"/>
  <c r="T420" i="2"/>
  <c r="M420" i="2"/>
  <c r="N420" i="2"/>
  <c r="O201" i="2" l="1"/>
  <c r="S201" i="2" s="1"/>
  <c r="AF200" i="2"/>
  <c r="AG200" i="2" s="1"/>
  <c r="AH200" i="2" s="1"/>
  <c r="W200" i="2"/>
  <c r="B422" i="2"/>
  <c r="M421" i="2"/>
  <c r="T421" i="2"/>
  <c r="AE421" i="2"/>
  <c r="N421" i="2"/>
  <c r="H212" i="2"/>
  <c r="U201" i="2" l="1"/>
  <c r="V201" i="2" s="1"/>
  <c r="I212" i="2"/>
  <c r="F213" i="2" s="1"/>
  <c r="B423" i="2"/>
  <c r="N422" i="2"/>
  <c r="T422" i="2"/>
  <c r="AE422" i="2"/>
  <c r="M422" i="2"/>
  <c r="AD421" i="2"/>
  <c r="O202" i="2" l="1"/>
  <c r="S202" i="2" s="1"/>
  <c r="AF201" i="2"/>
  <c r="AG201" i="2" s="1"/>
  <c r="AH201" i="2" s="1"/>
  <c r="AD420" i="2"/>
  <c r="W201" i="2"/>
  <c r="H213" i="2"/>
  <c r="U202" i="2"/>
  <c r="V202" i="2" s="1"/>
  <c r="B424" i="2"/>
  <c r="M423" i="2"/>
  <c r="N423" i="2"/>
  <c r="AD422" i="2"/>
  <c r="I213" i="2" l="1"/>
  <c r="F214" i="2" s="1"/>
  <c r="AF202" i="2"/>
  <c r="AG202" i="2" s="1"/>
  <c r="AH202" i="2" s="1"/>
  <c r="B425" i="2"/>
  <c r="M424" i="2"/>
  <c r="N424" i="2"/>
  <c r="T424" i="2"/>
  <c r="AE424" i="2"/>
  <c r="AD423" i="2"/>
  <c r="O203" i="2" l="1"/>
  <c r="S203" i="2" s="1"/>
  <c r="U203" i="2" s="1"/>
  <c r="V203" i="2" s="1"/>
  <c r="AE423" i="2"/>
  <c r="AD424" i="2"/>
  <c r="W202" i="2"/>
  <c r="H214" i="2"/>
  <c r="I214" i="2" s="1"/>
  <c r="B426" i="2"/>
  <c r="M425" i="2"/>
  <c r="T425" i="2"/>
  <c r="AE425" i="2"/>
  <c r="N425" i="2"/>
  <c r="AF203" i="2" l="1"/>
  <c r="AG203" i="2" s="1"/>
  <c r="AH203" i="2" s="1"/>
  <c r="B427" i="2"/>
  <c r="M426" i="2"/>
  <c r="T426" i="2"/>
  <c r="AE426" i="2"/>
  <c r="N426" i="2"/>
  <c r="F215" i="2"/>
  <c r="AD425" i="2"/>
  <c r="O204" i="2" l="1"/>
  <c r="S204" i="2" s="1"/>
  <c r="U204" i="2" s="1"/>
  <c r="V204" i="2" s="1"/>
  <c r="B428" i="2"/>
  <c r="N427" i="2"/>
  <c r="M427" i="2"/>
  <c r="T427" i="2"/>
  <c r="AE427" i="2"/>
  <c r="AD426" i="2"/>
  <c r="W203" i="2"/>
  <c r="H215" i="2"/>
  <c r="I215" i="2" s="1"/>
  <c r="AF204" i="2" l="1"/>
  <c r="AG204" i="2" s="1"/>
  <c r="AH204" i="2" s="1"/>
  <c r="F216" i="2"/>
  <c r="B429" i="2"/>
  <c r="AE428" i="2"/>
  <c r="T428" i="2"/>
  <c r="M428" i="2"/>
  <c r="N428" i="2"/>
  <c r="AD427" i="2"/>
  <c r="O205" i="2" l="1"/>
  <c r="S205" i="2" s="1"/>
  <c r="B430" i="2"/>
  <c r="M429" i="2"/>
  <c r="T429" i="2"/>
  <c r="AE429" i="2"/>
  <c r="N429" i="2"/>
  <c r="AD428" i="2"/>
  <c r="H216" i="2"/>
  <c r="I216" i="2" s="1"/>
  <c r="U205" i="2"/>
  <c r="V205" i="2" s="1"/>
  <c r="W204" i="2"/>
  <c r="AF205" i="2" l="1"/>
  <c r="AG205" i="2" s="1"/>
  <c r="AH205" i="2" s="1"/>
  <c r="B431" i="2"/>
  <c r="N430" i="2"/>
  <c r="T430" i="2"/>
  <c r="AE430" i="2"/>
  <c r="M430" i="2"/>
  <c r="F217" i="2"/>
  <c r="AD429" i="2"/>
  <c r="O206" i="2" l="1"/>
  <c r="S206" i="2" s="1"/>
  <c r="U206" i="2" s="1"/>
  <c r="V206" i="2" s="1"/>
  <c r="B432" i="2"/>
  <c r="AE431" i="2"/>
  <c r="T431" i="2"/>
  <c r="M431" i="2"/>
  <c r="N431" i="2"/>
  <c r="AD430" i="2"/>
  <c r="W205" i="2"/>
  <c r="H217" i="2"/>
  <c r="I217" i="2" s="1"/>
  <c r="AF206" i="2" l="1"/>
  <c r="AG206" i="2" s="1"/>
  <c r="AH206" i="2" s="1"/>
  <c r="F218" i="2"/>
  <c r="B433" i="2"/>
  <c r="M432" i="2"/>
  <c r="N432" i="2"/>
  <c r="T432" i="2"/>
  <c r="AE432" i="2"/>
  <c r="AD431" i="2"/>
  <c r="O207" i="2" l="1"/>
  <c r="S207" i="2" s="1"/>
  <c r="U207" i="2" s="1"/>
  <c r="V207" i="2" s="1"/>
  <c r="AD432" i="2"/>
  <c r="B434" i="2"/>
  <c r="M433" i="2"/>
  <c r="T433" i="2"/>
  <c r="AE433" i="2"/>
  <c r="N433" i="2"/>
  <c r="H218" i="2"/>
  <c r="I218" i="2" s="1"/>
  <c r="W206" i="2"/>
  <c r="F219" i="2" l="1"/>
  <c r="B435" i="2"/>
  <c r="M434" i="2"/>
  <c r="T434" i="2"/>
  <c r="AE434" i="2"/>
  <c r="N434" i="2"/>
  <c r="AF207" i="2"/>
  <c r="AG207" i="2" s="1"/>
  <c r="AH207" i="2" s="1"/>
  <c r="T207" i="2"/>
  <c r="G21" i="3" s="1"/>
  <c r="AD433" i="2"/>
  <c r="O208" i="2" l="1"/>
  <c r="S208" i="2" s="1"/>
  <c r="AD434" i="2"/>
  <c r="B436" i="2"/>
  <c r="N435" i="2"/>
  <c r="M435" i="2"/>
  <c r="W207" i="2"/>
  <c r="H219" i="2"/>
  <c r="I219" i="2" s="1"/>
  <c r="U208" i="2" l="1"/>
  <c r="V208" i="2" s="1"/>
  <c r="F220" i="2"/>
  <c r="B437" i="2"/>
  <c r="T436" i="2"/>
  <c r="N436" i="2"/>
  <c r="M436" i="2"/>
  <c r="AE436" i="2"/>
  <c r="AD435" i="2"/>
  <c r="O209" i="2" l="1"/>
  <c r="S209" i="2" s="1"/>
  <c r="AF208" i="2"/>
  <c r="AG208" i="2" s="1"/>
  <c r="AH208" i="2" s="1"/>
  <c r="AE435" i="2"/>
  <c r="AD436" i="2"/>
  <c r="B438" i="2"/>
  <c r="AE437" i="2"/>
  <c r="N437" i="2"/>
  <c r="T437" i="2"/>
  <c r="M437" i="2"/>
  <c r="H220" i="2"/>
  <c r="P219" i="2"/>
  <c r="W208" i="2"/>
  <c r="U209" i="2" l="1"/>
  <c r="V209" i="2" s="1"/>
  <c r="I220" i="2"/>
  <c r="F221" i="2" s="1"/>
  <c r="AD437" i="2"/>
  <c r="B439" i="2"/>
  <c r="T438" i="2"/>
  <c r="AE438" i="2"/>
  <c r="N438" i="2"/>
  <c r="M438" i="2"/>
  <c r="O210" i="2" l="1"/>
  <c r="S210" i="2" s="1"/>
  <c r="AF209" i="2"/>
  <c r="AG209" i="2" s="1"/>
  <c r="AH209" i="2" s="1"/>
  <c r="AD438" i="2"/>
  <c r="H221" i="2"/>
  <c r="W209" i="2"/>
  <c r="B440" i="2"/>
  <c r="AE439" i="2"/>
  <c r="N439" i="2"/>
  <c r="M439" i="2"/>
  <c r="T439" i="2"/>
  <c r="U210" i="2" l="1"/>
  <c r="V210" i="2" s="1"/>
  <c r="I221" i="2"/>
  <c r="F222" i="2" s="1"/>
  <c r="AD439" i="2"/>
  <c r="B441" i="2"/>
  <c r="T440" i="2"/>
  <c r="N440" i="2"/>
  <c r="M440" i="2"/>
  <c r="AE440" i="2"/>
  <c r="O211" i="2" l="1"/>
  <c r="S211" i="2" s="1"/>
  <c r="AF210" i="2"/>
  <c r="AG210" i="2" s="1"/>
  <c r="AH210" i="2" s="1"/>
  <c r="H222" i="2"/>
  <c r="B442" i="2"/>
  <c r="M441" i="2"/>
  <c r="AE441" i="2"/>
  <c r="T441" i="2"/>
  <c r="N441" i="2"/>
  <c r="AD440" i="2"/>
  <c r="W210" i="2"/>
  <c r="U211" i="2" l="1"/>
  <c r="V211" i="2" s="1"/>
  <c r="I222" i="2"/>
  <c r="F223" i="2" s="1"/>
  <c r="AD441" i="2"/>
  <c r="B443" i="2"/>
  <c r="AE442" i="2"/>
  <c r="M442" i="2"/>
  <c r="T442" i="2"/>
  <c r="N442" i="2"/>
  <c r="O212" i="2" l="1"/>
  <c r="S212" i="2" s="1"/>
  <c r="AF211" i="2"/>
  <c r="AG211" i="2" s="1"/>
  <c r="AH211" i="2" s="1"/>
  <c r="B444" i="2"/>
  <c r="N443" i="2"/>
  <c r="AE443" i="2"/>
  <c r="T443" i="2"/>
  <c r="M443" i="2"/>
  <c r="H223" i="2"/>
  <c r="AD442" i="2"/>
  <c r="W211" i="2"/>
  <c r="I223" i="2" l="1"/>
  <c r="F224" i="2" s="1"/>
  <c r="U212" i="2"/>
  <c r="V212" i="2" s="1"/>
  <c r="AD443" i="2"/>
  <c r="B445" i="2"/>
  <c r="AE444" i="2"/>
  <c r="N444" i="2"/>
  <c r="T444" i="2"/>
  <c r="M444" i="2"/>
  <c r="O213" i="2" l="1"/>
  <c r="S213" i="2" s="1"/>
  <c r="AF212" i="2"/>
  <c r="AG212" i="2" s="1"/>
  <c r="AH212" i="2" s="1"/>
  <c r="B446" i="2"/>
  <c r="M445" i="2"/>
  <c r="T445" i="2"/>
  <c r="AE445" i="2"/>
  <c r="N445" i="2"/>
  <c r="W212" i="2"/>
  <c r="H224" i="2"/>
  <c r="AD444" i="2"/>
  <c r="U213" i="2" l="1"/>
  <c r="V213" i="2" s="1"/>
  <c r="I224" i="2"/>
  <c r="F225" i="2" s="1"/>
  <c r="AD445" i="2"/>
  <c r="B447" i="2"/>
  <c r="N446" i="2"/>
  <c r="M446" i="2"/>
  <c r="AE446" i="2"/>
  <c r="T446" i="2"/>
  <c r="O214" i="2" l="1"/>
  <c r="S214" i="2" s="1"/>
  <c r="AF213" i="2"/>
  <c r="AG213" i="2" s="1"/>
  <c r="AH213" i="2" s="1"/>
  <c r="B448" i="2"/>
  <c r="N447" i="2"/>
  <c r="M447" i="2"/>
  <c r="AD446" i="2"/>
  <c r="H225" i="2"/>
  <c r="U214" i="2"/>
  <c r="V214" i="2" s="1"/>
  <c r="W213" i="2"/>
  <c r="I225" i="2" l="1"/>
  <c r="AD447" i="2"/>
  <c r="AF214" i="2"/>
  <c r="AG214" i="2" s="1"/>
  <c r="AH214" i="2" s="1"/>
  <c r="F226" i="2"/>
  <c r="B449" i="2"/>
  <c r="M448" i="2"/>
  <c r="T448" i="2"/>
  <c r="N448" i="2"/>
  <c r="AE448" i="2"/>
  <c r="O215" i="2" l="1"/>
  <c r="S215" i="2" s="1"/>
  <c r="U215" i="2" s="1"/>
  <c r="V215" i="2" s="1"/>
  <c r="AE447" i="2"/>
  <c r="B450" i="2"/>
  <c r="AE449" i="2"/>
  <c r="AD449" i="2"/>
  <c r="N449" i="2"/>
  <c r="T449" i="2"/>
  <c r="M449" i="2"/>
  <c r="H226" i="2"/>
  <c r="I226" i="2" s="1"/>
  <c r="W214" i="2"/>
  <c r="AD448" i="2"/>
  <c r="AF215" i="2" l="1"/>
  <c r="AG215" i="2" s="1"/>
  <c r="AH215" i="2" s="1"/>
  <c r="B451" i="2"/>
  <c r="AE450" i="2"/>
  <c r="T450" i="2"/>
  <c r="M450" i="2"/>
  <c r="N450" i="2"/>
  <c r="F227" i="2"/>
  <c r="O216" i="2" l="1"/>
  <c r="S216" i="2" s="1"/>
  <c r="U216" i="2" s="1"/>
  <c r="V216" i="2" s="1"/>
  <c r="AD450" i="2"/>
  <c r="B452" i="2"/>
  <c r="T451" i="2"/>
  <c r="M451" i="2"/>
  <c r="AE451" i="2"/>
  <c r="N451" i="2"/>
  <c r="W215" i="2"/>
  <c r="H227" i="2"/>
  <c r="I227" i="2" s="1"/>
  <c r="AF216" i="2" l="1"/>
  <c r="AG216" i="2" s="1"/>
  <c r="AH216" i="2" s="1"/>
  <c r="F228" i="2"/>
  <c r="AD451" i="2"/>
  <c r="B453" i="2"/>
  <c r="AE452" i="2"/>
  <c r="T452" i="2"/>
  <c r="N452" i="2"/>
  <c r="M452" i="2"/>
  <c r="O217" i="2" l="1"/>
  <c r="S217" i="2" s="1"/>
  <c r="U217" i="2" s="1"/>
  <c r="V217" i="2" s="1"/>
  <c r="B454" i="2"/>
  <c r="T453" i="2"/>
  <c r="AE453" i="2"/>
  <c r="M453" i="2"/>
  <c r="N453" i="2"/>
  <c r="H228" i="2"/>
  <c r="I228" i="2" s="1"/>
  <c r="W216" i="2"/>
  <c r="AD452" i="2"/>
  <c r="F229" i="2" l="1"/>
  <c r="AD453" i="2"/>
  <c r="AF217" i="2"/>
  <c r="AG217" i="2" s="1"/>
  <c r="AH217" i="2" s="1"/>
  <c r="B455" i="2"/>
  <c r="N454" i="2"/>
  <c r="T454" i="2"/>
  <c r="AE454" i="2"/>
  <c r="M454" i="2"/>
  <c r="O218" i="2" l="1"/>
  <c r="S218" i="2" s="1"/>
  <c r="U218" i="2" s="1"/>
  <c r="V218" i="2" s="1"/>
  <c r="AD454" i="2"/>
  <c r="B456" i="2"/>
  <c r="N455" i="2"/>
  <c r="M455" i="2"/>
  <c r="T455" i="2"/>
  <c r="AE455" i="2"/>
  <c r="W217" i="2"/>
  <c r="H229" i="2"/>
  <c r="I229" i="2" s="1"/>
  <c r="AF218" i="2" l="1"/>
  <c r="AG218" i="2" s="1"/>
  <c r="AH218" i="2" s="1"/>
  <c r="AD455" i="2"/>
  <c r="F230" i="2"/>
  <c r="B457" i="2"/>
  <c r="M456" i="2"/>
  <c r="T456" i="2"/>
  <c r="AE456" i="2"/>
  <c r="N456" i="2"/>
  <c r="O219" i="2" l="1"/>
  <c r="S219" i="2" s="1"/>
  <c r="U219" i="2" s="1"/>
  <c r="V219" i="2" s="1"/>
  <c r="AD457" i="2"/>
  <c r="B458" i="2"/>
  <c r="AE457" i="2"/>
  <c r="N457" i="2"/>
  <c r="T457" i="2"/>
  <c r="M457" i="2"/>
  <c r="AD456" i="2"/>
  <c r="H230" i="2"/>
  <c r="I230" i="2" s="1"/>
  <c r="W218" i="2"/>
  <c r="AF219" i="2" l="1"/>
  <c r="AG219" i="2" s="1"/>
  <c r="AH219" i="2" s="1"/>
  <c r="T219" i="2"/>
  <c r="G22" i="3" s="1"/>
  <c r="F231" i="2"/>
  <c r="B459" i="2"/>
  <c r="AE458" i="2"/>
  <c r="T458" i="2"/>
  <c r="M458" i="2"/>
  <c r="N458" i="2"/>
  <c r="O220" i="2" l="1"/>
  <c r="S220" i="2" s="1"/>
  <c r="AD458" i="2"/>
  <c r="B460" i="2"/>
  <c r="N459" i="2"/>
  <c r="M459" i="2"/>
  <c r="H231" i="2"/>
  <c r="I231" i="2" s="1"/>
  <c r="W219" i="2"/>
  <c r="U220" i="2" l="1"/>
  <c r="V220" i="2" s="1"/>
  <c r="AD459" i="2"/>
  <c r="F232" i="2"/>
  <c r="B461" i="2"/>
  <c r="AE460" i="2"/>
  <c r="T460" i="2"/>
  <c r="N460" i="2"/>
  <c r="M460" i="2"/>
  <c r="O221" i="2" l="1"/>
  <c r="S221" i="2" s="1"/>
  <c r="AF220" i="2"/>
  <c r="AG220" i="2" s="1"/>
  <c r="AH220" i="2" s="1"/>
  <c r="AE459" i="2"/>
  <c r="B462" i="2"/>
  <c r="T461" i="2"/>
  <c r="N461" i="2"/>
  <c r="AE461" i="2"/>
  <c r="M461" i="2"/>
  <c r="W220" i="2"/>
  <c r="AD460" i="2"/>
  <c r="H232" i="2"/>
  <c r="P231" i="2"/>
  <c r="U221" i="2" l="1"/>
  <c r="V221" i="2" s="1"/>
  <c r="I232" i="2"/>
  <c r="F233" i="2" s="1"/>
  <c r="AD461" i="2"/>
  <c r="B463" i="2"/>
  <c r="N462" i="2"/>
  <c r="T462" i="2"/>
  <c r="AE462" i="2"/>
  <c r="M462" i="2"/>
  <c r="O222" i="2" l="1"/>
  <c r="S222" i="2" s="1"/>
  <c r="AF221" i="2"/>
  <c r="AG221" i="2" s="1"/>
  <c r="AH221" i="2" s="1"/>
  <c r="AD462" i="2"/>
  <c r="H233" i="2"/>
  <c r="B464" i="2"/>
  <c r="N463" i="2"/>
  <c r="M463" i="2"/>
  <c r="T463" i="2"/>
  <c r="AE463" i="2"/>
  <c r="W221" i="2"/>
  <c r="I233" i="2" l="1"/>
  <c r="U222" i="2"/>
  <c r="V222" i="2" s="1"/>
  <c r="AD463" i="2"/>
  <c r="B465" i="2"/>
  <c r="M464" i="2"/>
  <c r="T464" i="2"/>
  <c r="AE464" i="2"/>
  <c r="N464" i="2"/>
  <c r="F234" i="2"/>
  <c r="O223" i="2" l="1"/>
  <c r="S223" i="2" s="1"/>
  <c r="AF222" i="2"/>
  <c r="AG222" i="2" s="1"/>
  <c r="AH222" i="2" s="1"/>
  <c r="AD464" i="2"/>
  <c r="H234" i="2"/>
  <c r="B466" i="2"/>
  <c r="AE465" i="2"/>
  <c r="N465" i="2"/>
  <c r="T465" i="2"/>
  <c r="M465" i="2"/>
  <c r="W222" i="2"/>
  <c r="I234" i="2" l="1"/>
  <c r="U223" i="2"/>
  <c r="V223" i="2" s="1"/>
  <c r="AD465" i="2"/>
  <c r="B467" i="2"/>
  <c r="AE466" i="2"/>
  <c r="T466" i="2"/>
  <c r="M466" i="2"/>
  <c r="N466" i="2"/>
  <c r="F235" i="2"/>
  <c r="O224" i="2" l="1"/>
  <c r="S224" i="2" s="1"/>
  <c r="AF223" i="2"/>
  <c r="AG223" i="2" s="1"/>
  <c r="AH223" i="2" s="1"/>
  <c r="B468" i="2"/>
  <c r="T467" i="2"/>
  <c r="AE467" i="2"/>
  <c r="N467" i="2"/>
  <c r="M467" i="2"/>
  <c r="H235" i="2"/>
  <c r="AD466" i="2"/>
  <c r="W223" i="2"/>
  <c r="I235" i="2" l="1"/>
  <c r="F236" i="2" s="1"/>
  <c r="U224" i="2"/>
  <c r="V224" i="2" s="1"/>
  <c r="AD467" i="2"/>
  <c r="B469" i="2"/>
  <c r="AE468" i="2"/>
  <c r="T468" i="2"/>
  <c r="N468" i="2"/>
  <c r="M468" i="2"/>
  <c r="O225" i="2" l="1"/>
  <c r="S225" i="2" s="1"/>
  <c r="AF224" i="2"/>
  <c r="AG224" i="2" s="1"/>
  <c r="AH224" i="2" s="1"/>
  <c r="B470" i="2"/>
  <c r="T469" i="2"/>
  <c r="N469" i="2"/>
  <c r="AE469" i="2"/>
  <c r="M469" i="2"/>
  <c r="H236" i="2"/>
  <c r="AD468" i="2"/>
  <c r="W224" i="2"/>
  <c r="I236" i="2" l="1"/>
  <c r="F237" i="2" s="1"/>
  <c r="U225" i="2"/>
  <c r="V225" i="2" s="1"/>
  <c r="AD469" i="2"/>
  <c r="B471" i="2"/>
  <c r="N470" i="2"/>
  <c r="T470" i="2"/>
  <c r="AE470" i="2"/>
  <c r="M470" i="2"/>
  <c r="O226" i="2" l="1"/>
  <c r="S226" i="2" s="1"/>
  <c r="AF225" i="2"/>
  <c r="AG225" i="2" s="1"/>
  <c r="AH225" i="2" s="1"/>
  <c r="AD470" i="2"/>
  <c r="B472" i="2"/>
  <c r="N471" i="2"/>
  <c r="M471" i="2"/>
  <c r="H237" i="2"/>
  <c r="U226" i="2"/>
  <c r="V226" i="2" s="1"/>
  <c r="W225" i="2"/>
  <c r="I237" i="2" l="1"/>
  <c r="F238" i="2" s="1"/>
  <c r="AD471" i="2"/>
  <c r="AF226" i="2"/>
  <c r="AG226" i="2" s="1"/>
  <c r="AH226" i="2" s="1"/>
  <c r="B473" i="2"/>
  <c r="M472" i="2"/>
  <c r="T472" i="2"/>
  <c r="AE472" i="2"/>
  <c r="N472" i="2"/>
  <c r="O227" i="2" l="1"/>
  <c r="S227" i="2" s="1"/>
  <c r="U227" i="2" s="1"/>
  <c r="V227" i="2" s="1"/>
  <c r="AE471" i="2"/>
  <c r="B474" i="2"/>
  <c r="AE473" i="2"/>
  <c r="N473" i="2"/>
  <c r="T473" i="2"/>
  <c r="M473" i="2"/>
  <c r="W226" i="2"/>
  <c r="H238" i="2"/>
  <c r="I238" i="2" s="1"/>
  <c r="AF227" i="2" l="1"/>
  <c r="AG227" i="2" s="1"/>
  <c r="AH227" i="2" s="1"/>
  <c r="F239" i="2"/>
  <c r="B475" i="2"/>
  <c r="AE474" i="2"/>
  <c r="T474" i="2"/>
  <c r="M474" i="2"/>
  <c r="N474" i="2"/>
  <c r="AD473" i="2"/>
  <c r="O228" i="2" l="1"/>
  <c r="S228" i="2" s="1"/>
  <c r="U228" i="2" s="1"/>
  <c r="V228" i="2" s="1"/>
  <c r="AD472" i="2"/>
  <c r="AD474" i="2"/>
  <c r="B476" i="2"/>
  <c r="T475" i="2"/>
  <c r="AE475" i="2"/>
  <c r="N475" i="2"/>
  <c r="M475" i="2"/>
  <c r="H239" i="2"/>
  <c r="I239" i="2" s="1"/>
  <c r="W227" i="2"/>
  <c r="AD475" i="2" l="1"/>
  <c r="AF228" i="2"/>
  <c r="AG228" i="2" s="1"/>
  <c r="AH228" i="2" s="1"/>
  <c r="F240" i="2"/>
  <c r="B477" i="2"/>
  <c r="AE476" i="2"/>
  <c r="T476" i="2"/>
  <c r="N476" i="2"/>
  <c r="M476" i="2"/>
  <c r="O229" i="2" l="1"/>
  <c r="S229" i="2" s="1"/>
  <c r="U229" i="2" s="1"/>
  <c r="V229" i="2" s="1"/>
  <c r="B478" i="2"/>
  <c r="T477" i="2"/>
  <c r="N477" i="2"/>
  <c r="AE477" i="2"/>
  <c r="M477" i="2"/>
  <c r="H240" i="2"/>
  <c r="I240" i="2" s="1"/>
  <c r="AD476" i="2"/>
  <c r="W228" i="2"/>
  <c r="AD477" i="2" l="1"/>
  <c r="AF229" i="2"/>
  <c r="AG229" i="2" s="1"/>
  <c r="AH229" i="2" s="1"/>
  <c r="F241" i="2"/>
  <c r="B479" i="2"/>
  <c r="M478" i="2"/>
  <c r="AE478" i="2"/>
  <c r="T478" i="2"/>
  <c r="N478" i="2"/>
  <c r="O230" i="2" l="1"/>
  <c r="S230" i="2" s="1"/>
  <c r="AD478" i="2"/>
  <c r="B480" i="2"/>
  <c r="M479" i="2"/>
  <c r="N479" i="2"/>
  <c r="T479" i="2"/>
  <c r="AE479" i="2"/>
  <c r="H241" i="2"/>
  <c r="I241" i="2" s="1"/>
  <c r="U230" i="2"/>
  <c r="V230" i="2" s="1"/>
  <c r="W229" i="2"/>
  <c r="AD479" i="2" l="1"/>
  <c r="F242" i="2"/>
  <c r="AF230" i="2"/>
  <c r="AG230" i="2" s="1"/>
  <c r="AH230" i="2" s="1"/>
  <c r="B481" i="2"/>
  <c r="M480" i="2"/>
  <c r="N480" i="2"/>
  <c r="AE480" i="2"/>
  <c r="T480" i="2"/>
  <c r="O231" i="2" l="1"/>
  <c r="S231" i="2" s="1"/>
  <c r="U231" i="2" s="1"/>
  <c r="V231" i="2" s="1"/>
  <c r="B482" i="2"/>
  <c r="M481" i="2"/>
  <c r="T481" i="2"/>
  <c r="AE481" i="2"/>
  <c r="N481" i="2"/>
  <c r="W230" i="2"/>
  <c r="AD480" i="2"/>
  <c r="H242" i="2"/>
  <c r="I242" i="2" s="1"/>
  <c r="AD481" i="2" l="1"/>
  <c r="AF231" i="2"/>
  <c r="AG231" i="2" s="1"/>
  <c r="AH231" i="2" s="1"/>
  <c r="T231" i="2"/>
  <c r="G23" i="3" s="1"/>
  <c r="F243" i="2"/>
  <c r="B483" i="2"/>
  <c r="M482" i="2"/>
  <c r="T482" i="2"/>
  <c r="N482" i="2"/>
  <c r="AE482" i="2"/>
  <c r="O232" i="2" l="1"/>
  <c r="S232" i="2" s="1"/>
  <c r="B484" i="2"/>
  <c r="M483" i="2"/>
  <c r="AD482" i="2"/>
  <c r="H243" i="2"/>
  <c r="I243" i="2" s="1"/>
  <c r="W231" i="2"/>
  <c r="U232" i="2" l="1"/>
  <c r="V232" i="2" s="1"/>
  <c r="N483" i="2"/>
  <c r="AD483" i="2"/>
  <c r="F244" i="2"/>
  <c r="B485" i="2"/>
  <c r="M484" i="2"/>
  <c r="T484" i="2"/>
  <c r="AE484" i="2"/>
  <c r="N484" i="2"/>
  <c r="O233" i="2" l="1"/>
  <c r="S233" i="2" s="1"/>
  <c r="AF232" i="2"/>
  <c r="AG232" i="2" s="1"/>
  <c r="AH232" i="2" s="1"/>
  <c r="AE483" i="2"/>
  <c r="AD484" i="2"/>
  <c r="U484" i="2" s="1"/>
  <c r="H244" i="2"/>
  <c r="P243" i="2"/>
  <c r="W232" i="2"/>
  <c r="B486" i="2"/>
  <c r="M485" i="2"/>
  <c r="N485" i="2"/>
  <c r="T485" i="2"/>
  <c r="AE485" i="2"/>
  <c r="U233" i="2" l="1"/>
  <c r="V233" i="2" s="1"/>
  <c r="I244" i="2"/>
  <c r="F245" i="2" s="1"/>
  <c r="AD485" i="2"/>
  <c r="U485" i="2" s="1"/>
  <c r="B487" i="2"/>
  <c r="M486" i="2"/>
  <c r="AE486" i="2"/>
  <c r="N486" i="2"/>
  <c r="T486" i="2"/>
  <c r="O234" i="2" l="1"/>
  <c r="S234" i="2" s="1"/>
  <c r="AF233" i="2"/>
  <c r="AG233" i="2" s="1"/>
  <c r="AH233" i="2" s="1"/>
  <c r="AD486" i="2"/>
  <c r="U486" i="2" s="1"/>
  <c r="H245" i="2"/>
  <c r="B488" i="2"/>
  <c r="M487" i="2"/>
  <c r="N487" i="2"/>
  <c r="AE487" i="2"/>
  <c r="T487" i="2"/>
  <c r="W233" i="2"/>
  <c r="U234" i="2" l="1"/>
  <c r="V234" i="2" s="1"/>
  <c r="I245" i="2"/>
  <c r="F246" i="2" s="1"/>
  <c r="AD487" i="2"/>
  <c r="U487" i="2" s="1"/>
  <c r="B489" i="2"/>
  <c r="M488" i="2"/>
  <c r="N488" i="2"/>
  <c r="AE488" i="2"/>
  <c r="T488" i="2"/>
  <c r="O235" i="2" l="1"/>
  <c r="S235" i="2" s="1"/>
  <c r="AF234" i="2"/>
  <c r="AG234" i="2" s="1"/>
  <c r="AH234" i="2" s="1"/>
  <c r="AD488" i="2"/>
  <c r="U488" i="2" s="1"/>
  <c r="AE489" i="2"/>
  <c r="B490" i="2"/>
  <c r="M489" i="2"/>
  <c r="N489" i="2"/>
  <c r="T489" i="2"/>
  <c r="H246" i="2"/>
  <c r="W234" i="2"/>
  <c r="U235" i="2" l="1"/>
  <c r="V235" i="2" s="1"/>
  <c r="I246" i="2"/>
  <c r="F247" i="2" s="1"/>
  <c r="B491" i="2"/>
  <c r="T490" i="2"/>
  <c r="N490" i="2"/>
  <c r="M490" i="2"/>
  <c r="AE490" i="2"/>
  <c r="AD489" i="2"/>
  <c r="U489" i="2" s="1"/>
  <c r="O236" i="2" l="1"/>
  <c r="S236" i="2" s="1"/>
  <c r="AF235" i="2"/>
  <c r="AG235" i="2" s="1"/>
  <c r="AH235" i="2" s="1"/>
  <c r="W235" i="2"/>
  <c r="H247" i="2"/>
  <c r="AE491" i="2"/>
  <c r="B492" i="2"/>
  <c r="N491" i="2"/>
  <c r="T491" i="2"/>
  <c r="M491" i="2"/>
  <c r="AD490" i="2"/>
  <c r="U490" i="2" s="1"/>
  <c r="U236" i="2" l="1"/>
  <c r="V236" i="2" s="1"/>
  <c r="I247" i="2"/>
  <c r="F248" i="2" s="1"/>
  <c r="B493" i="2"/>
  <c r="M492" i="2"/>
  <c r="AE492" i="2"/>
  <c r="T492" i="2"/>
  <c r="N492" i="2"/>
  <c r="AD491" i="2"/>
  <c r="U491" i="2" s="1"/>
  <c r="O237" i="2" l="1"/>
  <c r="S237" i="2" s="1"/>
  <c r="AF236" i="2"/>
  <c r="AG236" i="2" s="1"/>
  <c r="AH236" i="2" s="1"/>
  <c r="AE493" i="2"/>
  <c r="B494" i="2"/>
  <c r="M493" i="2"/>
  <c r="N493" i="2"/>
  <c r="T493" i="2"/>
  <c r="AD492" i="2"/>
  <c r="U492" i="2" s="1"/>
  <c r="H248" i="2"/>
  <c r="W236" i="2"/>
  <c r="U237" i="2" l="1"/>
  <c r="V237" i="2" s="1"/>
  <c r="I248" i="2"/>
  <c r="F249" i="2"/>
  <c r="AD493" i="2"/>
  <c r="U493" i="2" s="1"/>
  <c r="B495" i="2"/>
  <c r="T494" i="2"/>
  <c r="N494" i="2"/>
  <c r="M494" i="2"/>
  <c r="AE494" i="2"/>
  <c r="O238" i="2" l="1"/>
  <c r="S238" i="2" s="1"/>
  <c r="U238" i="2" s="1"/>
  <c r="V238" i="2" s="1"/>
  <c r="AF237" i="2"/>
  <c r="AG237" i="2" s="1"/>
  <c r="AH237" i="2" s="1"/>
  <c r="AD494" i="2"/>
  <c r="U494" i="2" s="1"/>
  <c r="H249" i="2"/>
  <c r="W237" i="2"/>
  <c r="N495" i="2"/>
  <c r="M495" i="2"/>
  <c r="B496" i="2"/>
  <c r="I249" i="2" l="1"/>
  <c r="F250" i="2" s="1"/>
  <c r="AF238" i="2"/>
  <c r="AG238" i="2" s="1"/>
  <c r="AH238" i="2" s="1"/>
  <c r="T496" i="2"/>
  <c r="M496" i="2"/>
  <c r="AE496" i="2"/>
  <c r="N496" i="2"/>
  <c r="B497" i="2"/>
  <c r="AD495" i="2"/>
  <c r="O239" i="2" l="1"/>
  <c r="S239" i="2" s="1"/>
  <c r="U239" i="2" s="1"/>
  <c r="V239" i="2" s="1"/>
  <c r="AE495" i="2"/>
  <c r="U495" i="2"/>
  <c r="AE497" i="2"/>
  <c r="B498" i="2"/>
  <c r="T497" i="2"/>
  <c r="M497" i="2"/>
  <c r="N497" i="2"/>
  <c r="H250" i="2"/>
  <c r="I250" i="2" s="1"/>
  <c r="AD496" i="2"/>
  <c r="U496" i="2" s="1"/>
  <c r="W238" i="2"/>
  <c r="F251" i="2" l="1"/>
  <c r="M498" i="2"/>
  <c r="B499" i="2"/>
  <c r="T498" i="2"/>
  <c r="AE498" i="2"/>
  <c r="N498" i="2"/>
  <c r="AF239" i="2"/>
  <c r="AG239" i="2" s="1"/>
  <c r="AH239" i="2" s="1"/>
  <c r="AD497" i="2"/>
  <c r="U497" i="2" s="1"/>
  <c r="O240" i="2" l="1"/>
  <c r="S240" i="2" s="1"/>
  <c r="U240" i="2" s="1"/>
  <c r="V240" i="2" s="1"/>
  <c r="AD498" i="2"/>
  <c r="U498" i="2" s="1"/>
  <c r="W239" i="2"/>
  <c r="AE499" i="2"/>
  <c r="B500" i="2"/>
  <c r="N499" i="2"/>
  <c r="M499" i="2"/>
  <c r="T499" i="2"/>
  <c r="H251" i="2"/>
  <c r="I251" i="2" s="1"/>
  <c r="AF240" i="2" l="1"/>
  <c r="AG240" i="2" s="1"/>
  <c r="AH240" i="2" s="1"/>
  <c r="AD499" i="2"/>
  <c r="U499" i="2" s="1"/>
  <c r="F252" i="2"/>
  <c r="T500" i="2"/>
  <c r="AE500" i="2"/>
  <c r="M500" i="2"/>
  <c r="N500" i="2"/>
  <c r="B501" i="2"/>
  <c r="O241" i="2" l="1"/>
  <c r="S241" i="2" s="1"/>
  <c r="U241" i="2" s="1"/>
  <c r="V241" i="2" s="1"/>
  <c r="AD500" i="2"/>
  <c r="U500" i="2" s="1"/>
  <c r="H252" i="2"/>
  <c r="I252" i="2" s="1"/>
  <c r="AE501" i="2"/>
  <c r="B502" i="2"/>
  <c r="N501" i="2"/>
  <c r="M501" i="2"/>
  <c r="T501" i="2"/>
  <c r="W240" i="2"/>
  <c r="AD501" i="2" l="1"/>
  <c r="U501" i="2" s="1"/>
  <c r="N502" i="2"/>
  <c r="T502" i="2"/>
  <c r="B503" i="2"/>
  <c r="AE502" i="2"/>
  <c r="M502" i="2"/>
  <c r="AF241" i="2"/>
  <c r="AG241" i="2" s="1"/>
  <c r="AH241" i="2" s="1"/>
  <c r="F253" i="2"/>
  <c r="O242" i="2" l="1"/>
  <c r="S242" i="2" s="1"/>
  <c r="U242" i="2" s="1"/>
  <c r="V242" i="2" s="1"/>
  <c r="W241" i="2"/>
  <c r="AE503" i="2"/>
  <c r="B504" i="2"/>
  <c r="T503" i="2"/>
  <c r="N503" i="2"/>
  <c r="M503" i="2"/>
  <c r="H253" i="2"/>
  <c r="I253" i="2" s="1"/>
  <c r="AD502" i="2"/>
  <c r="U502" i="2" s="1"/>
  <c r="B505" i="2" l="1"/>
  <c r="AE504" i="2"/>
  <c r="T504" i="2"/>
  <c r="N504" i="2"/>
  <c r="M504" i="2"/>
  <c r="AF242" i="2"/>
  <c r="AG242" i="2" s="1"/>
  <c r="AH242" i="2" s="1"/>
  <c r="AD503" i="2"/>
  <c r="U503" i="2" s="1"/>
  <c r="F254" i="2"/>
  <c r="O243" i="2" l="1"/>
  <c r="S243" i="2" s="1"/>
  <c r="U243" i="2" s="1"/>
  <c r="V243" i="2" s="1"/>
  <c r="W242" i="2"/>
  <c r="H254" i="2"/>
  <c r="I254" i="2" s="1"/>
  <c r="AE505" i="2"/>
  <c r="B506" i="2"/>
  <c r="N505" i="2"/>
  <c r="M505" i="2"/>
  <c r="T505" i="2"/>
  <c r="AD504" i="2"/>
  <c r="U504" i="2" s="1"/>
  <c r="B507" i="2" l="1"/>
  <c r="T506" i="2"/>
  <c r="AE506" i="2"/>
  <c r="N506" i="2"/>
  <c r="M506" i="2"/>
  <c r="F255" i="2"/>
  <c r="AF243" i="2"/>
  <c r="AG243" i="2" s="1"/>
  <c r="AH243" i="2" s="1"/>
  <c r="T243" i="2"/>
  <c r="G24" i="3" s="1"/>
  <c r="AD505" i="2"/>
  <c r="U505" i="2" s="1"/>
  <c r="O244" i="2" l="1"/>
  <c r="S244" i="2" s="1"/>
  <c r="W243" i="2"/>
  <c r="N507" i="2"/>
  <c r="M507" i="2"/>
  <c r="B508" i="2"/>
  <c r="H255" i="2"/>
  <c r="I255" i="2" s="1"/>
  <c r="AD506" i="2"/>
  <c r="U506" i="2" s="1"/>
  <c r="U244" i="2" l="1"/>
  <c r="V244" i="2" s="1"/>
  <c r="AD507" i="2"/>
  <c r="F256" i="2"/>
  <c r="AE508" i="2"/>
  <c r="N508" i="2"/>
  <c r="M508" i="2"/>
  <c r="B509" i="2"/>
  <c r="T508" i="2"/>
  <c r="O245" i="2" l="1"/>
  <c r="S245" i="2" s="1"/>
  <c r="AF244" i="2"/>
  <c r="AG244" i="2" s="1"/>
  <c r="AH244" i="2" s="1"/>
  <c r="AE507" i="2"/>
  <c r="U507" i="2"/>
  <c r="AD508" i="2"/>
  <c r="U508" i="2" s="1"/>
  <c r="AE509" i="2"/>
  <c r="N509" i="2"/>
  <c r="M509" i="2"/>
  <c r="B510" i="2"/>
  <c r="T509" i="2"/>
  <c r="H256" i="2"/>
  <c r="P255" i="2"/>
  <c r="W244" i="2"/>
  <c r="U245" i="2" l="1"/>
  <c r="V245" i="2" s="1"/>
  <c r="I256" i="2"/>
  <c r="F257" i="2" s="1"/>
  <c r="AD509" i="2"/>
  <c r="U509" i="2" s="1"/>
  <c r="AE510" i="2"/>
  <c r="N510" i="2"/>
  <c r="M510" i="2"/>
  <c r="B511" i="2"/>
  <c r="T510" i="2"/>
  <c r="O246" i="2" l="1"/>
  <c r="S246" i="2" s="1"/>
  <c r="AF245" i="2"/>
  <c r="AG245" i="2" s="1"/>
  <c r="AH245" i="2" s="1"/>
  <c r="AE511" i="2"/>
  <c r="N511" i="2"/>
  <c r="M511" i="2"/>
  <c r="B512" i="2"/>
  <c r="T511" i="2"/>
  <c r="H257" i="2"/>
  <c r="W245" i="2"/>
  <c r="AD510" i="2"/>
  <c r="U510" i="2" s="1"/>
  <c r="U246" i="2" l="1"/>
  <c r="V246" i="2" s="1"/>
  <c r="I257" i="2"/>
  <c r="AE512" i="2"/>
  <c r="N512" i="2"/>
  <c r="M512" i="2"/>
  <c r="B513" i="2"/>
  <c r="T512" i="2"/>
  <c r="F258" i="2"/>
  <c r="AD511" i="2"/>
  <c r="U511" i="2" s="1"/>
  <c r="O247" i="2" l="1"/>
  <c r="S247" i="2" s="1"/>
  <c r="AF246" i="2"/>
  <c r="AG246" i="2" s="1"/>
  <c r="AH246" i="2" s="1"/>
  <c r="AE513" i="2"/>
  <c r="N513" i="2"/>
  <c r="M513" i="2"/>
  <c r="B514" i="2"/>
  <c r="T513" i="2"/>
  <c r="W246" i="2"/>
  <c r="H258" i="2"/>
  <c r="AD512" i="2"/>
  <c r="U512" i="2" s="1"/>
  <c r="U247" i="2" l="1"/>
  <c r="V247" i="2" s="1"/>
  <c r="I258" i="2"/>
  <c r="F259" i="2" s="1"/>
  <c r="AE514" i="2"/>
  <c r="N514" i="2"/>
  <c r="M514" i="2"/>
  <c r="B515" i="2"/>
  <c r="T514" i="2"/>
  <c r="AD513" i="2"/>
  <c r="U513" i="2" s="1"/>
  <c r="O248" i="2" l="1"/>
  <c r="S248" i="2" s="1"/>
  <c r="AF247" i="2"/>
  <c r="AG247" i="2" s="1"/>
  <c r="AH247" i="2" s="1"/>
  <c r="W247" i="2"/>
  <c r="AE515" i="2"/>
  <c r="N515" i="2"/>
  <c r="M515" i="2"/>
  <c r="B516" i="2"/>
  <c r="T515" i="2"/>
  <c r="H259" i="2"/>
  <c r="AD514" i="2"/>
  <c r="U514" i="2" s="1"/>
  <c r="U248" i="2" l="1"/>
  <c r="V248" i="2" s="1"/>
  <c r="I259" i="2"/>
  <c r="F260" i="2" s="1"/>
  <c r="AD515" i="2"/>
  <c r="U515" i="2" s="1"/>
  <c r="AE516" i="2"/>
  <c r="N516" i="2"/>
  <c r="M516" i="2"/>
  <c r="B517" i="2"/>
  <c r="T516" i="2"/>
  <c r="O249" i="2" l="1"/>
  <c r="S249" i="2" s="1"/>
  <c r="AF248" i="2"/>
  <c r="AG248" i="2" s="1"/>
  <c r="AH248" i="2" s="1"/>
  <c r="AD516" i="2"/>
  <c r="U516" i="2" s="1"/>
  <c r="AE517" i="2"/>
  <c r="N517" i="2"/>
  <c r="M517" i="2"/>
  <c r="B518" i="2"/>
  <c r="T517" i="2"/>
  <c r="H260" i="2"/>
  <c r="W248" i="2"/>
  <c r="U249" i="2" l="1"/>
  <c r="V249" i="2" s="1"/>
  <c r="I260" i="2"/>
  <c r="F261" i="2" s="1"/>
  <c r="AD517" i="2"/>
  <c r="U517" i="2" s="1"/>
  <c r="AE518" i="2"/>
  <c r="N518" i="2"/>
  <c r="M518" i="2"/>
  <c r="B519" i="2"/>
  <c r="T518" i="2"/>
  <c r="O250" i="2" l="1"/>
  <c r="S250" i="2" s="1"/>
  <c r="AF249" i="2"/>
  <c r="AG249" i="2" s="1"/>
  <c r="AH249" i="2" s="1"/>
  <c r="AD518" i="2"/>
  <c r="U518" i="2" s="1"/>
  <c r="N519" i="2"/>
  <c r="M519" i="2"/>
  <c r="B520" i="2"/>
  <c r="H261" i="2"/>
  <c r="U250" i="2"/>
  <c r="V250" i="2" s="1"/>
  <c r="W249" i="2"/>
  <c r="I261" i="2" l="1"/>
  <c r="F262" i="2" s="1"/>
  <c r="AE520" i="2"/>
  <c r="N520" i="2"/>
  <c r="M520" i="2"/>
  <c r="B521" i="2"/>
  <c r="T520" i="2"/>
  <c r="AF250" i="2"/>
  <c r="AG250" i="2" s="1"/>
  <c r="AH250" i="2" s="1"/>
  <c r="AD519" i="2"/>
  <c r="O251" i="2" l="1"/>
  <c r="S251" i="2" s="1"/>
  <c r="AE519" i="2"/>
  <c r="U519" i="2"/>
  <c r="H262" i="2"/>
  <c r="I262" i="2" s="1"/>
  <c r="U251" i="2"/>
  <c r="V251" i="2" s="1"/>
  <c r="W250" i="2"/>
  <c r="AE521" i="2"/>
  <c r="N521" i="2"/>
  <c r="M521" i="2"/>
  <c r="B522" i="2"/>
  <c r="T521" i="2"/>
  <c r="AD520" i="2"/>
  <c r="U520" i="2" s="1"/>
  <c r="AF251" i="2" l="1"/>
  <c r="AG251" i="2" s="1"/>
  <c r="AH251" i="2" s="1"/>
  <c r="AD521" i="2"/>
  <c r="U521" i="2" s="1"/>
  <c r="F263" i="2"/>
  <c r="AE522" i="2"/>
  <c r="N522" i="2"/>
  <c r="M522" i="2"/>
  <c r="B523" i="2"/>
  <c r="T522" i="2"/>
  <c r="O252" i="2" l="1"/>
  <c r="S252" i="2" s="1"/>
  <c r="U252" i="2" s="1"/>
  <c r="V252" i="2" s="1"/>
  <c r="AD522" i="2"/>
  <c r="U522" i="2" s="1"/>
  <c r="AE523" i="2"/>
  <c r="N523" i="2"/>
  <c r="M523" i="2"/>
  <c r="B524" i="2"/>
  <c r="T523" i="2"/>
  <c r="W251" i="2"/>
  <c r="H263" i="2"/>
  <c r="I263" i="2" s="1"/>
  <c r="AE524" i="2" l="1"/>
  <c r="N524" i="2"/>
  <c r="M524" i="2"/>
  <c r="B525" i="2"/>
  <c r="T524" i="2"/>
  <c r="AF252" i="2"/>
  <c r="AG252" i="2" s="1"/>
  <c r="AH252" i="2" s="1"/>
  <c r="F264" i="2"/>
  <c r="AD523" i="2"/>
  <c r="U523" i="2" s="1"/>
  <c r="O253" i="2" l="1"/>
  <c r="S253" i="2" s="1"/>
  <c r="U253" i="2" s="1"/>
  <c r="V253" i="2" s="1"/>
  <c r="H264" i="2"/>
  <c r="I264" i="2" s="1"/>
  <c r="W252" i="2"/>
  <c r="AE525" i="2"/>
  <c r="N525" i="2"/>
  <c r="M525" i="2"/>
  <c r="B526" i="2"/>
  <c r="T525" i="2"/>
  <c r="AD525" i="2" l="1"/>
  <c r="U525" i="2" s="1"/>
  <c r="AE526" i="2"/>
  <c r="N526" i="2"/>
  <c r="M526" i="2"/>
  <c r="B527" i="2"/>
  <c r="T526" i="2"/>
  <c r="AF253" i="2"/>
  <c r="AG253" i="2" s="1"/>
  <c r="AH253" i="2" s="1"/>
  <c r="F265" i="2"/>
  <c r="O254" i="2" l="1"/>
  <c r="S254" i="2" s="1"/>
  <c r="U254" i="2" s="1"/>
  <c r="V254" i="2" s="1"/>
  <c r="AD524" i="2"/>
  <c r="U524" i="2" s="1"/>
  <c r="W253" i="2"/>
  <c r="AE527" i="2"/>
  <c r="N527" i="2"/>
  <c r="M527" i="2"/>
  <c r="B528" i="2"/>
  <c r="T527" i="2"/>
  <c r="H265" i="2"/>
  <c r="I265" i="2" s="1"/>
  <c r="AD526" i="2"/>
  <c r="U526" i="2" s="1"/>
  <c r="F266" i="2" l="1"/>
  <c r="AF254" i="2"/>
  <c r="AG254" i="2" s="1"/>
  <c r="AH254" i="2" s="1"/>
  <c r="AD527" i="2"/>
  <c r="U527" i="2" s="1"/>
  <c r="AE528" i="2"/>
  <c r="N528" i="2"/>
  <c r="M528" i="2"/>
  <c r="B529" i="2"/>
  <c r="T528" i="2"/>
  <c r="O255" i="2" l="1"/>
  <c r="S255" i="2" s="1"/>
  <c r="U255" i="2" s="1"/>
  <c r="V255" i="2" s="1"/>
  <c r="AD528" i="2"/>
  <c r="U528" i="2" s="1"/>
  <c r="AE529" i="2"/>
  <c r="N529" i="2"/>
  <c r="M529" i="2"/>
  <c r="B530" i="2"/>
  <c r="T529" i="2"/>
  <c r="W254" i="2"/>
  <c r="H266" i="2"/>
  <c r="I266" i="2" s="1"/>
  <c r="AE530" i="2" l="1"/>
  <c r="N530" i="2"/>
  <c r="M530" i="2"/>
  <c r="B531" i="2"/>
  <c r="T530" i="2"/>
  <c r="AF255" i="2"/>
  <c r="AG255" i="2" s="1"/>
  <c r="AH255" i="2" s="1"/>
  <c r="T255" i="2"/>
  <c r="G25" i="3" s="1"/>
  <c r="F267" i="2"/>
  <c r="AD529" i="2"/>
  <c r="U529" i="2" s="1"/>
  <c r="O256" i="2" l="1"/>
  <c r="S256" i="2" s="1"/>
  <c r="N531" i="2"/>
  <c r="M531" i="2"/>
  <c r="B532" i="2"/>
  <c r="W255" i="2"/>
  <c r="H267" i="2"/>
  <c r="I267" i="2" s="1"/>
  <c r="AD530" i="2"/>
  <c r="U530" i="2" s="1"/>
  <c r="U256" i="2" l="1"/>
  <c r="V256" i="2" s="1"/>
  <c r="F268" i="2"/>
  <c r="AE532" i="2"/>
  <c r="N532" i="2"/>
  <c r="M532" i="2"/>
  <c r="B533" i="2"/>
  <c r="T532" i="2"/>
  <c r="AD531" i="2"/>
  <c r="O257" i="2" l="1"/>
  <c r="S257" i="2" s="1"/>
  <c r="AF256" i="2"/>
  <c r="AG256" i="2" s="1"/>
  <c r="AH256" i="2" s="1"/>
  <c r="AE531" i="2"/>
  <c r="U531" i="2"/>
  <c r="AD532" i="2"/>
  <c r="U532" i="2" s="1"/>
  <c r="W256" i="2"/>
  <c r="AE533" i="2"/>
  <c r="N533" i="2"/>
  <c r="M533" i="2"/>
  <c r="B534" i="2"/>
  <c r="T533" i="2"/>
  <c r="H268" i="2"/>
  <c r="P267" i="2"/>
  <c r="U257" i="2" l="1"/>
  <c r="V257" i="2" s="1"/>
  <c r="I268" i="2"/>
  <c r="F269" i="2" s="1"/>
  <c r="AD533" i="2"/>
  <c r="U533" i="2" s="1"/>
  <c r="AE534" i="2"/>
  <c r="N534" i="2"/>
  <c r="M534" i="2"/>
  <c r="B535" i="2"/>
  <c r="T534" i="2"/>
  <c r="O258" i="2" l="1"/>
  <c r="S258" i="2" s="1"/>
  <c r="AF257" i="2"/>
  <c r="AG257" i="2" s="1"/>
  <c r="AH257" i="2" s="1"/>
  <c r="AD534" i="2"/>
  <c r="U534" i="2" s="1"/>
  <c r="AE535" i="2"/>
  <c r="N535" i="2"/>
  <c r="M535" i="2"/>
  <c r="B536" i="2"/>
  <c r="T535" i="2"/>
  <c r="H269" i="2"/>
  <c r="W257" i="2"/>
  <c r="U258" i="2" l="1"/>
  <c r="V258" i="2" s="1"/>
  <c r="I269" i="2"/>
  <c r="F270" i="2" s="1"/>
  <c r="AD535" i="2"/>
  <c r="U535" i="2" s="1"/>
  <c r="AE536" i="2"/>
  <c r="N536" i="2"/>
  <c r="M536" i="2"/>
  <c r="B537" i="2"/>
  <c r="T536" i="2"/>
  <c r="O259" i="2" l="1"/>
  <c r="S259" i="2" s="1"/>
  <c r="AF258" i="2"/>
  <c r="AG258" i="2" s="1"/>
  <c r="AH258" i="2" s="1"/>
  <c r="AE537" i="2"/>
  <c r="N537" i="2"/>
  <c r="M537" i="2"/>
  <c r="B538" i="2"/>
  <c r="T537" i="2"/>
  <c r="H270" i="2"/>
  <c r="W258" i="2"/>
  <c r="AD536" i="2"/>
  <c r="U536" i="2" s="1"/>
  <c r="U259" i="2" l="1"/>
  <c r="V259" i="2" s="1"/>
  <c r="I270" i="2"/>
  <c r="F271" i="2" s="1"/>
  <c r="AE538" i="2"/>
  <c r="N538" i="2"/>
  <c r="M538" i="2"/>
  <c r="B539" i="2"/>
  <c r="T538" i="2"/>
  <c r="AD537" i="2"/>
  <c r="U537" i="2" s="1"/>
  <c r="O260" i="2" l="1"/>
  <c r="S260" i="2" s="1"/>
  <c r="AF259" i="2"/>
  <c r="AG259" i="2" s="1"/>
  <c r="AH259" i="2" s="1"/>
  <c r="AD538" i="2"/>
  <c r="U538" i="2" s="1"/>
  <c r="AE539" i="2"/>
  <c r="N539" i="2"/>
  <c r="M539" i="2"/>
  <c r="B540" i="2"/>
  <c r="T539" i="2"/>
  <c r="W259" i="2"/>
  <c r="H271" i="2"/>
  <c r="U260" i="2" l="1"/>
  <c r="V260" i="2" s="1"/>
  <c r="I271" i="2"/>
  <c r="F272" i="2" s="1"/>
  <c r="AE540" i="2"/>
  <c r="N540" i="2"/>
  <c r="M540" i="2"/>
  <c r="B541" i="2"/>
  <c r="T540" i="2"/>
  <c r="AD539" i="2"/>
  <c r="U539" i="2" s="1"/>
  <c r="O261" i="2" l="1"/>
  <c r="S261" i="2" s="1"/>
  <c r="AF260" i="2"/>
  <c r="AG260" i="2" s="1"/>
  <c r="AH260" i="2" s="1"/>
  <c r="AD540" i="2"/>
  <c r="U540" i="2" s="1"/>
  <c r="AE541" i="2"/>
  <c r="N541" i="2"/>
  <c r="M541" i="2"/>
  <c r="B542" i="2"/>
  <c r="T541" i="2"/>
  <c r="W260" i="2"/>
  <c r="H272" i="2"/>
  <c r="U261" i="2" l="1"/>
  <c r="V261" i="2" s="1"/>
  <c r="I272" i="2"/>
  <c r="F273" i="2" s="1"/>
  <c r="AD541" i="2"/>
  <c r="U541" i="2" s="1"/>
  <c r="AE542" i="2"/>
  <c r="N542" i="2"/>
  <c r="M542" i="2"/>
  <c r="B543" i="2"/>
  <c r="T542" i="2"/>
  <c r="O262" i="2" l="1"/>
  <c r="S262" i="2" s="1"/>
  <c r="U262" i="2" s="1"/>
  <c r="V262" i="2" s="1"/>
  <c r="AF261" i="2"/>
  <c r="AG261" i="2" s="1"/>
  <c r="AH261" i="2" s="1"/>
  <c r="AD542" i="2"/>
  <c r="U542" i="2" s="1"/>
  <c r="N543" i="2"/>
  <c r="M543" i="2"/>
  <c r="B544" i="2"/>
  <c r="H273" i="2"/>
  <c r="W261" i="2"/>
  <c r="I273" i="2" l="1"/>
  <c r="AE544" i="2"/>
  <c r="N544" i="2"/>
  <c r="M544" i="2"/>
  <c r="B545" i="2"/>
  <c r="T544" i="2"/>
  <c r="AF262" i="2"/>
  <c r="AG262" i="2" s="1"/>
  <c r="AH262" i="2" s="1"/>
  <c r="F274" i="2"/>
  <c r="AD543" i="2"/>
  <c r="O263" i="2" l="1"/>
  <c r="S263" i="2" s="1"/>
  <c r="AE543" i="2"/>
  <c r="U543" i="2"/>
  <c r="W262" i="2"/>
  <c r="AE545" i="2"/>
  <c r="N545" i="2"/>
  <c r="M545" i="2"/>
  <c r="B546" i="2"/>
  <c r="T545" i="2"/>
  <c r="H274" i="2"/>
  <c r="I274" i="2" s="1"/>
  <c r="U263" i="2"/>
  <c r="V263" i="2" s="1"/>
  <c r="AD544" i="2"/>
  <c r="U544" i="2" s="1"/>
  <c r="AD545" i="2" l="1"/>
  <c r="U545" i="2" s="1"/>
  <c r="AF263" i="2"/>
  <c r="AG263" i="2" s="1"/>
  <c r="AH263" i="2" s="1"/>
  <c r="F275" i="2"/>
  <c r="AE546" i="2"/>
  <c r="N546" i="2"/>
  <c r="M546" i="2"/>
  <c r="B547" i="2"/>
  <c r="T546" i="2"/>
  <c r="O264" i="2" l="1"/>
  <c r="S264" i="2" s="1"/>
  <c r="U264" i="2" s="1"/>
  <c r="V264" i="2" s="1"/>
  <c r="AD546" i="2"/>
  <c r="U546" i="2" s="1"/>
  <c r="AE547" i="2"/>
  <c r="N547" i="2"/>
  <c r="M547" i="2"/>
  <c r="B548" i="2"/>
  <c r="T547" i="2"/>
  <c r="H275" i="2"/>
  <c r="I275" i="2" s="1"/>
  <c r="W263" i="2"/>
  <c r="AE548" i="2" l="1"/>
  <c r="N548" i="2"/>
  <c r="M548" i="2"/>
  <c r="B549" i="2"/>
  <c r="T548" i="2"/>
  <c r="AF264" i="2"/>
  <c r="AG264" i="2" s="1"/>
  <c r="AH264" i="2" s="1"/>
  <c r="F276" i="2"/>
  <c r="AD547" i="2"/>
  <c r="U547" i="2" s="1"/>
  <c r="O265" i="2" l="1"/>
  <c r="S265" i="2" s="1"/>
  <c r="U265" i="2" s="1"/>
  <c r="V265" i="2" s="1"/>
  <c r="W264" i="2"/>
  <c r="AE549" i="2"/>
  <c r="N549" i="2"/>
  <c r="M549" i="2"/>
  <c r="B550" i="2"/>
  <c r="T549" i="2"/>
  <c r="H276" i="2"/>
  <c r="I276" i="2" s="1"/>
  <c r="AD548" i="2"/>
  <c r="U548" i="2" s="1"/>
  <c r="AF265" i="2" l="1"/>
  <c r="AG265" i="2" s="1"/>
  <c r="AH265" i="2" s="1"/>
  <c r="AE550" i="2"/>
  <c r="N550" i="2"/>
  <c r="M550" i="2"/>
  <c r="B551" i="2"/>
  <c r="T550" i="2"/>
  <c r="F277" i="2"/>
  <c r="AD549" i="2"/>
  <c r="U549" i="2" s="1"/>
  <c r="O266" i="2" l="1"/>
  <c r="S266" i="2" s="1"/>
  <c r="U266" i="2" s="1"/>
  <c r="V266" i="2" s="1"/>
  <c r="H277" i="2"/>
  <c r="I277" i="2" s="1"/>
  <c r="AD550" i="2"/>
  <c r="U550" i="2" s="1"/>
  <c r="AE551" i="2"/>
  <c r="N551" i="2"/>
  <c r="M551" i="2"/>
  <c r="B552" i="2"/>
  <c r="T551" i="2"/>
  <c r="W265" i="2"/>
  <c r="AF266" i="2" l="1"/>
  <c r="AG266" i="2" s="1"/>
  <c r="AH266" i="2" s="1"/>
  <c r="AE552" i="2"/>
  <c r="N552" i="2"/>
  <c r="M552" i="2"/>
  <c r="B553" i="2"/>
  <c r="T552" i="2"/>
  <c r="F278" i="2"/>
  <c r="AD551" i="2"/>
  <c r="U551" i="2" s="1"/>
  <c r="O267" i="2" l="1"/>
  <c r="S267" i="2" s="1"/>
  <c r="U267" i="2" s="1"/>
  <c r="V267" i="2" s="1"/>
  <c r="AD553" i="2"/>
  <c r="U553" i="2" s="1"/>
  <c r="T553" i="2"/>
  <c r="B554" i="2"/>
  <c r="AE553" i="2"/>
  <c r="M553" i="2"/>
  <c r="N553" i="2"/>
  <c r="H278" i="2"/>
  <c r="I278" i="2" s="1"/>
  <c r="AD552" i="2"/>
  <c r="U552" i="2" s="1"/>
  <c r="W266" i="2"/>
  <c r="T554" i="2" l="1"/>
  <c r="M554" i="2"/>
  <c r="AE554" i="2"/>
  <c r="N554" i="2"/>
  <c r="B555" i="2"/>
  <c r="AF267" i="2"/>
  <c r="AG267" i="2" s="1"/>
  <c r="AH267" i="2" s="1"/>
  <c r="T267" i="2"/>
  <c r="G26" i="3" s="1"/>
  <c r="F279" i="2"/>
  <c r="O268" i="2" l="1"/>
  <c r="S268" i="2" s="1"/>
  <c r="AD554" i="2"/>
  <c r="U554" i="2" s="1"/>
  <c r="W267" i="2"/>
  <c r="H279" i="2"/>
  <c r="I279" i="2" s="1"/>
  <c r="B556" i="2"/>
  <c r="N555" i="2"/>
  <c r="M555" i="2"/>
  <c r="U268" i="2" l="1"/>
  <c r="V268" i="2" s="1"/>
  <c r="T556" i="2"/>
  <c r="M556" i="2"/>
  <c r="AE556" i="2"/>
  <c r="N556" i="2"/>
  <c r="B557" i="2"/>
  <c r="F280" i="2"/>
  <c r="AD555" i="2"/>
  <c r="O269" i="2" l="1"/>
  <c r="S269" i="2" s="1"/>
  <c r="AF268" i="2"/>
  <c r="AG268" i="2" s="1"/>
  <c r="AH268" i="2" s="1"/>
  <c r="AE555" i="2"/>
  <c r="U555" i="2"/>
  <c r="AD556" i="2"/>
  <c r="U556" i="2" s="1"/>
  <c r="T557" i="2"/>
  <c r="B558" i="2"/>
  <c r="N557" i="2"/>
  <c r="AE557" i="2"/>
  <c r="M557" i="2"/>
  <c r="H280" i="2"/>
  <c r="P279" i="2"/>
  <c r="W268" i="2"/>
  <c r="U269" i="2" l="1"/>
  <c r="V269" i="2" s="1"/>
  <c r="I280" i="2"/>
  <c r="F281" i="2" s="1"/>
  <c r="AD557" i="2"/>
  <c r="U557" i="2" s="1"/>
  <c r="T558" i="2"/>
  <c r="M558" i="2"/>
  <c r="AE558" i="2"/>
  <c r="N558" i="2"/>
  <c r="B559" i="2"/>
  <c r="O270" i="2" l="1"/>
  <c r="S270" i="2" s="1"/>
  <c r="AF269" i="2"/>
  <c r="AG269" i="2" s="1"/>
  <c r="AH269" i="2" s="1"/>
  <c r="H281" i="2"/>
  <c r="W269" i="2"/>
  <c r="T559" i="2"/>
  <c r="B560" i="2"/>
  <c r="N559" i="2"/>
  <c r="M559" i="2"/>
  <c r="AE559" i="2"/>
  <c r="AD558" i="2"/>
  <c r="U558" i="2" s="1"/>
  <c r="I281" i="2" l="1"/>
  <c r="F282" i="2" s="1"/>
  <c r="U270" i="2"/>
  <c r="V270" i="2" s="1"/>
  <c r="T560" i="2"/>
  <c r="M560" i="2"/>
  <c r="AE560" i="2"/>
  <c r="N560" i="2"/>
  <c r="B561" i="2"/>
  <c r="AD559" i="2"/>
  <c r="U559" i="2" s="1"/>
  <c r="O271" i="2" l="1"/>
  <c r="S271" i="2" s="1"/>
  <c r="AF270" i="2"/>
  <c r="AG270" i="2" s="1"/>
  <c r="AH270" i="2" s="1"/>
  <c r="H282" i="2"/>
  <c r="W270" i="2"/>
  <c r="AD560" i="2"/>
  <c r="U560" i="2" s="1"/>
  <c r="T561" i="2"/>
  <c r="B562" i="2"/>
  <c r="AE561" i="2"/>
  <c r="M561" i="2"/>
  <c r="N561" i="2"/>
  <c r="U271" i="2" l="1"/>
  <c r="V271" i="2" s="1"/>
  <c r="I282" i="2"/>
  <c r="F283" i="2" s="1"/>
  <c r="T562" i="2"/>
  <c r="B563" i="2"/>
  <c r="M562" i="2"/>
  <c r="N562" i="2"/>
  <c r="AE562" i="2"/>
  <c r="AD561" i="2"/>
  <c r="U561" i="2" s="1"/>
  <c r="O272" i="2" l="1"/>
  <c r="S272" i="2" s="1"/>
  <c r="AF271" i="2"/>
  <c r="AG271" i="2" s="1"/>
  <c r="AH271" i="2" s="1"/>
  <c r="W271" i="2"/>
  <c r="AD562" i="2"/>
  <c r="U562" i="2" s="1"/>
  <c r="H283" i="2"/>
  <c r="T563" i="2"/>
  <c r="B564" i="2"/>
  <c r="N563" i="2"/>
  <c r="AE563" i="2"/>
  <c r="M563" i="2"/>
  <c r="U272" i="2" l="1"/>
  <c r="V272" i="2" s="1"/>
  <c r="I283" i="2"/>
  <c r="F284" i="2" s="1"/>
  <c r="T564" i="2"/>
  <c r="B565" i="2"/>
  <c r="AE564" i="2"/>
  <c r="N564" i="2"/>
  <c r="M564" i="2"/>
  <c r="AD563" i="2"/>
  <c r="U563" i="2" s="1"/>
  <c r="O273" i="2" l="1"/>
  <c r="S273" i="2" s="1"/>
  <c r="AF272" i="2"/>
  <c r="AG272" i="2" s="1"/>
  <c r="AH272" i="2" s="1"/>
  <c r="T565" i="2"/>
  <c r="B566" i="2"/>
  <c r="N565" i="2"/>
  <c r="M565" i="2"/>
  <c r="AE565" i="2"/>
  <c r="W272" i="2"/>
  <c r="AD564" i="2"/>
  <c r="U564" i="2" s="1"/>
  <c r="H284" i="2"/>
  <c r="U273" i="2" l="1"/>
  <c r="V273" i="2" s="1"/>
  <c r="I284" i="2"/>
  <c r="F285" i="2" s="1"/>
  <c r="T566" i="2"/>
  <c r="B567" i="2"/>
  <c r="AE566" i="2"/>
  <c r="M566" i="2"/>
  <c r="N566" i="2"/>
  <c r="AD565" i="2"/>
  <c r="U565" i="2" s="1"/>
  <c r="O274" i="2" l="1"/>
  <c r="S274" i="2" s="1"/>
  <c r="U274" i="2" s="1"/>
  <c r="V274" i="2" s="1"/>
  <c r="AF273" i="2"/>
  <c r="AG273" i="2" s="1"/>
  <c r="AH273" i="2" s="1"/>
  <c r="B568" i="2"/>
  <c r="M567" i="2"/>
  <c r="N567" i="2"/>
  <c r="H285" i="2"/>
  <c r="AD566" i="2"/>
  <c r="U566" i="2" s="1"/>
  <c r="W273" i="2"/>
  <c r="I285" i="2" l="1"/>
  <c r="F286" i="2" s="1"/>
  <c r="T568" i="2"/>
  <c r="B569" i="2"/>
  <c r="AE568" i="2"/>
  <c r="N568" i="2"/>
  <c r="M568" i="2"/>
  <c r="AD567" i="2"/>
  <c r="AF274" i="2"/>
  <c r="AG274" i="2" s="1"/>
  <c r="AH274" i="2" s="1"/>
  <c r="O275" i="2" l="1"/>
  <c r="S275" i="2" s="1"/>
  <c r="U275" i="2" s="1"/>
  <c r="V275" i="2" s="1"/>
  <c r="AE567" i="2"/>
  <c r="U567" i="2"/>
  <c r="T569" i="2"/>
  <c r="B570" i="2"/>
  <c r="AE569" i="2"/>
  <c r="N569" i="2"/>
  <c r="M569" i="2"/>
  <c r="W274" i="2"/>
  <c r="H286" i="2"/>
  <c r="I286" i="2" s="1"/>
  <c r="AD568" i="2"/>
  <c r="U568" i="2" s="1"/>
  <c r="AD569" i="2" l="1"/>
  <c r="U569" i="2" s="1"/>
  <c r="AF275" i="2"/>
  <c r="AG275" i="2" s="1"/>
  <c r="AH275" i="2" s="1"/>
  <c r="F287" i="2"/>
  <c r="T570" i="2"/>
  <c r="B571" i="2"/>
  <c r="AE570" i="2"/>
  <c r="N570" i="2"/>
  <c r="M570" i="2"/>
  <c r="O276" i="2" l="1"/>
  <c r="S276" i="2" s="1"/>
  <c r="U276" i="2" s="1"/>
  <c r="V276" i="2" s="1"/>
  <c r="AD570" i="2"/>
  <c r="U570" i="2" s="1"/>
  <c r="H287" i="2"/>
  <c r="I287" i="2" s="1"/>
  <c r="B572" i="2"/>
  <c r="T571" i="2"/>
  <c r="N571" i="2"/>
  <c r="M571" i="2"/>
  <c r="AE571" i="2"/>
  <c r="W275" i="2"/>
  <c r="T572" i="2" l="1"/>
  <c r="B573" i="2"/>
  <c r="AE572" i="2"/>
  <c r="N572" i="2"/>
  <c r="M572" i="2"/>
  <c r="AD571" i="2"/>
  <c r="U571" i="2" s="1"/>
  <c r="AF276" i="2"/>
  <c r="AG276" i="2" s="1"/>
  <c r="AH276" i="2" s="1"/>
  <c r="F288" i="2"/>
  <c r="O277" i="2" l="1"/>
  <c r="S277" i="2" s="1"/>
  <c r="U277" i="2" s="1"/>
  <c r="V277" i="2" s="1"/>
  <c r="W276" i="2"/>
  <c r="AD572" i="2"/>
  <c r="U572" i="2" s="1"/>
  <c r="H288" i="2"/>
  <c r="I288" i="2" s="1"/>
  <c r="T573" i="2"/>
  <c r="B574" i="2"/>
  <c r="AE573" i="2"/>
  <c r="N573" i="2"/>
  <c r="M573" i="2"/>
  <c r="AD573" i="2" l="1"/>
  <c r="U573" i="2" s="1"/>
  <c r="AF277" i="2"/>
  <c r="AG277" i="2" s="1"/>
  <c r="AH277" i="2" s="1"/>
  <c r="T574" i="2"/>
  <c r="B575" i="2"/>
  <c r="N574" i="2"/>
  <c r="M574" i="2"/>
  <c r="AE574" i="2"/>
  <c r="F289" i="2"/>
  <c r="O278" i="2" l="1"/>
  <c r="S278" i="2" s="1"/>
  <c r="U278" i="2" s="1"/>
  <c r="V278" i="2" s="1"/>
  <c r="AD574" i="2"/>
  <c r="U574" i="2" s="1"/>
  <c r="T575" i="2"/>
  <c r="B576" i="2"/>
  <c r="M575" i="2"/>
  <c r="AE575" i="2"/>
  <c r="N575" i="2"/>
  <c r="H289" i="2"/>
  <c r="I289" i="2" s="1"/>
  <c r="W277" i="2"/>
  <c r="AD575" i="2" l="1"/>
  <c r="U575" i="2" s="1"/>
  <c r="T576" i="2"/>
  <c r="B577" i="2"/>
  <c r="AE576" i="2"/>
  <c r="M576" i="2"/>
  <c r="N576" i="2"/>
  <c r="AF278" i="2"/>
  <c r="AG278" i="2" s="1"/>
  <c r="AH278" i="2" s="1"/>
  <c r="F290" i="2"/>
  <c r="O279" i="2" l="1"/>
  <c r="S279" i="2" s="1"/>
  <c r="U279" i="2" s="1"/>
  <c r="V279" i="2" s="1"/>
  <c r="W278" i="2"/>
  <c r="T577" i="2"/>
  <c r="B578" i="2"/>
  <c r="N577" i="2"/>
  <c r="AE577" i="2"/>
  <c r="M577" i="2"/>
  <c r="H290" i="2"/>
  <c r="I290" i="2" s="1"/>
  <c r="AD578" i="2" l="1"/>
  <c r="U578" i="2" s="1"/>
  <c r="AD577" i="2"/>
  <c r="U577" i="2" s="1"/>
  <c r="T578" i="2"/>
  <c r="B579" i="2"/>
  <c r="M578" i="2"/>
  <c r="N578" i="2"/>
  <c r="AE578" i="2"/>
  <c r="AF279" i="2"/>
  <c r="AG279" i="2" s="1"/>
  <c r="AH279" i="2" s="1"/>
  <c r="T279" i="2"/>
  <c r="G27" i="3" s="1"/>
  <c r="F291" i="2"/>
  <c r="AD576" i="2"/>
  <c r="U576" i="2" s="1"/>
  <c r="O280" i="2" l="1"/>
  <c r="S280" i="2" s="1"/>
  <c r="W279" i="2"/>
  <c r="H291" i="2"/>
  <c r="I291" i="2" s="1"/>
  <c r="B580" i="2"/>
  <c r="N579" i="2"/>
  <c r="M579" i="2"/>
  <c r="U280" i="2" l="1"/>
  <c r="V280" i="2" s="1"/>
  <c r="T580" i="2"/>
  <c r="B581" i="2"/>
  <c r="AE580" i="2"/>
  <c r="N580" i="2"/>
  <c r="M580" i="2"/>
  <c r="F292" i="2"/>
  <c r="AD579" i="2"/>
  <c r="O281" i="2" l="1"/>
  <c r="S281" i="2" s="1"/>
  <c r="AF280" i="2"/>
  <c r="AG280" i="2" s="1"/>
  <c r="AH280" i="2" s="1"/>
  <c r="AE579" i="2"/>
  <c r="U579" i="2"/>
  <c r="AD580" i="2"/>
  <c r="U580" i="2" s="1"/>
  <c r="T581" i="2"/>
  <c r="B582" i="2"/>
  <c r="AE581" i="2"/>
  <c r="N581" i="2"/>
  <c r="M581" i="2"/>
  <c r="H292" i="2"/>
  <c r="P291" i="2"/>
  <c r="W280" i="2"/>
  <c r="U281" i="2" l="1"/>
  <c r="V281" i="2" s="1"/>
  <c r="I292" i="2"/>
  <c r="F293" i="2" s="1"/>
  <c r="AD581" i="2"/>
  <c r="U581" i="2" s="1"/>
  <c r="T582" i="2"/>
  <c r="B583" i="2"/>
  <c r="N582" i="2"/>
  <c r="M582" i="2"/>
  <c r="AE582" i="2"/>
  <c r="O282" i="2" l="1"/>
  <c r="S282" i="2" s="1"/>
  <c r="AF281" i="2"/>
  <c r="AG281" i="2" s="1"/>
  <c r="AH281" i="2" s="1"/>
  <c r="AD582" i="2"/>
  <c r="U582" i="2" s="1"/>
  <c r="T583" i="2"/>
  <c r="B584" i="2"/>
  <c r="M583" i="2"/>
  <c r="AE583" i="2"/>
  <c r="N583" i="2"/>
  <c r="H293" i="2"/>
  <c r="W281" i="2"/>
  <c r="U282" i="2" l="1"/>
  <c r="V282" i="2" s="1"/>
  <c r="I293" i="2"/>
  <c r="F294" i="2" s="1"/>
  <c r="AD583" i="2"/>
  <c r="U583" i="2" s="1"/>
  <c r="T584" i="2"/>
  <c r="B585" i="2"/>
  <c r="AE584" i="2"/>
  <c r="N584" i="2"/>
  <c r="M584" i="2"/>
  <c r="O283" i="2" l="1"/>
  <c r="S283" i="2" s="1"/>
  <c r="AF282" i="2"/>
  <c r="AG282" i="2" s="1"/>
  <c r="AH282" i="2" s="1"/>
  <c r="H294" i="2"/>
  <c r="T585" i="2"/>
  <c r="B586" i="2"/>
  <c r="N585" i="2"/>
  <c r="AE585" i="2"/>
  <c r="M585" i="2"/>
  <c r="W282" i="2"/>
  <c r="AD584" i="2"/>
  <c r="U584" i="2" s="1"/>
  <c r="U283" i="2" l="1"/>
  <c r="V283" i="2" s="1"/>
  <c r="I294" i="2"/>
  <c r="F295" i="2" s="1"/>
  <c r="AD585" i="2"/>
  <c r="U585" i="2" s="1"/>
  <c r="T586" i="2"/>
  <c r="B587" i="2"/>
  <c r="M586" i="2"/>
  <c r="N586" i="2"/>
  <c r="AE586" i="2"/>
  <c r="O284" i="2" l="1"/>
  <c r="S284" i="2" s="1"/>
  <c r="AF283" i="2"/>
  <c r="AG283" i="2" s="1"/>
  <c r="AH283" i="2" s="1"/>
  <c r="H295" i="2"/>
  <c r="AD586" i="2"/>
  <c r="U586" i="2" s="1"/>
  <c r="T587" i="2"/>
  <c r="B588" i="2"/>
  <c r="AE587" i="2"/>
  <c r="N587" i="2"/>
  <c r="M587" i="2"/>
  <c r="W283" i="2"/>
  <c r="U284" i="2" l="1"/>
  <c r="V284" i="2" s="1"/>
  <c r="I295" i="2"/>
  <c r="F296" i="2" s="1"/>
  <c r="T588" i="2"/>
  <c r="B589" i="2"/>
  <c r="AE588" i="2"/>
  <c r="N588" i="2"/>
  <c r="M588" i="2"/>
  <c r="AD587" i="2"/>
  <c r="U587" i="2" s="1"/>
  <c r="O285" i="2" l="1"/>
  <c r="S285" i="2" s="1"/>
  <c r="AF284" i="2"/>
  <c r="AG284" i="2" s="1"/>
  <c r="AH284" i="2" s="1"/>
  <c r="AD588" i="2"/>
  <c r="U588" i="2" s="1"/>
  <c r="W284" i="2"/>
  <c r="H296" i="2"/>
  <c r="T589" i="2"/>
  <c r="B590" i="2"/>
  <c r="AE589" i="2"/>
  <c r="N589" i="2"/>
  <c r="M589" i="2"/>
  <c r="U285" i="2" l="1"/>
  <c r="V285" i="2" s="1"/>
  <c r="I296" i="2"/>
  <c r="T590" i="2"/>
  <c r="B591" i="2"/>
  <c r="N590" i="2"/>
  <c r="M590" i="2"/>
  <c r="AE590" i="2"/>
  <c r="F297" i="2"/>
  <c r="AD589" i="2"/>
  <c r="U589" i="2" s="1"/>
  <c r="O286" i="2" l="1"/>
  <c r="S286" i="2" s="1"/>
  <c r="U286" i="2" s="1"/>
  <c r="V286" i="2" s="1"/>
  <c r="AF285" i="2"/>
  <c r="AG285" i="2" s="1"/>
  <c r="AH285" i="2" s="1"/>
  <c r="AD590" i="2"/>
  <c r="U590" i="2" s="1"/>
  <c r="W285" i="2"/>
  <c r="B592" i="2"/>
  <c r="M591" i="2"/>
  <c r="N591" i="2"/>
  <c r="H297" i="2"/>
  <c r="I297" i="2" l="1"/>
  <c r="F298" i="2" s="1"/>
  <c r="AD591" i="2"/>
  <c r="T592" i="2"/>
  <c r="AE592" i="2"/>
  <c r="B593" i="2"/>
  <c r="N592" i="2"/>
  <c r="M592" i="2"/>
  <c r="AF286" i="2"/>
  <c r="AG286" i="2" s="1"/>
  <c r="AH286" i="2" s="1"/>
  <c r="O287" i="2" l="1"/>
  <c r="S287" i="2" s="1"/>
  <c r="AD592" i="2"/>
  <c r="U592" i="2" s="1"/>
  <c r="AE591" i="2"/>
  <c r="U591" i="2"/>
  <c r="W286" i="2"/>
  <c r="AE593" i="2"/>
  <c r="N593" i="2"/>
  <c r="M593" i="2"/>
  <c r="T593" i="2"/>
  <c r="B594" i="2"/>
  <c r="H298" i="2"/>
  <c r="I298" i="2" s="1"/>
  <c r="U287" i="2"/>
  <c r="V287" i="2" s="1"/>
  <c r="AD593" i="2" l="1"/>
  <c r="U593" i="2" s="1"/>
  <c r="AF287" i="2"/>
  <c r="AG287" i="2" s="1"/>
  <c r="AH287" i="2" s="1"/>
  <c r="F299" i="2"/>
  <c r="AE594" i="2"/>
  <c r="N594" i="2"/>
  <c r="B595" i="2"/>
  <c r="T594" i="2"/>
  <c r="M594" i="2"/>
  <c r="O288" i="2" l="1"/>
  <c r="S288" i="2" s="1"/>
  <c r="U288" i="2" s="1"/>
  <c r="V288" i="2" s="1"/>
  <c r="AD594" i="2"/>
  <c r="U594" i="2" s="1"/>
  <c r="AE595" i="2"/>
  <c r="N595" i="2"/>
  <c r="M595" i="2"/>
  <c r="T595" i="2"/>
  <c r="B596" i="2"/>
  <c r="H299" i="2"/>
  <c r="I299" i="2" s="1"/>
  <c r="W287" i="2"/>
  <c r="AE596" i="2" l="1"/>
  <c r="N596" i="2"/>
  <c r="B597" i="2"/>
  <c r="M596" i="2"/>
  <c r="T596" i="2"/>
  <c r="AF288" i="2"/>
  <c r="AG288" i="2" s="1"/>
  <c r="AH288" i="2" s="1"/>
  <c r="AD595" i="2"/>
  <c r="U595" i="2" s="1"/>
  <c r="F300" i="2"/>
  <c r="O289" i="2" l="1"/>
  <c r="S289" i="2" s="1"/>
  <c r="U289" i="2" s="1"/>
  <c r="V289" i="2" s="1"/>
  <c r="W288" i="2"/>
  <c r="H300" i="2"/>
  <c r="I300" i="2" s="1"/>
  <c r="AD596" i="2"/>
  <c r="U596" i="2" s="1"/>
  <c r="AE597" i="2"/>
  <c r="N597" i="2"/>
  <c r="M597" i="2"/>
  <c r="T597" i="2"/>
  <c r="B598" i="2"/>
  <c r="AD597" i="2" l="1"/>
  <c r="U597" i="2" s="1"/>
  <c r="F301" i="2"/>
  <c r="AF289" i="2"/>
  <c r="AG289" i="2" s="1"/>
  <c r="AH289" i="2" s="1"/>
  <c r="AE598" i="2"/>
  <c r="N598" i="2"/>
  <c r="M598" i="2"/>
  <c r="T598" i="2"/>
  <c r="B599" i="2"/>
  <c r="O290" i="2" l="1"/>
  <c r="S290" i="2" s="1"/>
  <c r="U290" i="2" s="1"/>
  <c r="V290" i="2" s="1"/>
  <c r="AD598" i="2"/>
  <c r="U598" i="2" s="1"/>
  <c r="AE599" i="2"/>
  <c r="N599" i="2"/>
  <c r="T599" i="2"/>
  <c r="B600" i="2"/>
  <c r="M599" i="2"/>
  <c r="W289" i="2"/>
  <c r="H301" i="2"/>
  <c r="I301" i="2" s="1"/>
  <c r="AD599" i="2" l="1"/>
  <c r="U599" i="2" s="1"/>
  <c r="AF290" i="2"/>
  <c r="AG290" i="2" s="1"/>
  <c r="AH290" i="2" s="1"/>
  <c r="AE600" i="2"/>
  <c r="N600" i="2"/>
  <c r="T600" i="2"/>
  <c r="M600" i="2"/>
  <c r="B601" i="2"/>
  <c r="F302" i="2"/>
  <c r="O291" i="2" l="1"/>
  <c r="S291" i="2" s="1"/>
  <c r="U291" i="2" s="1"/>
  <c r="V291" i="2" s="1"/>
  <c r="AD600" i="2"/>
  <c r="U600" i="2" s="1"/>
  <c r="AE601" i="2"/>
  <c r="N601" i="2"/>
  <c r="T601" i="2"/>
  <c r="B602" i="2"/>
  <c r="M601" i="2"/>
  <c r="H302" i="2"/>
  <c r="I302" i="2" s="1"/>
  <c r="W290" i="2"/>
  <c r="AD601" i="2" l="1"/>
  <c r="U601" i="2" s="1"/>
  <c r="AF291" i="2"/>
  <c r="AG291" i="2" s="1"/>
  <c r="AH291" i="2" s="1"/>
  <c r="T291" i="2"/>
  <c r="G28" i="3" s="1"/>
  <c r="AE602" i="2"/>
  <c r="N602" i="2"/>
  <c r="T602" i="2"/>
  <c r="B603" i="2"/>
  <c r="M602" i="2"/>
  <c r="F303" i="2"/>
  <c r="O292" i="2" l="1"/>
  <c r="S292" i="2" s="1"/>
  <c r="AD602" i="2"/>
  <c r="U602" i="2" s="1"/>
  <c r="W291" i="2"/>
  <c r="N603" i="2"/>
  <c r="B604" i="2"/>
  <c r="M603" i="2"/>
  <c r="H303" i="2"/>
  <c r="I303" i="2" s="1"/>
  <c r="U292" i="2" l="1"/>
  <c r="V292" i="2" s="1"/>
  <c r="D115" i="15"/>
  <c r="D116" i="15"/>
  <c r="D117" i="15"/>
  <c r="D118" i="15"/>
  <c r="D119" i="15"/>
  <c r="D120" i="15"/>
  <c r="D121" i="15"/>
  <c r="D122" i="15"/>
  <c r="D123" i="15"/>
  <c r="D124" i="15"/>
  <c r="F304" i="2"/>
  <c r="AE604" i="2"/>
  <c r="N604" i="2"/>
  <c r="M604" i="2"/>
  <c r="B605" i="2"/>
  <c r="T604" i="2"/>
  <c r="O293" i="2" l="1"/>
  <c r="S293" i="2" s="1"/>
  <c r="AF292" i="2"/>
  <c r="AG292" i="2" s="1"/>
  <c r="AH292" i="2" s="1"/>
  <c r="AE603" i="2"/>
  <c r="U603" i="2"/>
  <c r="AE605" i="2"/>
  <c r="N605" i="2"/>
  <c r="M605" i="2"/>
  <c r="T605" i="2"/>
  <c r="B606" i="2"/>
  <c r="W292" i="2"/>
  <c r="AD604" i="2"/>
  <c r="U604" i="2" s="1"/>
  <c r="H304" i="2"/>
  <c r="P303" i="2"/>
  <c r="U293" i="2" l="1"/>
  <c r="V293" i="2" s="1"/>
  <c r="I304" i="2"/>
  <c r="F305" i="2" s="1"/>
  <c r="AD605" i="2"/>
  <c r="U605" i="2" s="1"/>
  <c r="AE606" i="2"/>
  <c r="N606" i="2"/>
  <c r="M606" i="2"/>
  <c r="T606" i="2"/>
  <c r="B607" i="2"/>
  <c r="O294" i="2" l="1"/>
  <c r="S294" i="2" s="1"/>
  <c r="AF293" i="2"/>
  <c r="AG293" i="2" s="1"/>
  <c r="AH293" i="2" s="1"/>
  <c r="AD606" i="2"/>
  <c r="U606" i="2" s="1"/>
  <c r="H305" i="2"/>
  <c r="W293" i="2"/>
  <c r="AE607" i="2"/>
  <c r="N607" i="2"/>
  <c r="T607" i="2"/>
  <c r="B608" i="2"/>
  <c r="M607" i="2"/>
  <c r="U294" i="2" l="1"/>
  <c r="V294" i="2" s="1"/>
  <c r="I305" i="2"/>
  <c r="F306" i="2" s="1"/>
  <c r="AD607" i="2"/>
  <c r="U607" i="2" s="1"/>
  <c r="AE608" i="2"/>
  <c r="N608" i="2"/>
  <c r="T608" i="2"/>
  <c r="M608" i="2"/>
  <c r="B609" i="2"/>
  <c r="O295" i="2" l="1"/>
  <c r="S295" i="2" s="1"/>
  <c r="AF294" i="2"/>
  <c r="AG294" i="2" s="1"/>
  <c r="AH294" i="2" s="1"/>
  <c r="H306" i="2"/>
  <c r="AE609" i="2"/>
  <c r="N609" i="2"/>
  <c r="T609" i="2"/>
  <c r="B610" i="2"/>
  <c r="M609" i="2"/>
  <c r="W294" i="2"/>
  <c r="AD608" i="2"/>
  <c r="U608" i="2" s="1"/>
  <c r="U295" i="2" l="1"/>
  <c r="V295" i="2" s="1"/>
  <c r="I306" i="2"/>
  <c r="F307" i="2" s="1"/>
  <c r="AD609" i="2"/>
  <c r="U609" i="2" s="1"/>
  <c r="AE610" i="2"/>
  <c r="N610" i="2"/>
  <c r="T610" i="2"/>
  <c r="B611" i="2"/>
  <c r="M610" i="2"/>
  <c r="O296" i="2" l="1"/>
  <c r="S296" i="2" s="1"/>
  <c r="AF295" i="2"/>
  <c r="AG295" i="2" s="1"/>
  <c r="AH295" i="2" s="1"/>
  <c r="W295" i="2"/>
  <c r="H307" i="2"/>
  <c r="AD610" i="2"/>
  <c r="U610" i="2" s="1"/>
  <c r="AE611" i="2"/>
  <c r="N611" i="2"/>
  <c r="B612" i="2"/>
  <c r="M611" i="2"/>
  <c r="T611" i="2"/>
  <c r="I307" i="2" l="1"/>
  <c r="F308" i="2" s="1"/>
  <c r="U296" i="2"/>
  <c r="V296" i="2" s="1"/>
  <c r="AD611" i="2"/>
  <c r="U611" i="2" s="1"/>
  <c r="AE612" i="2"/>
  <c r="N612" i="2"/>
  <c r="M612" i="2"/>
  <c r="B613" i="2"/>
  <c r="T612" i="2"/>
  <c r="O297" i="2" l="1"/>
  <c r="S297" i="2" s="1"/>
  <c r="AF296" i="2"/>
  <c r="AG296" i="2" s="1"/>
  <c r="AH296" i="2" s="1"/>
  <c r="AD612" i="2"/>
  <c r="U612" i="2" s="1"/>
  <c r="W296" i="2"/>
  <c r="H308" i="2"/>
  <c r="AE613" i="2"/>
  <c r="N613" i="2"/>
  <c r="M613" i="2"/>
  <c r="B614" i="2"/>
  <c r="T613" i="2"/>
  <c r="U297" i="2" l="1"/>
  <c r="V297" i="2" s="1"/>
  <c r="I308" i="2"/>
  <c r="F309" i="2" s="1"/>
  <c r="AD613" i="2"/>
  <c r="U613" i="2" s="1"/>
  <c r="M614" i="2"/>
  <c r="AE614" i="2"/>
  <c r="B615" i="2"/>
  <c r="N614" i="2"/>
  <c r="T614" i="2"/>
  <c r="O298" i="2" l="1"/>
  <c r="S298" i="2" s="1"/>
  <c r="U298" i="2" s="1"/>
  <c r="V298" i="2" s="1"/>
  <c r="AF297" i="2"/>
  <c r="AG297" i="2" s="1"/>
  <c r="AH297" i="2" s="1"/>
  <c r="W297" i="2"/>
  <c r="H309" i="2"/>
  <c r="N615" i="2"/>
  <c r="M615" i="2"/>
  <c r="B616" i="2"/>
  <c r="AD614" i="2"/>
  <c r="U614" i="2" s="1"/>
  <c r="I309" i="2" l="1"/>
  <c r="AE616" i="2"/>
  <c r="N616" i="2"/>
  <c r="M616" i="2"/>
  <c r="B617" i="2"/>
  <c r="T616" i="2"/>
  <c r="AF298" i="2"/>
  <c r="AG298" i="2" s="1"/>
  <c r="AH298" i="2" s="1"/>
  <c r="F310" i="2"/>
  <c r="AD615" i="2"/>
  <c r="O299" i="2" l="1"/>
  <c r="S299" i="2" s="1"/>
  <c r="U299" i="2" s="1"/>
  <c r="V299" i="2" s="1"/>
  <c r="AE615" i="2"/>
  <c r="U615" i="2"/>
  <c r="W298" i="2"/>
  <c r="AE617" i="2"/>
  <c r="N617" i="2"/>
  <c r="M617" i="2"/>
  <c r="B618" i="2"/>
  <c r="T617" i="2"/>
  <c r="H310" i="2"/>
  <c r="I310" i="2" s="1"/>
  <c r="AD616" i="2"/>
  <c r="U616" i="2" s="1"/>
  <c r="AE618" i="2" l="1"/>
  <c r="N618" i="2"/>
  <c r="M618" i="2"/>
  <c r="B619" i="2"/>
  <c r="T618" i="2"/>
  <c r="AF299" i="2"/>
  <c r="AG299" i="2" s="1"/>
  <c r="AH299" i="2" s="1"/>
  <c r="AD617" i="2"/>
  <c r="U617" i="2" s="1"/>
  <c r="F311" i="2"/>
  <c r="O300" i="2" l="1"/>
  <c r="S300" i="2" s="1"/>
  <c r="U300" i="2" s="1"/>
  <c r="V300" i="2" s="1"/>
  <c r="H311" i="2"/>
  <c r="I311" i="2" s="1"/>
  <c r="AE619" i="2"/>
  <c r="N619" i="2"/>
  <c r="M619" i="2"/>
  <c r="B620" i="2"/>
  <c r="T619" i="2"/>
  <c r="W299" i="2"/>
  <c r="AD618" i="2"/>
  <c r="U618" i="2" s="1"/>
  <c r="AF300" i="2" l="1"/>
  <c r="AG300" i="2" s="1"/>
  <c r="AH300" i="2" s="1"/>
  <c r="AE620" i="2"/>
  <c r="N620" i="2"/>
  <c r="M620" i="2"/>
  <c r="B621" i="2"/>
  <c r="T620" i="2"/>
  <c r="F312" i="2"/>
  <c r="AD619" i="2"/>
  <c r="U619" i="2" s="1"/>
  <c r="O301" i="2" l="1"/>
  <c r="S301" i="2" s="1"/>
  <c r="U301" i="2" s="1"/>
  <c r="V301" i="2" s="1"/>
  <c r="AD620" i="2"/>
  <c r="U620" i="2" s="1"/>
  <c r="H312" i="2"/>
  <c r="I312" i="2" s="1"/>
  <c r="AE621" i="2"/>
  <c r="N621" i="2"/>
  <c r="M621" i="2"/>
  <c r="B622" i="2"/>
  <c r="T621" i="2"/>
  <c r="W300" i="2"/>
  <c r="AE622" i="2" l="1"/>
  <c r="N622" i="2"/>
  <c r="M622" i="2"/>
  <c r="B623" i="2"/>
  <c r="T622" i="2"/>
  <c r="F313" i="2"/>
  <c r="AF301" i="2"/>
  <c r="AG301" i="2" s="1"/>
  <c r="AH301" i="2" s="1"/>
  <c r="AD621" i="2"/>
  <c r="U621" i="2" s="1"/>
  <c r="O302" i="2" l="1"/>
  <c r="S302" i="2" s="1"/>
  <c r="U302" i="2" s="1"/>
  <c r="V302" i="2" s="1"/>
  <c r="W301" i="2"/>
  <c r="AD622" i="2"/>
  <c r="U622" i="2" s="1"/>
  <c r="AE623" i="2"/>
  <c r="N623" i="2"/>
  <c r="M623" i="2"/>
  <c r="B624" i="2"/>
  <c r="T623" i="2"/>
  <c r="H313" i="2"/>
  <c r="I313" i="2" s="1"/>
  <c r="AD623" i="2" l="1"/>
  <c r="U623" i="2" s="1"/>
  <c r="AF302" i="2"/>
  <c r="AG302" i="2" s="1"/>
  <c r="AH302" i="2" s="1"/>
  <c r="F314" i="2"/>
  <c r="AE624" i="2"/>
  <c r="N624" i="2"/>
  <c r="M624" i="2"/>
  <c r="B625" i="2"/>
  <c r="T624" i="2"/>
  <c r="O303" i="2" l="1"/>
  <c r="S303" i="2" s="1"/>
  <c r="U303" i="2" s="1"/>
  <c r="V303" i="2" s="1"/>
  <c r="AD624" i="2"/>
  <c r="U624" i="2" s="1"/>
  <c r="H314" i="2"/>
  <c r="I314" i="2" s="1"/>
  <c r="AE625" i="2"/>
  <c r="N625" i="2"/>
  <c r="M625" i="2"/>
  <c r="B626" i="2"/>
  <c r="T625" i="2"/>
  <c r="W302" i="2"/>
  <c r="AF303" i="2" l="1"/>
  <c r="AG303" i="2" s="1"/>
  <c r="AH303" i="2" s="1"/>
  <c r="T303" i="2"/>
  <c r="G29" i="3" s="1"/>
  <c r="AD625" i="2"/>
  <c r="U625" i="2" s="1"/>
  <c r="AE626" i="2"/>
  <c r="N626" i="2"/>
  <c r="M626" i="2"/>
  <c r="B627" i="2"/>
  <c r="T626" i="2"/>
  <c r="F315" i="2"/>
  <c r="O304" i="2" l="1"/>
  <c r="S304" i="2" s="1"/>
  <c r="AD626" i="2"/>
  <c r="U626" i="2" s="1"/>
  <c r="N627" i="2"/>
  <c r="M627" i="2"/>
  <c r="B628" i="2"/>
  <c r="H315" i="2"/>
  <c r="I315" i="2" s="1"/>
  <c r="W303" i="2"/>
  <c r="U304" i="2" l="1"/>
  <c r="V304" i="2" s="1"/>
  <c r="AE628" i="2"/>
  <c r="N628" i="2"/>
  <c r="M628" i="2"/>
  <c r="B629" i="2"/>
  <c r="T628" i="2"/>
  <c r="F316" i="2"/>
  <c r="AD627" i="2"/>
  <c r="O305" i="2" l="1"/>
  <c r="S305" i="2" s="1"/>
  <c r="AF304" i="2"/>
  <c r="AG304" i="2" s="1"/>
  <c r="AH304" i="2" s="1"/>
  <c r="AE627" i="2"/>
  <c r="U627" i="2"/>
  <c r="H316" i="2"/>
  <c r="P315" i="2"/>
  <c r="AE629" i="2"/>
  <c r="N629" i="2"/>
  <c r="M629" i="2"/>
  <c r="B630" i="2"/>
  <c r="T629" i="2"/>
  <c r="W304" i="2"/>
  <c r="U305" i="2" l="1"/>
  <c r="V305" i="2" s="1"/>
  <c r="I316" i="2"/>
  <c r="F317" i="2" s="1"/>
  <c r="AD629" i="2"/>
  <c r="U629" i="2" s="1"/>
  <c r="AE630" i="2"/>
  <c r="N630" i="2"/>
  <c r="M630" i="2"/>
  <c r="B631" i="2"/>
  <c r="T630" i="2"/>
  <c r="O306" i="2" l="1"/>
  <c r="S306" i="2" s="1"/>
  <c r="AF305" i="2"/>
  <c r="AG305" i="2" s="1"/>
  <c r="AH305" i="2" s="1"/>
  <c r="AD628" i="2"/>
  <c r="U628" i="2" s="1"/>
  <c r="AD630" i="2"/>
  <c r="U630" i="2" s="1"/>
  <c r="AE631" i="2"/>
  <c r="N631" i="2"/>
  <c r="M631" i="2"/>
  <c r="B632" i="2"/>
  <c r="T631" i="2"/>
  <c r="H317" i="2"/>
  <c r="W305" i="2"/>
  <c r="U306" i="2" l="1"/>
  <c r="V306" i="2" s="1"/>
  <c r="I317" i="2"/>
  <c r="AE632" i="2"/>
  <c r="N632" i="2"/>
  <c r="M632" i="2"/>
  <c r="B633" i="2"/>
  <c r="T632" i="2"/>
  <c r="F318" i="2"/>
  <c r="AD631" i="2"/>
  <c r="U631" i="2" s="1"/>
  <c r="O307" i="2" l="1"/>
  <c r="S307" i="2" s="1"/>
  <c r="AF306" i="2"/>
  <c r="AG306" i="2" s="1"/>
  <c r="AH306" i="2" s="1"/>
  <c r="W306" i="2"/>
  <c r="AE633" i="2"/>
  <c r="N633" i="2"/>
  <c r="M633" i="2"/>
  <c r="B634" i="2"/>
  <c r="T633" i="2"/>
  <c r="AD632" i="2"/>
  <c r="U632" i="2" s="1"/>
  <c r="H318" i="2"/>
  <c r="I318" i="2" l="1"/>
  <c r="F319" i="2" s="1"/>
  <c r="U307" i="2"/>
  <c r="V307" i="2" s="1"/>
  <c r="AD633" i="2"/>
  <c r="U633" i="2" s="1"/>
  <c r="AE634" i="2"/>
  <c r="N634" i="2"/>
  <c r="M634" i="2"/>
  <c r="B635" i="2"/>
  <c r="T634" i="2"/>
  <c r="O308" i="2" l="1"/>
  <c r="S308" i="2" s="1"/>
  <c r="AF307" i="2"/>
  <c r="AG307" i="2" s="1"/>
  <c r="AH307" i="2" s="1"/>
  <c r="AD635" i="2"/>
  <c r="U635" i="2" s="1"/>
  <c r="AD634" i="2"/>
  <c r="U634" i="2" s="1"/>
  <c r="H319" i="2"/>
  <c r="W307" i="2"/>
  <c r="AE635" i="2"/>
  <c r="N635" i="2"/>
  <c r="M635" i="2"/>
  <c r="B636" i="2"/>
  <c r="T635" i="2"/>
  <c r="U308" i="2" l="1"/>
  <c r="V308" i="2" s="1"/>
  <c r="I319" i="2"/>
  <c r="F320" i="2" s="1"/>
  <c r="AE636" i="2"/>
  <c r="N636" i="2"/>
  <c r="M636" i="2"/>
  <c r="B637" i="2"/>
  <c r="T636" i="2"/>
  <c r="O309" i="2" l="1"/>
  <c r="S309" i="2" s="1"/>
  <c r="AF308" i="2"/>
  <c r="AG308" i="2" s="1"/>
  <c r="AH308" i="2" s="1"/>
  <c r="W308" i="2"/>
  <c r="N637" i="2"/>
  <c r="AE637" i="2"/>
  <c r="M637" i="2"/>
  <c r="B638" i="2"/>
  <c r="T637" i="2"/>
  <c r="H320" i="2"/>
  <c r="AD636" i="2"/>
  <c r="U636" i="2" s="1"/>
  <c r="U309" i="2" l="1"/>
  <c r="V309" i="2" s="1"/>
  <c r="I320" i="2"/>
  <c r="F321" i="2" s="1"/>
  <c r="AD637" i="2"/>
  <c r="U637" i="2" s="1"/>
  <c r="B639" i="2"/>
  <c r="AE638" i="2"/>
  <c r="T638" i="2"/>
  <c r="N638" i="2"/>
  <c r="M638" i="2"/>
  <c r="O310" i="2" l="1"/>
  <c r="S310" i="2" s="1"/>
  <c r="U310" i="2" s="1"/>
  <c r="V310" i="2" s="1"/>
  <c r="AF309" i="2"/>
  <c r="AG309" i="2" s="1"/>
  <c r="AH309" i="2" s="1"/>
  <c r="B640" i="2"/>
  <c r="M639" i="2"/>
  <c r="N639" i="2"/>
  <c r="H321" i="2"/>
  <c r="AD638" i="2"/>
  <c r="U638" i="2" s="1"/>
  <c r="W309" i="2"/>
  <c r="I321" i="2" l="1"/>
  <c r="F322" i="2" s="1"/>
  <c r="AD639" i="2"/>
  <c r="B641" i="2"/>
  <c r="AE640" i="2"/>
  <c r="T640" i="2"/>
  <c r="N640" i="2"/>
  <c r="M640" i="2"/>
  <c r="AF310" i="2"/>
  <c r="AG310" i="2" s="1"/>
  <c r="AH310" i="2" s="1"/>
  <c r="O311" i="2" l="1"/>
  <c r="S311" i="2" s="1"/>
  <c r="U311" i="2" s="1"/>
  <c r="V311" i="2" s="1"/>
  <c r="AE639" i="2"/>
  <c r="U639" i="2"/>
  <c r="AD640" i="2"/>
  <c r="U640" i="2" s="1"/>
  <c r="H322" i="2"/>
  <c r="I322" i="2" s="1"/>
  <c r="B642" i="2"/>
  <c r="M641" i="2"/>
  <c r="N641" i="2"/>
  <c r="T641" i="2"/>
  <c r="AE641" i="2"/>
  <c r="W310" i="2"/>
  <c r="AD641" i="2" l="1"/>
  <c r="U641" i="2" s="1"/>
  <c r="B643" i="2"/>
  <c r="M642" i="2"/>
  <c r="N642" i="2"/>
  <c r="T642" i="2"/>
  <c r="AE642" i="2"/>
  <c r="AF311" i="2"/>
  <c r="AG311" i="2" s="1"/>
  <c r="AH311" i="2" s="1"/>
  <c r="F323" i="2"/>
  <c r="O312" i="2" l="1"/>
  <c r="S312" i="2" s="1"/>
  <c r="AD642" i="2"/>
  <c r="U642" i="2" s="1"/>
  <c r="B644" i="2"/>
  <c r="N643" i="2"/>
  <c r="M643" i="2"/>
  <c r="T643" i="2"/>
  <c r="AE643" i="2"/>
  <c r="H323" i="2"/>
  <c r="I323" i="2" s="1"/>
  <c r="U312" i="2"/>
  <c r="V312" i="2" s="1"/>
  <c r="W311" i="2"/>
  <c r="AD643" i="2" l="1"/>
  <c r="U643" i="2" s="1"/>
  <c r="B645" i="2"/>
  <c r="T644" i="2"/>
  <c r="M644" i="2"/>
  <c r="AE644" i="2"/>
  <c r="N644" i="2"/>
  <c r="AF312" i="2"/>
  <c r="AG312" i="2" s="1"/>
  <c r="AH312" i="2" s="1"/>
  <c r="F324" i="2"/>
  <c r="O313" i="2" l="1"/>
  <c r="S313" i="2" s="1"/>
  <c r="U313" i="2" s="1"/>
  <c r="V313" i="2" s="1"/>
  <c r="B646" i="2"/>
  <c r="T645" i="2"/>
  <c r="AE645" i="2"/>
  <c r="M645" i="2"/>
  <c r="N645" i="2"/>
  <c r="AD644" i="2"/>
  <c r="U644" i="2" s="1"/>
  <c r="H324" i="2"/>
  <c r="I324" i="2" s="1"/>
  <c r="W312" i="2"/>
  <c r="AD645" i="2" l="1"/>
  <c r="U645" i="2" s="1"/>
  <c r="B647" i="2"/>
  <c r="T646" i="2"/>
  <c r="AE646" i="2"/>
  <c r="N646" i="2"/>
  <c r="M646" i="2"/>
  <c r="AF313" i="2"/>
  <c r="AG313" i="2" s="1"/>
  <c r="AH313" i="2" s="1"/>
  <c r="F325" i="2"/>
  <c r="O314" i="2" l="1"/>
  <c r="S314" i="2" s="1"/>
  <c r="U314" i="2" s="1"/>
  <c r="V314" i="2" s="1"/>
  <c r="AD646" i="2"/>
  <c r="U646" i="2" s="1"/>
  <c r="H325" i="2"/>
  <c r="I325" i="2" s="1"/>
  <c r="B648" i="2"/>
  <c r="AE647" i="2"/>
  <c r="N647" i="2"/>
  <c r="M647" i="2"/>
  <c r="T647" i="2"/>
  <c r="W313" i="2"/>
  <c r="B649" i="2" l="1"/>
  <c r="N648" i="2"/>
  <c r="M648" i="2"/>
  <c r="AE648" i="2"/>
  <c r="T648" i="2"/>
  <c r="AF314" i="2"/>
  <c r="AG314" i="2" s="1"/>
  <c r="AH314" i="2" s="1"/>
  <c r="AD647" i="2"/>
  <c r="U647" i="2" s="1"/>
  <c r="F326" i="2"/>
  <c r="O315" i="2" l="1"/>
  <c r="S315" i="2" s="1"/>
  <c r="U315" i="2" s="1"/>
  <c r="V315" i="2" s="1"/>
  <c r="AD648" i="2"/>
  <c r="U648" i="2" s="1"/>
  <c r="B650" i="2"/>
  <c r="M649" i="2"/>
  <c r="N649" i="2"/>
  <c r="T649" i="2"/>
  <c r="AE649" i="2"/>
  <c r="W314" i="2"/>
  <c r="H326" i="2"/>
  <c r="I326" i="2" s="1"/>
  <c r="AF315" i="2" l="1"/>
  <c r="AG315" i="2" s="1"/>
  <c r="AH315" i="2" s="1"/>
  <c r="T315" i="2"/>
  <c r="G30" i="3" s="1"/>
  <c r="AD649" i="2"/>
  <c r="U649" i="2" s="1"/>
  <c r="B651" i="2"/>
  <c r="M650" i="2"/>
  <c r="N650" i="2"/>
  <c r="T650" i="2"/>
  <c r="AE650" i="2"/>
  <c r="F327" i="2"/>
  <c r="O316" i="2" l="1"/>
  <c r="S316" i="2" s="1"/>
  <c r="H327" i="2"/>
  <c r="I327" i="2" s="1"/>
  <c r="W315" i="2"/>
  <c r="B652" i="2"/>
  <c r="N651" i="2"/>
  <c r="M651" i="2"/>
  <c r="AD650" i="2"/>
  <c r="U650" i="2" s="1"/>
  <c r="U316" i="2" l="1"/>
  <c r="V316" i="2" s="1"/>
  <c r="AD651" i="2"/>
  <c r="B653" i="2"/>
  <c r="T652" i="2"/>
  <c r="M652" i="2"/>
  <c r="AE652" i="2"/>
  <c r="N652" i="2"/>
  <c r="F328" i="2"/>
  <c r="O317" i="2" l="1"/>
  <c r="S317" i="2" s="1"/>
  <c r="AF316" i="2"/>
  <c r="AG316" i="2" s="1"/>
  <c r="AH316" i="2" s="1"/>
  <c r="AE651" i="2"/>
  <c r="U651" i="2"/>
  <c r="AD652" i="2"/>
  <c r="U652" i="2" s="1"/>
  <c r="B654" i="2"/>
  <c r="T653" i="2"/>
  <c r="AE653" i="2"/>
  <c r="M653" i="2"/>
  <c r="N653" i="2"/>
  <c r="W316" i="2"/>
  <c r="H328" i="2"/>
  <c r="P327" i="2"/>
  <c r="U317" i="2" l="1"/>
  <c r="V317" i="2" s="1"/>
  <c r="I328" i="2"/>
  <c r="B655" i="2"/>
  <c r="T654" i="2"/>
  <c r="AE654" i="2"/>
  <c r="N654" i="2"/>
  <c r="M654" i="2"/>
  <c r="F329" i="2"/>
  <c r="AD653" i="2"/>
  <c r="U653" i="2" s="1"/>
  <c r="O318" i="2" l="1"/>
  <c r="S318" i="2" s="1"/>
  <c r="AF317" i="2"/>
  <c r="AG317" i="2" s="1"/>
  <c r="AH317" i="2" s="1"/>
  <c r="AD654" i="2"/>
  <c r="U654" i="2" s="1"/>
  <c r="H329" i="2"/>
  <c r="B656" i="2"/>
  <c r="AE655" i="2"/>
  <c r="N655" i="2"/>
  <c r="M655" i="2"/>
  <c r="T655" i="2"/>
  <c r="W317" i="2"/>
  <c r="I329" i="2" l="1"/>
  <c r="U318" i="2"/>
  <c r="V318" i="2" s="1"/>
  <c r="F330" i="2"/>
  <c r="B657" i="2"/>
  <c r="N656" i="2"/>
  <c r="M656" i="2"/>
  <c r="AE656" i="2"/>
  <c r="T656" i="2"/>
  <c r="AD655" i="2"/>
  <c r="U655" i="2" s="1"/>
  <c r="O319" i="2" l="1"/>
  <c r="S319" i="2" s="1"/>
  <c r="AF318" i="2"/>
  <c r="AG318" i="2" s="1"/>
  <c r="AH318" i="2" s="1"/>
  <c r="AD656" i="2"/>
  <c r="U656" i="2" s="1"/>
  <c r="W318" i="2"/>
  <c r="H330" i="2"/>
  <c r="B658" i="2"/>
  <c r="M657" i="2"/>
  <c r="N657" i="2"/>
  <c r="T657" i="2"/>
  <c r="AE657" i="2"/>
  <c r="U319" i="2" l="1"/>
  <c r="V319" i="2" s="1"/>
  <c r="I330" i="2"/>
  <c r="F331" i="2" s="1"/>
  <c r="AD657" i="2"/>
  <c r="U657" i="2" s="1"/>
  <c r="B659" i="2"/>
  <c r="M658" i="2"/>
  <c r="N658" i="2"/>
  <c r="T658" i="2"/>
  <c r="AE658" i="2"/>
  <c r="O320" i="2" l="1"/>
  <c r="S320" i="2" s="1"/>
  <c r="AF319" i="2"/>
  <c r="AG319" i="2" s="1"/>
  <c r="AH319" i="2" s="1"/>
  <c r="B660" i="2"/>
  <c r="N659" i="2"/>
  <c r="M659" i="2"/>
  <c r="T659" i="2"/>
  <c r="AE659" i="2"/>
  <c r="AD658" i="2"/>
  <c r="U658" i="2" s="1"/>
  <c r="H331" i="2"/>
  <c r="W319" i="2"/>
  <c r="U320" i="2" l="1"/>
  <c r="V320" i="2" s="1"/>
  <c r="I331" i="2"/>
  <c r="F332" i="2" s="1"/>
  <c r="B661" i="2"/>
  <c r="T660" i="2"/>
  <c r="M660" i="2"/>
  <c r="AE660" i="2"/>
  <c r="N660" i="2"/>
  <c r="AD659" i="2"/>
  <c r="U659" i="2" s="1"/>
  <c r="O321" i="2" l="1"/>
  <c r="S321" i="2" s="1"/>
  <c r="AF320" i="2"/>
  <c r="AG320" i="2" s="1"/>
  <c r="AH320" i="2" s="1"/>
  <c r="AD660" i="2"/>
  <c r="U660" i="2" s="1"/>
  <c r="H332" i="2"/>
  <c r="W320" i="2"/>
  <c r="B662" i="2"/>
  <c r="T661" i="2"/>
  <c r="AE661" i="2"/>
  <c r="M661" i="2"/>
  <c r="N661" i="2"/>
  <c r="U321" i="2" l="1"/>
  <c r="V321" i="2" s="1"/>
  <c r="I332" i="2"/>
  <c r="F333" i="2" s="1"/>
  <c r="AD661" i="2"/>
  <c r="U661" i="2" s="1"/>
  <c r="B663" i="2"/>
  <c r="T662" i="2"/>
  <c r="AE662" i="2"/>
  <c r="N662" i="2"/>
  <c r="M662" i="2"/>
  <c r="O322" i="2" l="1"/>
  <c r="S322" i="2" s="1"/>
  <c r="U322" i="2" s="1"/>
  <c r="V322" i="2" s="1"/>
  <c r="AF321" i="2"/>
  <c r="AG321" i="2" s="1"/>
  <c r="AH321" i="2" s="1"/>
  <c r="W321" i="2"/>
  <c r="H333" i="2"/>
  <c r="B664" i="2"/>
  <c r="N663" i="2"/>
  <c r="M663" i="2"/>
  <c r="AD662" i="2"/>
  <c r="U662" i="2" s="1"/>
  <c r="I333" i="2" l="1"/>
  <c r="F334" i="2" s="1"/>
  <c r="B665" i="2"/>
  <c r="N664" i="2"/>
  <c r="M664" i="2"/>
  <c r="AE664" i="2"/>
  <c r="T664" i="2"/>
  <c r="AD663" i="2"/>
  <c r="AF322" i="2"/>
  <c r="AG322" i="2" s="1"/>
  <c r="AH322" i="2" s="1"/>
  <c r="O323" i="2" l="1"/>
  <c r="S323" i="2" s="1"/>
  <c r="AE663" i="2"/>
  <c r="U663" i="2"/>
  <c r="AD664" i="2"/>
  <c r="U664" i="2" s="1"/>
  <c r="B666" i="2"/>
  <c r="M665" i="2"/>
  <c r="N665" i="2"/>
  <c r="T665" i="2"/>
  <c r="AE665" i="2"/>
  <c r="W322" i="2"/>
  <c r="H334" i="2"/>
  <c r="I334" i="2" s="1"/>
  <c r="U323" i="2"/>
  <c r="V323" i="2" s="1"/>
  <c r="AD665" i="2" l="1"/>
  <c r="U665" i="2" s="1"/>
  <c r="B667" i="2"/>
  <c r="M666" i="2"/>
  <c r="N666" i="2"/>
  <c r="T666" i="2"/>
  <c r="AE666" i="2"/>
  <c r="AF323" i="2"/>
  <c r="AG323" i="2" s="1"/>
  <c r="AH323" i="2" s="1"/>
  <c r="F335" i="2"/>
  <c r="O324" i="2" l="1"/>
  <c r="S324" i="2" s="1"/>
  <c r="U324" i="2" s="1"/>
  <c r="V324" i="2" s="1"/>
  <c r="W323" i="2"/>
  <c r="H335" i="2"/>
  <c r="I335" i="2" s="1"/>
  <c r="AE667" i="2"/>
  <c r="T667" i="2"/>
  <c r="M667" i="2"/>
  <c r="N667" i="2"/>
  <c r="B668" i="2"/>
  <c r="AD666" i="2"/>
  <c r="U666" i="2" s="1"/>
  <c r="AD667" i="2" l="1"/>
  <c r="U667" i="2" s="1"/>
  <c r="B669" i="2"/>
  <c r="N668" i="2"/>
  <c r="AE668" i="2"/>
  <c r="M668" i="2"/>
  <c r="T668" i="2"/>
  <c r="AF324" i="2"/>
  <c r="AG324" i="2" s="1"/>
  <c r="AH324" i="2" s="1"/>
  <c r="F336" i="2"/>
  <c r="O325" i="2" l="1"/>
  <c r="S325" i="2" s="1"/>
  <c r="U325" i="2" s="1"/>
  <c r="V325" i="2" s="1"/>
  <c r="AD668" i="2"/>
  <c r="U668" i="2" s="1"/>
  <c r="H336" i="2"/>
  <c r="I336" i="2" s="1"/>
  <c r="B670" i="2"/>
  <c r="AE669" i="2"/>
  <c r="T669" i="2"/>
  <c r="M669" i="2"/>
  <c r="N669" i="2"/>
  <c r="W324" i="2"/>
  <c r="F337" i="2" l="1"/>
  <c r="B671" i="2"/>
  <c r="M670" i="2"/>
  <c r="N670" i="2"/>
  <c r="T670" i="2"/>
  <c r="AE670" i="2"/>
  <c r="AF325" i="2"/>
  <c r="AG325" i="2" s="1"/>
  <c r="AH325" i="2" s="1"/>
  <c r="AD669" i="2"/>
  <c r="U669" i="2" s="1"/>
  <c r="O326" i="2" l="1"/>
  <c r="S326" i="2" s="1"/>
  <c r="U326" i="2" s="1"/>
  <c r="V326" i="2" s="1"/>
  <c r="AD670" i="2"/>
  <c r="U670" i="2" s="1"/>
  <c r="B672" i="2"/>
  <c r="M671" i="2"/>
  <c r="AE671" i="2"/>
  <c r="N671" i="2"/>
  <c r="T671" i="2"/>
  <c r="W325" i="2"/>
  <c r="H337" i="2"/>
  <c r="I337" i="2" s="1"/>
  <c r="AD671" i="2" l="1"/>
  <c r="U671" i="2" s="1"/>
  <c r="F338" i="2"/>
  <c r="AF326" i="2"/>
  <c r="AG326" i="2" s="1"/>
  <c r="AH326" i="2" s="1"/>
  <c r="B673" i="2"/>
  <c r="T672" i="2"/>
  <c r="AE672" i="2"/>
  <c r="M672" i="2"/>
  <c r="N672" i="2"/>
  <c r="O327" i="2" l="1"/>
  <c r="S327" i="2" s="1"/>
  <c r="U327" i="2" s="1"/>
  <c r="V327" i="2" s="1"/>
  <c r="AD672" i="2"/>
  <c r="U672" i="2" s="1"/>
  <c r="W326" i="2"/>
  <c r="B674" i="2"/>
  <c r="T673" i="2"/>
  <c r="AE673" i="2"/>
  <c r="N673" i="2"/>
  <c r="M673" i="2"/>
  <c r="H338" i="2"/>
  <c r="I338" i="2" s="1"/>
  <c r="AD673" i="2" l="1"/>
  <c r="U673" i="2" s="1"/>
  <c r="AF327" i="2"/>
  <c r="AG327" i="2" s="1"/>
  <c r="AH327" i="2" s="1"/>
  <c r="T327" i="2"/>
  <c r="G31" i="3" s="1"/>
  <c r="F339" i="2"/>
  <c r="B675" i="2"/>
  <c r="T674" i="2"/>
  <c r="AE674" i="2"/>
  <c r="N674" i="2"/>
  <c r="M674" i="2"/>
  <c r="O328" i="2" l="1"/>
  <c r="S328" i="2" s="1"/>
  <c r="AD674" i="2"/>
  <c r="U674" i="2" s="1"/>
  <c r="H339" i="2"/>
  <c r="I339" i="2" s="1"/>
  <c r="B676" i="2"/>
  <c r="N675" i="2"/>
  <c r="M675" i="2"/>
  <c r="W327" i="2"/>
  <c r="U328" i="2" l="1"/>
  <c r="V328" i="2" s="1"/>
  <c r="AD675" i="2"/>
  <c r="B677" i="2"/>
  <c r="T676" i="2"/>
  <c r="AE676" i="2"/>
  <c r="N676" i="2"/>
  <c r="M676" i="2"/>
  <c r="F340" i="2"/>
  <c r="O329" i="2" l="1"/>
  <c r="S329" i="2" s="1"/>
  <c r="AF328" i="2"/>
  <c r="AG328" i="2" s="1"/>
  <c r="AH328" i="2" s="1"/>
  <c r="AE675" i="2"/>
  <c r="U675" i="2"/>
  <c r="W328" i="2"/>
  <c r="AD676" i="2"/>
  <c r="U676" i="2" s="1"/>
  <c r="H340" i="2"/>
  <c r="P339" i="2"/>
  <c r="B678" i="2"/>
  <c r="T677" i="2"/>
  <c r="N677" i="2"/>
  <c r="AE677" i="2"/>
  <c r="M677" i="2"/>
  <c r="U329" i="2" l="1"/>
  <c r="V329" i="2" s="1"/>
  <c r="I340" i="2"/>
  <c r="F341" i="2" s="1"/>
  <c r="B679" i="2"/>
  <c r="N678" i="2"/>
  <c r="AE678" i="2"/>
  <c r="M678" i="2"/>
  <c r="T678" i="2"/>
  <c r="AD677" i="2"/>
  <c r="U677" i="2" s="1"/>
  <c r="O330" i="2" l="1"/>
  <c r="S330" i="2" s="1"/>
  <c r="AF329" i="2"/>
  <c r="AG329" i="2" s="1"/>
  <c r="AH329" i="2" s="1"/>
  <c r="AD678" i="2"/>
  <c r="U678" i="2" s="1"/>
  <c r="H341" i="2"/>
  <c r="W329" i="2"/>
  <c r="B680" i="2"/>
  <c r="N679" i="2"/>
  <c r="M679" i="2"/>
  <c r="T679" i="2"/>
  <c r="AE679" i="2"/>
  <c r="I341" i="2" l="1"/>
  <c r="U330" i="2"/>
  <c r="V330" i="2" s="1"/>
  <c r="B681" i="2"/>
  <c r="N680" i="2"/>
  <c r="M680" i="2"/>
  <c r="T680" i="2"/>
  <c r="AE680" i="2"/>
  <c r="F342" i="2"/>
  <c r="AD679" i="2"/>
  <c r="U679" i="2" s="1"/>
  <c r="O331" i="2" l="1"/>
  <c r="S331" i="2" s="1"/>
  <c r="AF330" i="2"/>
  <c r="AG330" i="2" s="1"/>
  <c r="AH330" i="2" s="1"/>
  <c r="W330" i="2"/>
  <c r="B682" i="2"/>
  <c r="T681" i="2"/>
  <c r="M681" i="2"/>
  <c r="N681" i="2"/>
  <c r="AE681" i="2"/>
  <c r="H342" i="2"/>
  <c r="U331" i="2" l="1"/>
  <c r="V331" i="2" s="1"/>
  <c r="I342" i="2"/>
  <c r="F343" i="2" s="1"/>
  <c r="B683" i="2"/>
  <c r="T682" i="2"/>
  <c r="AE682" i="2"/>
  <c r="M682" i="2"/>
  <c r="N682" i="2"/>
  <c r="AD681" i="2"/>
  <c r="U681" i="2" s="1"/>
  <c r="O332" i="2" l="1"/>
  <c r="S332" i="2" s="1"/>
  <c r="AF331" i="2"/>
  <c r="AG331" i="2" s="1"/>
  <c r="AH331" i="2" s="1"/>
  <c r="AD680" i="2"/>
  <c r="U680" i="2" s="1"/>
  <c r="AD682" i="2"/>
  <c r="U682" i="2" s="1"/>
  <c r="B684" i="2"/>
  <c r="T683" i="2"/>
  <c r="AE683" i="2"/>
  <c r="N683" i="2"/>
  <c r="M683" i="2"/>
  <c r="H343" i="2"/>
  <c r="W331" i="2"/>
  <c r="U332" i="2" l="1"/>
  <c r="V332" i="2" s="1"/>
  <c r="I343" i="2"/>
  <c r="F344" i="2" s="1"/>
  <c r="AD683" i="2"/>
  <c r="U683" i="2" s="1"/>
  <c r="B685" i="2"/>
  <c r="T684" i="2"/>
  <c r="AE684" i="2"/>
  <c r="N684" i="2"/>
  <c r="M684" i="2"/>
  <c r="O333" i="2" l="1"/>
  <c r="S333" i="2" s="1"/>
  <c r="AF332" i="2"/>
  <c r="AG332" i="2" s="1"/>
  <c r="AH332" i="2" s="1"/>
  <c r="AD684" i="2"/>
  <c r="U684" i="2" s="1"/>
  <c r="H344" i="2"/>
  <c r="B686" i="2"/>
  <c r="T685" i="2"/>
  <c r="N685" i="2"/>
  <c r="M685" i="2"/>
  <c r="AE685" i="2"/>
  <c r="W332" i="2"/>
  <c r="U333" i="2" l="1"/>
  <c r="V333" i="2" s="1"/>
  <c r="I344" i="2"/>
  <c r="F345" i="2" s="1"/>
  <c r="B687" i="2"/>
  <c r="T686" i="2"/>
  <c r="M686" i="2"/>
  <c r="AE686" i="2"/>
  <c r="N686" i="2"/>
  <c r="AD685" i="2"/>
  <c r="U685" i="2" s="1"/>
  <c r="O334" i="2" l="1"/>
  <c r="S334" i="2" s="1"/>
  <c r="U334" i="2" s="1"/>
  <c r="V334" i="2" s="1"/>
  <c r="AF333" i="2"/>
  <c r="AG333" i="2" s="1"/>
  <c r="AH333" i="2" s="1"/>
  <c r="H345" i="2"/>
  <c r="AD686" i="2"/>
  <c r="U686" i="2" s="1"/>
  <c r="B688" i="2"/>
  <c r="M687" i="2"/>
  <c r="N687" i="2"/>
  <c r="W333" i="2"/>
  <c r="I345" i="2" l="1"/>
  <c r="F346" i="2" s="1"/>
  <c r="AD687" i="2"/>
  <c r="AF334" i="2"/>
  <c r="AG334" i="2" s="1"/>
  <c r="AH334" i="2" s="1"/>
  <c r="B689" i="2"/>
  <c r="T688" i="2"/>
  <c r="N688" i="2"/>
  <c r="AE688" i="2"/>
  <c r="M688" i="2"/>
  <c r="O335" i="2" l="1"/>
  <c r="S335" i="2" s="1"/>
  <c r="U335" i="2" s="1"/>
  <c r="V335" i="2" s="1"/>
  <c r="AE687" i="2"/>
  <c r="U687" i="2"/>
  <c r="B690" i="2"/>
  <c r="N689" i="2"/>
  <c r="M689" i="2"/>
  <c r="T689" i="2"/>
  <c r="AE689" i="2"/>
  <c r="W334" i="2"/>
  <c r="H346" i="2"/>
  <c r="I346" i="2" s="1"/>
  <c r="AD688" i="2"/>
  <c r="U688" i="2" s="1"/>
  <c r="AD689" i="2" l="1"/>
  <c r="U689" i="2" s="1"/>
  <c r="F347" i="2"/>
  <c r="AF335" i="2"/>
  <c r="AG335" i="2" s="1"/>
  <c r="AH335" i="2" s="1"/>
  <c r="B691" i="2"/>
  <c r="N690" i="2"/>
  <c r="M690" i="2"/>
  <c r="AE690" i="2"/>
  <c r="T690" i="2"/>
  <c r="O336" i="2" l="1"/>
  <c r="S336" i="2" s="1"/>
  <c r="U336" i="2" s="1"/>
  <c r="V336" i="2" s="1"/>
  <c r="B692" i="2"/>
  <c r="M691" i="2"/>
  <c r="AE691" i="2"/>
  <c r="N691" i="2"/>
  <c r="T691" i="2"/>
  <c r="W335" i="2"/>
  <c r="H347" i="2"/>
  <c r="I347" i="2" s="1"/>
  <c r="AD690" i="2"/>
  <c r="U690" i="2" s="1"/>
  <c r="AF336" i="2" l="1"/>
  <c r="AG336" i="2" s="1"/>
  <c r="AH336" i="2" s="1"/>
  <c r="F348" i="2"/>
  <c r="B693" i="2"/>
  <c r="AE692" i="2"/>
  <c r="T692" i="2"/>
  <c r="M692" i="2"/>
  <c r="N692" i="2"/>
  <c r="AD691" i="2"/>
  <c r="U691" i="2" s="1"/>
  <c r="O337" i="2" l="1"/>
  <c r="S337" i="2" s="1"/>
  <c r="U337" i="2" s="1"/>
  <c r="V337" i="2" s="1"/>
  <c r="B694" i="2"/>
  <c r="AE693" i="2"/>
  <c r="T693" i="2"/>
  <c r="N693" i="2"/>
  <c r="M693" i="2"/>
  <c r="AD692" i="2"/>
  <c r="U692" i="2" s="1"/>
  <c r="H348" i="2"/>
  <c r="I348" i="2" s="1"/>
  <c r="W336" i="2"/>
  <c r="AD693" i="2" l="1"/>
  <c r="U693" i="2" s="1"/>
  <c r="AF337" i="2"/>
  <c r="AG337" i="2" s="1"/>
  <c r="AH337" i="2" s="1"/>
  <c r="F349" i="2"/>
  <c r="B695" i="2"/>
  <c r="AE694" i="2"/>
  <c r="T694" i="2"/>
  <c r="N694" i="2"/>
  <c r="M694" i="2"/>
  <c r="O338" i="2" l="1"/>
  <c r="S338" i="2" s="1"/>
  <c r="AD694" i="2"/>
  <c r="U694" i="2" s="1"/>
  <c r="B696" i="2"/>
  <c r="T695" i="2"/>
  <c r="M695" i="2"/>
  <c r="N695" i="2"/>
  <c r="AE695" i="2"/>
  <c r="H349" i="2"/>
  <c r="I349" i="2" s="1"/>
  <c r="U338" i="2"/>
  <c r="V338" i="2" s="1"/>
  <c r="W337" i="2"/>
  <c r="F350" i="2" l="1"/>
  <c r="AF338" i="2"/>
  <c r="AG338" i="2" s="1"/>
  <c r="AH338" i="2" s="1"/>
  <c r="AD695" i="2"/>
  <c r="U695" i="2" s="1"/>
  <c r="B697" i="2"/>
  <c r="T696" i="2"/>
  <c r="M696" i="2"/>
  <c r="N696" i="2"/>
  <c r="AE696" i="2"/>
  <c r="O339" i="2" l="1"/>
  <c r="S339" i="2" s="1"/>
  <c r="U339" i="2" s="1"/>
  <c r="V339" i="2" s="1"/>
  <c r="AD696" i="2"/>
  <c r="U696" i="2" s="1"/>
  <c r="W338" i="2"/>
  <c r="H350" i="2"/>
  <c r="I350" i="2" s="1"/>
  <c r="B698" i="2"/>
  <c r="T697" i="2"/>
  <c r="N697" i="2"/>
  <c r="M697" i="2"/>
  <c r="AE697" i="2"/>
  <c r="F351" i="2" l="1"/>
  <c r="AF339" i="2"/>
  <c r="AG339" i="2" s="1"/>
  <c r="AH339" i="2" s="1"/>
  <c r="T339" i="2"/>
  <c r="G32" i="3" s="1"/>
  <c r="AD697" i="2"/>
  <c r="U697" i="2" s="1"/>
  <c r="B699" i="2"/>
  <c r="T698" i="2"/>
  <c r="M698" i="2"/>
  <c r="AE698" i="2"/>
  <c r="N698" i="2"/>
  <c r="O340" i="2" l="1"/>
  <c r="S340" i="2" s="1"/>
  <c r="AD698" i="2"/>
  <c r="U698" i="2" s="1"/>
  <c r="W339" i="2"/>
  <c r="H351" i="2"/>
  <c r="I351" i="2" s="1"/>
  <c r="B700" i="2"/>
  <c r="M699" i="2"/>
  <c r="N699" i="2"/>
  <c r="U340" i="2" l="1"/>
  <c r="V340" i="2" s="1"/>
  <c r="AD699" i="2"/>
  <c r="T700" i="2"/>
  <c r="B701" i="2"/>
  <c r="N700" i="2"/>
  <c r="AE700" i="2"/>
  <c r="M700" i="2"/>
  <c r="F352" i="2"/>
  <c r="O341" i="2" l="1"/>
  <c r="S341" i="2" s="1"/>
  <c r="AF340" i="2"/>
  <c r="AG340" i="2" s="1"/>
  <c r="AH340" i="2" s="1"/>
  <c r="AE699" i="2"/>
  <c r="U699" i="2"/>
  <c r="AD700" i="2"/>
  <c r="U700" i="2" s="1"/>
  <c r="H352" i="2"/>
  <c r="P351" i="2"/>
  <c r="N701" i="2"/>
  <c r="M701" i="2"/>
  <c r="AE701" i="2"/>
  <c r="B702" i="2"/>
  <c r="T701" i="2"/>
  <c r="W340" i="2"/>
  <c r="U341" i="2" l="1"/>
  <c r="V341" i="2" s="1"/>
  <c r="I352" i="2"/>
  <c r="F353" i="2" s="1"/>
  <c r="T702" i="2"/>
  <c r="AE702" i="2"/>
  <c r="B703" i="2"/>
  <c r="N702" i="2"/>
  <c r="M702" i="2"/>
  <c r="AD701" i="2"/>
  <c r="U701" i="2" s="1"/>
  <c r="O342" i="2" l="1"/>
  <c r="S342" i="2" s="1"/>
  <c r="AF341" i="2"/>
  <c r="AG341" i="2" s="1"/>
  <c r="AH341" i="2" s="1"/>
  <c r="AD702" i="2"/>
  <c r="U702" i="2" s="1"/>
  <c r="W341" i="2"/>
  <c r="H353" i="2"/>
  <c r="B704" i="2"/>
  <c r="N703" i="2"/>
  <c r="M703" i="2"/>
  <c r="AE703" i="2"/>
  <c r="T703" i="2"/>
  <c r="U342" i="2" l="1"/>
  <c r="V342" i="2" s="1"/>
  <c r="I353" i="2"/>
  <c r="F354" i="2" s="1"/>
  <c r="B705" i="2"/>
  <c r="AE704" i="2"/>
  <c r="M704" i="2"/>
  <c r="N704" i="2"/>
  <c r="T704" i="2"/>
  <c r="AD703" i="2"/>
  <c r="U703" i="2" s="1"/>
  <c r="O343" i="2" l="1"/>
  <c r="S343" i="2" s="1"/>
  <c r="AF342" i="2"/>
  <c r="AG342" i="2" s="1"/>
  <c r="AH342" i="2" s="1"/>
  <c r="AD704" i="2"/>
  <c r="U704" i="2" s="1"/>
  <c r="B706" i="2"/>
  <c r="AE705" i="2"/>
  <c r="M705" i="2"/>
  <c r="N705" i="2"/>
  <c r="T705" i="2"/>
  <c r="W342" i="2"/>
  <c r="H354" i="2"/>
  <c r="U343" i="2" l="1"/>
  <c r="V343" i="2" s="1"/>
  <c r="I354" i="2"/>
  <c r="F355" i="2" s="1"/>
  <c r="B707" i="2"/>
  <c r="AE706" i="2"/>
  <c r="M706" i="2"/>
  <c r="N706" i="2"/>
  <c r="T706" i="2"/>
  <c r="AD705" i="2"/>
  <c r="U705" i="2" s="1"/>
  <c r="O344" i="2" l="1"/>
  <c r="S344" i="2" s="1"/>
  <c r="AF343" i="2"/>
  <c r="AG343" i="2" s="1"/>
  <c r="AH343" i="2" s="1"/>
  <c r="AD706" i="2"/>
  <c r="U706" i="2" s="1"/>
  <c r="W343" i="2"/>
  <c r="H355" i="2"/>
  <c r="B708" i="2"/>
  <c r="AE707" i="2"/>
  <c r="M707" i="2"/>
  <c r="T707" i="2"/>
  <c r="N707" i="2"/>
  <c r="U344" i="2" l="1"/>
  <c r="V344" i="2" s="1"/>
  <c r="I355" i="2"/>
  <c r="F356" i="2" s="1"/>
  <c r="M708" i="2"/>
  <c r="N708" i="2"/>
  <c r="T708" i="2"/>
  <c r="B709" i="2"/>
  <c r="AE708" i="2"/>
  <c r="AD707" i="2"/>
  <c r="U707" i="2" s="1"/>
  <c r="O345" i="2" l="1"/>
  <c r="S345" i="2" s="1"/>
  <c r="AF344" i="2"/>
  <c r="AG344" i="2" s="1"/>
  <c r="AH344" i="2" s="1"/>
  <c r="H356" i="2"/>
  <c r="B710" i="2"/>
  <c r="T709" i="2"/>
  <c r="N709" i="2"/>
  <c r="AE709" i="2"/>
  <c r="M709" i="2"/>
  <c r="AD708" i="2"/>
  <c r="U708" i="2" s="1"/>
  <c r="W344" i="2"/>
  <c r="U345" i="2" l="1"/>
  <c r="V345" i="2" s="1"/>
  <c r="I356" i="2"/>
  <c r="F357" i="2" s="1"/>
  <c r="AD709" i="2"/>
  <c r="U709" i="2" s="1"/>
  <c r="AE710" i="2"/>
  <c r="M710" i="2"/>
  <c r="N710" i="2"/>
  <c r="B711" i="2"/>
  <c r="T710" i="2"/>
  <c r="O346" i="2" l="1"/>
  <c r="S346" i="2" s="1"/>
  <c r="AF345" i="2"/>
  <c r="AG345" i="2" s="1"/>
  <c r="AH345" i="2" s="1"/>
  <c r="AD710" i="2"/>
  <c r="U710" i="2" s="1"/>
  <c r="B712" i="2"/>
  <c r="M711" i="2"/>
  <c r="N711" i="2"/>
  <c r="H357" i="2"/>
  <c r="U346" i="2"/>
  <c r="V346" i="2" s="1"/>
  <c r="W345" i="2"/>
  <c r="I357" i="2" l="1"/>
  <c r="F358" i="2" s="1"/>
  <c r="AD711" i="2"/>
  <c r="T712" i="2"/>
  <c r="M712" i="2"/>
  <c r="AE712" i="2"/>
  <c r="N712" i="2"/>
  <c r="B713" i="2"/>
  <c r="AF346" i="2"/>
  <c r="AG346" i="2" s="1"/>
  <c r="AH346" i="2" s="1"/>
  <c r="O347" i="2" l="1"/>
  <c r="S347" i="2" s="1"/>
  <c r="U347" i="2" s="1"/>
  <c r="V347" i="2" s="1"/>
  <c r="AE711" i="2"/>
  <c r="U711" i="2"/>
  <c r="AD712" i="2"/>
  <c r="U712" i="2" s="1"/>
  <c r="W346" i="2"/>
  <c r="H358" i="2"/>
  <c r="I358" i="2" s="1"/>
  <c r="M713" i="2"/>
  <c r="AE713" i="2"/>
  <c r="B714" i="2"/>
  <c r="T713" i="2"/>
  <c r="N713" i="2"/>
  <c r="AF347" i="2" l="1"/>
  <c r="AG347" i="2" s="1"/>
  <c r="AH347" i="2" s="1"/>
  <c r="F359" i="2"/>
  <c r="AD713" i="2"/>
  <c r="U713" i="2" s="1"/>
  <c r="N714" i="2"/>
  <c r="T714" i="2"/>
  <c r="B715" i="2"/>
  <c r="M714" i="2"/>
  <c r="AE714" i="2"/>
  <c r="O348" i="2" l="1"/>
  <c r="S348" i="2" s="1"/>
  <c r="U348" i="2" s="1"/>
  <c r="V348" i="2" s="1"/>
  <c r="AE715" i="2"/>
  <c r="T715" i="2"/>
  <c r="N715" i="2"/>
  <c r="B716" i="2"/>
  <c r="M715" i="2"/>
  <c r="H359" i="2"/>
  <c r="I359" i="2" s="1"/>
  <c r="AD714" i="2"/>
  <c r="U714" i="2" s="1"/>
  <c r="W347" i="2"/>
  <c r="AD715" i="2" l="1"/>
  <c r="U715" i="2" s="1"/>
  <c r="N716" i="2"/>
  <c r="T716" i="2"/>
  <c r="AE716" i="2"/>
  <c r="B717" i="2"/>
  <c r="M716" i="2"/>
  <c r="F360" i="2"/>
  <c r="AF348" i="2"/>
  <c r="AG348" i="2" s="1"/>
  <c r="AH348" i="2" s="1"/>
  <c r="O349" i="2" l="1"/>
  <c r="S349" i="2" s="1"/>
  <c r="U349" i="2" s="1"/>
  <c r="V349" i="2" s="1"/>
  <c r="AD716" i="2"/>
  <c r="U716" i="2" s="1"/>
  <c r="W348" i="2"/>
  <c r="AE717" i="2"/>
  <c r="T717" i="2"/>
  <c r="N717" i="2"/>
  <c r="M717" i="2"/>
  <c r="B718" i="2"/>
  <c r="H360" i="2"/>
  <c r="I360" i="2" s="1"/>
  <c r="F361" i="2" l="1"/>
  <c r="N718" i="2"/>
  <c r="T718" i="2"/>
  <c r="B719" i="2"/>
  <c r="M718" i="2"/>
  <c r="AE718" i="2"/>
  <c r="AF349" i="2"/>
  <c r="AG349" i="2" s="1"/>
  <c r="AH349" i="2" s="1"/>
  <c r="AD717" i="2"/>
  <c r="U717" i="2" s="1"/>
  <c r="O350" i="2" l="1"/>
  <c r="S350" i="2" s="1"/>
  <c r="U350" i="2" s="1"/>
  <c r="V350" i="2" s="1"/>
  <c r="AD718" i="2"/>
  <c r="U718" i="2" s="1"/>
  <c r="AE719" i="2"/>
  <c r="T719" i="2"/>
  <c r="N719" i="2"/>
  <c r="B720" i="2"/>
  <c r="M719" i="2"/>
  <c r="W349" i="2"/>
  <c r="H361" i="2"/>
  <c r="I361" i="2" s="1"/>
  <c r="AD719" i="2" l="1"/>
  <c r="U719" i="2" s="1"/>
  <c r="AF350" i="2"/>
  <c r="AG350" i="2" s="1"/>
  <c r="AH350" i="2" s="1"/>
  <c r="N720" i="2"/>
  <c r="T720" i="2"/>
  <c r="AE720" i="2"/>
  <c r="B721" i="2"/>
  <c r="M720" i="2"/>
  <c r="F362" i="2"/>
  <c r="O351" i="2" l="1"/>
  <c r="S351" i="2" s="1"/>
  <c r="AD720" i="2"/>
  <c r="U720" i="2" s="1"/>
  <c r="AE721" i="2"/>
  <c r="T721" i="2"/>
  <c r="N721" i="2"/>
  <c r="M721" i="2"/>
  <c r="B722" i="2"/>
  <c r="H362" i="2"/>
  <c r="I362" i="2" s="1"/>
  <c r="U351" i="2"/>
  <c r="V351" i="2" s="1"/>
  <c r="W350" i="2"/>
  <c r="AD721" i="2" l="1"/>
  <c r="U721" i="2" s="1"/>
  <c r="AF351" i="2"/>
  <c r="AG351" i="2" s="1"/>
  <c r="AH351" i="2" s="1"/>
  <c r="T351" i="2"/>
  <c r="G33" i="3" s="1"/>
  <c r="F363" i="2"/>
  <c r="B723" i="2"/>
  <c r="N722" i="2"/>
  <c r="T722" i="2"/>
  <c r="AE722" i="2"/>
  <c r="M722" i="2"/>
  <c r="O352" i="2" l="1"/>
  <c r="S352" i="2" s="1"/>
  <c r="H363" i="2"/>
  <c r="I363" i="2" s="1"/>
  <c r="N723" i="2"/>
  <c r="M723" i="2"/>
  <c r="J7" i="15" s="1"/>
  <c r="F12" i="3"/>
  <c r="H58" i="3"/>
  <c r="H33" i="3"/>
  <c r="I16" i="3"/>
  <c r="I21" i="3"/>
  <c r="H62" i="3"/>
  <c r="H49" i="3"/>
  <c r="H60" i="3"/>
  <c r="E7" i="3"/>
  <c r="E5" i="3"/>
  <c r="F28" i="3"/>
  <c r="H57" i="3"/>
  <c r="H61" i="3"/>
  <c r="E10" i="3"/>
  <c r="I30" i="3"/>
  <c r="F32" i="3"/>
  <c r="I13" i="3"/>
  <c r="I27" i="3"/>
  <c r="H24" i="3"/>
  <c r="E23" i="3"/>
  <c r="F5" i="3"/>
  <c r="I8" i="3"/>
  <c r="H51" i="3"/>
  <c r="E30" i="3"/>
  <c r="E20" i="3"/>
  <c r="I29" i="3"/>
  <c r="H7" i="3"/>
  <c r="F31" i="3"/>
  <c r="E22" i="3"/>
  <c r="F6" i="3"/>
  <c r="H17" i="3"/>
  <c r="F20" i="3"/>
  <c r="E27" i="3"/>
  <c r="F25" i="3"/>
  <c r="H14" i="3"/>
  <c r="H42" i="3"/>
  <c r="E8" i="3"/>
  <c r="F15" i="3"/>
  <c r="H41" i="3"/>
  <c r="E29" i="3"/>
  <c r="H63" i="3"/>
  <c r="H10" i="3"/>
  <c r="I6" i="3"/>
  <c r="E24" i="3"/>
  <c r="H18" i="3"/>
  <c r="F23" i="3"/>
  <c r="H23" i="3"/>
  <c r="H15" i="3"/>
  <c r="E11" i="3"/>
  <c r="H52" i="3"/>
  <c r="E14" i="3"/>
  <c r="H11" i="3"/>
  <c r="E32" i="3"/>
  <c r="H53" i="3"/>
  <c r="E25" i="3"/>
  <c r="E13" i="3"/>
  <c r="I11" i="3"/>
  <c r="F7" i="3"/>
  <c r="H34" i="3"/>
  <c r="I17" i="3"/>
  <c r="F30" i="3"/>
  <c r="H36" i="3"/>
  <c r="F26" i="3"/>
  <c r="H54" i="3"/>
  <c r="I25" i="3"/>
  <c r="H9" i="3"/>
  <c r="F10" i="3"/>
  <c r="F22" i="3"/>
  <c r="I22" i="3"/>
  <c r="I31" i="3"/>
  <c r="F8" i="3"/>
  <c r="E31" i="3"/>
  <c r="E12" i="3"/>
  <c r="F18" i="3"/>
  <c r="H46" i="3"/>
  <c r="F19" i="3"/>
  <c r="F27" i="3"/>
  <c r="I18" i="3"/>
  <c r="E26" i="3"/>
  <c r="F9" i="3"/>
  <c r="H31" i="3"/>
  <c r="H27" i="3"/>
  <c r="H44" i="3"/>
  <c r="F14" i="3"/>
  <c r="E15" i="3"/>
  <c r="I19" i="3"/>
  <c r="I33" i="3"/>
  <c r="H47" i="3"/>
  <c r="H16" i="3"/>
  <c r="I7" i="3"/>
  <c r="E21" i="3"/>
  <c r="I32" i="3"/>
  <c r="I12" i="3"/>
  <c r="F29" i="3"/>
  <c r="E9" i="3"/>
  <c r="H38" i="3"/>
  <c r="H43" i="3"/>
  <c r="H55" i="3"/>
  <c r="E17" i="3"/>
  <c r="H5" i="3"/>
  <c r="H22" i="3"/>
  <c r="H39" i="3"/>
  <c r="H56" i="3"/>
  <c r="I9" i="3"/>
  <c r="H45" i="3"/>
  <c r="F17" i="3"/>
  <c r="F33" i="3"/>
  <c r="H59" i="3"/>
  <c r="H21" i="3"/>
  <c r="H30" i="3"/>
  <c r="H12" i="3"/>
  <c r="H20" i="3"/>
  <c r="I10" i="3"/>
  <c r="E16" i="3"/>
  <c r="H37" i="3"/>
  <c r="E18" i="3"/>
  <c r="E6" i="3"/>
  <c r="H32" i="3"/>
  <c r="F21" i="3"/>
  <c r="H25" i="3"/>
  <c r="H8" i="3"/>
  <c r="F13" i="3"/>
  <c r="I23" i="3"/>
  <c r="H48" i="3"/>
  <c r="F24" i="3"/>
  <c r="F11" i="3"/>
  <c r="H6" i="3"/>
  <c r="H26" i="3"/>
  <c r="H29" i="3"/>
  <c r="E19" i="3"/>
  <c r="H40" i="3"/>
  <c r="I26" i="3"/>
  <c r="H13" i="3"/>
  <c r="I20" i="3"/>
  <c r="H28" i="3"/>
  <c r="I28" i="3"/>
  <c r="H35" i="3"/>
  <c r="H50" i="3"/>
  <c r="I15" i="3"/>
  <c r="H19" i="3"/>
  <c r="F16" i="3"/>
  <c r="E28" i="3"/>
  <c r="AD722" i="2"/>
  <c r="U722" i="2" s="1"/>
  <c r="W351" i="2"/>
  <c r="E33" i="3" s="1"/>
  <c r="B14" i="13" l="1"/>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K7"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46" i="15"/>
  <c r="K47" i="15"/>
  <c r="K48" i="15"/>
  <c r="K49" i="15"/>
  <c r="K50" i="15"/>
  <c r="K51" i="15"/>
  <c r="K52" i="15"/>
  <c r="K53" i="15"/>
  <c r="K54" i="15"/>
  <c r="K55" i="15"/>
  <c r="K56" i="15"/>
  <c r="K57" i="15"/>
  <c r="K58" i="15"/>
  <c r="K59" i="15"/>
  <c r="K60" i="15"/>
  <c r="K61" i="15"/>
  <c r="K62" i="15"/>
  <c r="K63" i="15"/>
  <c r="K64" i="15"/>
  <c r="K65" i="15"/>
  <c r="K66" i="15"/>
  <c r="U352" i="2"/>
  <c r="V352" i="2" s="1"/>
  <c r="B15" i="13"/>
  <c r="B53" i="13"/>
  <c r="B31" i="13" s="1"/>
  <c r="Q43" i="13"/>
  <c r="D125" i="15"/>
  <c r="B24" i="13"/>
  <c r="D126" i="15"/>
  <c r="D127" i="15"/>
  <c r="D128" i="15"/>
  <c r="D129" i="15"/>
  <c r="D130" i="15"/>
  <c r="D131" i="15"/>
  <c r="D132" i="15"/>
  <c r="D133" i="15"/>
  <c r="D13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L8" i="3"/>
  <c r="L25" i="3"/>
  <c r="L21" i="3"/>
  <c r="L16" i="3"/>
  <c r="L9" i="3"/>
  <c r="L30" i="3"/>
  <c r="L13" i="3"/>
  <c r="L14" i="3"/>
  <c r="L29" i="3"/>
  <c r="L27" i="3"/>
  <c r="L19" i="3"/>
  <c r="L5" i="3"/>
  <c r="L10" i="3"/>
  <c r="L15" i="3"/>
  <c r="L23" i="3"/>
  <c r="L7" i="3"/>
  <c r="L26" i="3"/>
  <c r="L24" i="3"/>
  <c r="L33" i="3"/>
  <c r="L20" i="3"/>
  <c r="L31" i="3"/>
  <c r="L28" i="3"/>
  <c r="L6" i="3"/>
  <c r="L12" i="3"/>
  <c r="L32" i="3"/>
  <c r="L11" i="3"/>
  <c r="L18" i="3"/>
  <c r="L17" i="3"/>
  <c r="L22" i="3"/>
  <c r="J15" i="3"/>
  <c r="J63" i="3"/>
  <c r="J61" i="3"/>
  <c r="J55" i="3"/>
  <c r="J27" i="3"/>
  <c r="J46" i="3"/>
  <c r="J23" i="3"/>
  <c r="J7" i="3"/>
  <c r="J57" i="3"/>
  <c r="J20" i="3"/>
  <c r="J53" i="3"/>
  <c r="J41" i="3"/>
  <c r="J33" i="3"/>
  <c r="J12" i="3"/>
  <c r="J38" i="3"/>
  <c r="J47" i="3"/>
  <c r="J40" i="3"/>
  <c r="J50" i="3"/>
  <c r="J29" i="3"/>
  <c r="J8" i="3"/>
  <c r="J26" i="3"/>
  <c r="J25" i="3"/>
  <c r="J45" i="3"/>
  <c r="J43" i="3"/>
  <c r="J16" i="3"/>
  <c r="J31" i="3"/>
  <c r="J9" i="3"/>
  <c r="J28" i="3"/>
  <c r="J6" i="3"/>
  <c r="J32" i="3"/>
  <c r="J30" i="3"/>
  <c r="J56" i="3"/>
  <c r="J54" i="3"/>
  <c r="J11" i="3"/>
  <c r="J18" i="3"/>
  <c r="J17" i="3"/>
  <c r="J58" i="3"/>
  <c r="J19" i="3"/>
  <c r="J48" i="3"/>
  <c r="J13" i="3"/>
  <c r="J21" i="3"/>
  <c r="J39" i="3"/>
  <c r="J51" i="3"/>
  <c r="J60" i="3"/>
  <c r="J59" i="3"/>
  <c r="J22" i="3"/>
  <c r="J36" i="3"/>
  <c r="J52" i="3"/>
  <c r="J49" i="3"/>
  <c r="J37" i="3"/>
  <c r="J10" i="3"/>
  <c r="J42" i="3"/>
  <c r="J62" i="3"/>
  <c r="J14" i="3"/>
  <c r="I39" i="1"/>
  <c r="J44" i="3"/>
  <c r="I43" i="1"/>
  <c r="J35" i="3"/>
  <c r="I42" i="1"/>
  <c r="J34" i="3"/>
  <c r="I41" i="1"/>
  <c r="J24" i="3"/>
  <c r="I40" i="1"/>
  <c r="I5" i="3"/>
  <c r="H38" i="1"/>
  <c r="I14" i="3"/>
  <c r="H39" i="1"/>
  <c r="I24" i="3"/>
  <c r="H40" i="1"/>
  <c r="J5" i="3"/>
  <c r="I38" i="1"/>
  <c r="K24" i="3"/>
  <c r="K20" i="3"/>
  <c r="K10" i="3"/>
  <c r="K17" i="3"/>
  <c r="K8" i="3"/>
  <c r="K30" i="3"/>
  <c r="K11" i="3"/>
  <c r="K5" i="3"/>
  <c r="K7" i="3"/>
  <c r="K14" i="3"/>
  <c r="K29" i="3"/>
  <c r="K13" i="3"/>
  <c r="K22" i="3"/>
  <c r="K31" i="3"/>
  <c r="K23" i="3"/>
  <c r="K33" i="3"/>
  <c r="K27" i="3"/>
  <c r="K28" i="3"/>
  <c r="K19" i="3"/>
  <c r="K26" i="3"/>
  <c r="K21" i="3"/>
  <c r="K6" i="3"/>
  <c r="K15" i="3"/>
  <c r="K16" i="3"/>
  <c r="K32" i="3"/>
  <c r="K18" i="3"/>
  <c r="K12" i="3"/>
  <c r="K9" i="3"/>
  <c r="K25" i="3"/>
  <c r="AD723" i="2"/>
  <c r="F364" i="2"/>
  <c r="O353" i="2" l="1"/>
  <c r="S353" i="2" s="1"/>
  <c r="AF352" i="2"/>
  <c r="AG352" i="2" s="1"/>
  <c r="AH352" i="2" s="1"/>
  <c r="C24" i="13"/>
  <c r="AE723" i="2"/>
  <c r="H64" i="3" s="1"/>
  <c r="J64" i="3" s="1"/>
  <c r="U723" i="2"/>
  <c r="H364" i="2"/>
  <c r="P363" i="2"/>
  <c r="W352" i="2"/>
  <c r="U353" i="2" l="1"/>
  <c r="V353" i="2" s="1"/>
  <c r="I364" i="2"/>
  <c r="F365" i="2" s="1"/>
  <c r="C30" i="13"/>
  <c r="B52" i="13"/>
  <c r="C22" i="13"/>
  <c r="C23" i="13"/>
  <c r="P43" i="13"/>
  <c r="O354" i="2" l="1"/>
  <c r="S354" i="2" s="1"/>
  <c r="AF353" i="2"/>
  <c r="AG353" i="2" s="1"/>
  <c r="AH353" i="2" s="1"/>
  <c r="C25" i="13"/>
  <c r="W353" i="2"/>
  <c r="H365" i="2"/>
  <c r="U354" i="2" l="1"/>
  <c r="V354" i="2" s="1"/>
  <c r="I365" i="2"/>
  <c r="F366" i="2" s="1"/>
  <c r="O355" i="2" l="1"/>
  <c r="S355" i="2" s="1"/>
  <c r="AF354" i="2"/>
  <c r="AG354" i="2" s="1"/>
  <c r="AH354" i="2" s="1"/>
  <c r="W354" i="2"/>
  <c r="H366" i="2"/>
  <c r="U355" i="2" l="1"/>
  <c r="V355" i="2" s="1"/>
  <c r="I366" i="2"/>
  <c r="F367" i="2" s="1"/>
  <c r="O356" i="2" l="1"/>
  <c r="S356" i="2" s="1"/>
  <c r="AF355" i="2"/>
  <c r="AG355" i="2" s="1"/>
  <c r="AH355" i="2" s="1"/>
  <c r="H367" i="2"/>
  <c r="W355" i="2"/>
  <c r="U356" i="2" l="1"/>
  <c r="V356" i="2" s="1"/>
  <c r="I367" i="2"/>
  <c r="F368" i="2" s="1"/>
  <c r="O357" i="2" l="1"/>
  <c r="S357" i="2" s="1"/>
  <c r="AF356" i="2"/>
  <c r="AG356" i="2" s="1"/>
  <c r="AH356" i="2" s="1"/>
  <c r="H368" i="2"/>
  <c r="W356" i="2"/>
  <c r="U357" i="2" l="1"/>
  <c r="V357" i="2" s="1"/>
  <c r="I368" i="2"/>
  <c r="F369" i="2" s="1"/>
  <c r="O358" i="2" l="1"/>
  <c r="S358" i="2" s="1"/>
  <c r="U358" i="2" s="1"/>
  <c r="V358" i="2" s="1"/>
  <c r="AF357" i="2"/>
  <c r="AG357" i="2" s="1"/>
  <c r="AH357" i="2" s="1"/>
  <c r="H369" i="2"/>
  <c r="W357" i="2"/>
  <c r="I369" i="2" l="1"/>
  <c r="AF358" i="2"/>
  <c r="AG358" i="2" s="1"/>
  <c r="AH358" i="2" s="1"/>
  <c r="F370" i="2"/>
  <c r="O359" i="2" l="1"/>
  <c r="S359" i="2" s="1"/>
  <c r="U359" i="2" s="1"/>
  <c r="V359" i="2" s="1"/>
  <c r="H370" i="2"/>
  <c r="I370" i="2" s="1"/>
  <c r="W358" i="2"/>
  <c r="AF359" i="2" l="1"/>
  <c r="AG359" i="2" s="1"/>
  <c r="AH359" i="2" s="1"/>
  <c r="F371" i="2"/>
  <c r="O360" i="2" l="1"/>
  <c r="S360" i="2" s="1"/>
  <c r="U360" i="2" s="1"/>
  <c r="V360" i="2" s="1"/>
  <c r="H371" i="2"/>
  <c r="I371" i="2" s="1"/>
  <c r="W359" i="2"/>
  <c r="AF360" i="2" l="1"/>
  <c r="AG360" i="2" s="1"/>
  <c r="AH360" i="2" s="1"/>
  <c r="F372" i="2"/>
  <c r="O361" i="2" l="1"/>
  <c r="S361" i="2" s="1"/>
  <c r="U361" i="2" s="1"/>
  <c r="V361" i="2" s="1"/>
  <c r="H372" i="2"/>
  <c r="I372" i="2" s="1"/>
  <c r="W360" i="2"/>
  <c r="AF361" i="2" l="1"/>
  <c r="AG361" i="2" s="1"/>
  <c r="AH361" i="2" s="1"/>
  <c r="F373" i="2"/>
  <c r="O362" i="2" l="1"/>
  <c r="S362" i="2" s="1"/>
  <c r="U362" i="2" s="1"/>
  <c r="V362" i="2" s="1"/>
  <c r="H373" i="2"/>
  <c r="I373" i="2" s="1"/>
  <c r="W361" i="2"/>
  <c r="AF362" i="2" l="1"/>
  <c r="AG362" i="2" s="1"/>
  <c r="AH362" i="2" s="1"/>
  <c r="F374" i="2"/>
  <c r="O363" i="2" l="1"/>
  <c r="S363" i="2" s="1"/>
  <c r="U363" i="2" s="1"/>
  <c r="V363" i="2" s="1"/>
  <c r="H374" i="2"/>
  <c r="I374" i="2" s="1"/>
  <c r="W362" i="2"/>
  <c r="AF363" i="2" l="1"/>
  <c r="AG363" i="2" s="1"/>
  <c r="AH363" i="2" s="1"/>
  <c r="T363" i="2"/>
  <c r="F375" i="2"/>
  <c r="O364" i="2" l="1"/>
  <c r="S364" i="2" s="1"/>
  <c r="G34" i="3"/>
  <c r="I34" i="3" s="1"/>
  <c r="H375" i="2"/>
  <c r="I375" i="2" s="1"/>
  <c r="F34" i="3"/>
  <c r="W363" i="2"/>
  <c r="E34" i="3" s="1"/>
  <c r="L34" i="3" l="1"/>
  <c r="H41" i="1"/>
  <c r="U364" i="2"/>
  <c r="V364" i="2" s="1"/>
  <c r="K34" i="3"/>
  <c r="F376" i="2"/>
  <c r="O365" i="2" l="1"/>
  <c r="S365" i="2" s="1"/>
  <c r="AF364" i="2"/>
  <c r="AG364" i="2" s="1"/>
  <c r="AH364" i="2" s="1"/>
  <c r="H376" i="2"/>
  <c r="P375" i="2"/>
  <c r="W364" i="2"/>
  <c r="U365" i="2" l="1"/>
  <c r="V365" i="2" s="1"/>
  <c r="I376" i="2"/>
  <c r="F377" i="2" s="1"/>
  <c r="O366" i="2" l="1"/>
  <c r="S366" i="2" s="1"/>
  <c r="AF365" i="2"/>
  <c r="AG365" i="2" s="1"/>
  <c r="AH365" i="2" s="1"/>
  <c r="H377" i="2"/>
  <c r="W365" i="2"/>
  <c r="U366" i="2" l="1"/>
  <c r="V366" i="2" s="1"/>
  <c r="I377" i="2"/>
  <c r="F378" i="2" s="1"/>
  <c r="O367" i="2" l="1"/>
  <c r="S367" i="2" s="1"/>
  <c r="AF366" i="2"/>
  <c r="AG366" i="2" s="1"/>
  <c r="AH366" i="2" s="1"/>
  <c r="H378" i="2"/>
  <c r="W366" i="2"/>
  <c r="U367" i="2" l="1"/>
  <c r="V367" i="2" s="1"/>
  <c r="I378" i="2"/>
  <c r="F379" i="2" s="1"/>
  <c r="O368" i="2" l="1"/>
  <c r="S368" i="2" s="1"/>
  <c r="AF367" i="2"/>
  <c r="AG367" i="2" s="1"/>
  <c r="AH367" i="2" s="1"/>
  <c r="H379" i="2"/>
  <c r="W367" i="2"/>
  <c r="U368" i="2" l="1"/>
  <c r="V368" i="2" s="1"/>
  <c r="I379" i="2"/>
  <c r="F380" i="2" s="1"/>
  <c r="O369" i="2" l="1"/>
  <c r="S369" i="2" s="1"/>
  <c r="AF368" i="2"/>
  <c r="AG368" i="2" s="1"/>
  <c r="AH368" i="2" s="1"/>
  <c r="H380" i="2"/>
  <c r="W368" i="2"/>
  <c r="U369" i="2" l="1"/>
  <c r="V369" i="2" s="1"/>
  <c r="I380" i="2"/>
  <c r="F381" i="2" s="1"/>
  <c r="O370" i="2" l="1"/>
  <c r="S370" i="2" s="1"/>
  <c r="U370" i="2" s="1"/>
  <c r="V370" i="2" s="1"/>
  <c r="AF369" i="2"/>
  <c r="AG369" i="2" s="1"/>
  <c r="AH369" i="2" s="1"/>
  <c r="H381" i="2"/>
  <c r="W369" i="2"/>
  <c r="I381" i="2" l="1"/>
  <c r="F382" i="2" s="1"/>
  <c r="AF370" i="2"/>
  <c r="AG370" i="2" s="1"/>
  <c r="AH370" i="2" s="1"/>
  <c r="O371" i="2" l="1"/>
  <c r="S371" i="2" s="1"/>
  <c r="U371" i="2" s="1"/>
  <c r="V371" i="2" s="1"/>
  <c r="H382" i="2"/>
  <c r="I382" i="2" s="1"/>
  <c r="W370" i="2"/>
  <c r="AF371" i="2" l="1"/>
  <c r="AG371" i="2" s="1"/>
  <c r="AH371" i="2" s="1"/>
  <c r="F383" i="2"/>
  <c r="O372" i="2" l="1"/>
  <c r="S372" i="2" s="1"/>
  <c r="U372" i="2" s="1"/>
  <c r="V372" i="2" s="1"/>
  <c r="H383" i="2"/>
  <c r="I383" i="2" s="1"/>
  <c r="W371" i="2"/>
  <c r="AF372" i="2" l="1"/>
  <c r="AG372" i="2" s="1"/>
  <c r="AH372" i="2" s="1"/>
  <c r="F384" i="2"/>
  <c r="O373" i="2" l="1"/>
  <c r="S373" i="2" s="1"/>
  <c r="U373" i="2" s="1"/>
  <c r="V373" i="2" s="1"/>
  <c r="H384" i="2"/>
  <c r="I384" i="2" s="1"/>
  <c r="W372" i="2"/>
  <c r="AF373" i="2" l="1"/>
  <c r="AG373" i="2" s="1"/>
  <c r="AH373" i="2" s="1"/>
  <c r="F385" i="2"/>
  <c r="O374" i="2" l="1"/>
  <c r="S374" i="2" s="1"/>
  <c r="U374" i="2" s="1"/>
  <c r="V374" i="2" s="1"/>
  <c r="H385" i="2"/>
  <c r="I385" i="2" s="1"/>
  <c r="W373" i="2"/>
  <c r="AF374" i="2" l="1"/>
  <c r="AG374" i="2" s="1"/>
  <c r="AH374" i="2" s="1"/>
  <c r="F386" i="2"/>
  <c r="O375" i="2" l="1"/>
  <c r="S375" i="2" s="1"/>
  <c r="U375" i="2" s="1"/>
  <c r="V375" i="2" s="1"/>
  <c r="H386" i="2"/>
  <c r="I386" i="2" s="1"/>
  <c r="W374" i="2"/>
  <c r="AF375" i="2" l="1"/>
  <c r="AG375" i="2" s="1"/>
  <c r="AH375" i="2" s="1"/>
  <c r="T375" i="2"/>
  <c r="F387" i="2"/>
  <c r="O376" i="2" l="1"/>
  <c r="S376" i="2" s="1"/>
  <c r="G35" i="3"/>
  <c r="I35" i="3" s="1"/>
  <c r="H387" i="2"/>
  <c r="I387" i="2" s="1"/>
  <c r="F35" i="3"/>
  <c r="W375" i="2"/>
  <c r="E35" i="3" s="1"/>
  <c r="L35" i="3" l="1"/>
  <c r="H42" i="1"/>
  <c r="U376" i="2"/>
  <c r="V376" i="2" s="1"/>
  <c r="K35" i="3"/>
  <c r="F388" i="2"/>
  <c r="O377" i="2" l="1"/>
  <c r="S377" i="2" s="1"/>
  <c r="AF376" i="2"/>
  <c r="AG376" i="2" s="1"/>
  <c r="AH376" i="2" s="1"/>
  <c r="H388" i="2"/>
  <c r="P387" i="2"/>
  <c r="W376" i="2"/>
  <c r="U377" i="2" l="1"/>
  <c r="V377" i="2" s="1"/>
  <c r="I388" i="2"/>
  <c r="F389" i="2" s="1"/>
  <c r="O378" i="2" l="1"/>
  <c r="S378" i="2" s="1"/>
  <c r="AF377" i="2"/>
  <c r="AG377" i="2" s="1"/>
  <c r="AH377" i="2" s="1"/>
  <c r="H389" i="2"/>
  <c r="W377" i="2"/>
  <c r="U378" i="2" l="1"/>
  <c r="V378" i="2" s="1"/>
  <c r="I389" i="2"/>
  <c r="F390" i="2" s="1"/>
  <c r="O379" i="2" l="1"/>
  <c r="S379" i="2" s="1"/>
  <c r="AF378" i="2"/>
  <c r="AG378" i="2" s="1"/>
  <c r="AH378" i="2" s="1"/>
  <c r="H390" i="2"/>
  <c r="W378" i="2"/>
  <c r="U379" i="2" l="1"/>
  <c r="V379" i="2" s="1"/>
  <c r="I390" i="2"/>
  <c r="F391" i="2" s="1"/>
  <c r="O380" i="2" l="1"/>
  <c r="S380" i="2" s="1"/>
  <c r="AF379" i="2"/>
  <c r="AG379" i="2" s="1"/>
  <c r="AH379" i="2" s="1"/>
  <c r="H391" i="2"/>
  <c r="W379" i="2"/>
  <c r="I391" i="2" l="1"/>
  <c r="F392" i="2" s="1"/>
  <c r="U380" i="2"/>
  <c r="V380" i="2" s="1"/>
  <c r="O381" i="2" l="1"/>
  <c r="S381" i="2" s="1"/>
  <c r="AF380" i="2"/>
  <c r="AG380" i="2" s="1"/>
  <c r="AH380" i="2" s="1"/>
  <c r="H392" i="2"/>
  <c r="W380" i="2"/>
  <c r="U381" i="2" l="1"/>
  <c r="V381" i="2" s="1"/>
  <c r="I392" i="2"/>
  <c r="F393" i="2" s="1"/>
  <c r="O382" i="2" l="1"/>
  <c r="S382" i="2" s="1"/>
  <c r="U382" i="2" s="1"/>
  <c r="V382" i="2" s="1"/>
  <c r="AF381" i="2"/>
  <c r="AG381" i="2" s="1"/>
  <c r="AH381" i="2" s="1"/>
  <c r="H393" i="2"/>
  <c r="W381" i="2"/>
  <c r="I393" i="2" l="1"/>
  <c r="F394" i="2" s="1"/>
  <c r="AF382" i="2"/>
  <c r="AG382" i="2" s="1"/>
  <c r="AH382" i="2" s="1"/>
  <c r="O383" i="2" l="1"/>
  <c r="S383" i="2" s="1"/>
  <c r="U383" i="2" s="1"/>
  <c r="V383" i="2" s="1"/>
  <c r="H394" i="2"/>
  <c r="I394" i="2" s="1"/>
  <c r="W382" i="2"/>
  <c r="AF383" i="2" l="1"/>
  <c r="AG383" i="2" s="1"/>
  <c r="AH383" i="2" s="1"/>
  <c r="F395" i="2"/>
  <c r="O384" i="2" l="1"/>
  <c r="S384" i="2" s="1"/>
  <c r="U384" i="2" s="1"/>
  <c r="V384" i="2" s="1"/>
  <c r="H395" i="2"/>
  <c r="I395" i="2" s="1"/>
  <c r="W383" i="2"/>
  <c r="AF384" i="2" l="1"/>
  <c r="AG384" i="2" s="1"/>
  <c r="AH384" i="2" s="1"/>
  <c r="F396" i="2"/>
  <c r="O385" i="2" l="1"/>
  <c r="S385" i="2" s="1"/>
  <c r="U385" i="2" s="1"/>
  <c r="V385" i="2" s="1"/>
  <c r="H396" i="2"/>
  <c r="I396" i="2" s="1"/>
  <c r="W384" i="2"/>
  <c r="AF385" i="2" l="1"/>
  <c r="AG385" i="2" s="1"/>
  <c r="AH385" i="2" s="1"/>
  <c r="F397" i="2"/>
  <c r="O386" i="2" l="1"/>
  <c r="S386" i="2" s="1"/>
  <c r="U386" i="2" s="1"/>
  <c r="V386" i="2" s="1"/>
  <c r="W385" i="2"/>
  <c r="H397" i="2"/>
  <c r="I397" i="2" s="1"/>
  <c r="AF386" i="2" l="1"/>
  <c r="AG386" i="2" s="1"/>
  <c r="AH386" i="2" s="1"/>
  <c r="F398" i="2"/>
  <c r="O387" i="2" l="1"/>
  <c r="S387" i="2" s="1"/>
  <c r="U387" i="2" s="1"/>
  <c r="V387" i="2" s="1"/>
  <c r="H398" i="2"/>
  <c r="I398" i="2" s="1"/>
  <c r="W386" i="2"/>
  <c r="AF387" i="2" l="1"/>
  <c r="AG387" i="2" s="1"/>
  <c r="AH387" i="2" s="1"/>
  <c r="T387" i="2"/>
  <c r="F399" i="2"/>
  <c r="O388" i="2" l="1"/>
  <c r="S388" i="2" s="1"/>
  <c r="G36" i="3"/>
  <c r="I36" i="3" s="1"/>
  <c r="H399" i="2"/>
  <c r="I399" i="2" s="1"/>
  <c r="W387" i="2"/>
  <c r="E36" i="3" s="1"/>
  <c r="F36" i="3"/>
  <c r="L36" i="3" l="1"/>
  <c r="U388" i="2"/>
  <c r="V388" i="2" s="1"/>
  <c r="K36" i="3"/>
  <c r="F400" i="2"/>
  <c r="O389" i="2" l="1"/>
  <c r="S389" i="2" s="1"/>
  <c r="AF388" i="2"/>
  <c r="AG388" i="2" s="1"/>
  <c r="AH388" i="2" s="1"/>
  <c r="W388" i="2"/>
  <c r="H400" i="2"/>
  <c r="P399" i="2"/>
  <c r="U389" i="2" l="1"/>
  <c r="V389" i="2" s="1"/>
  <c r="I400" i="2"/>
  <c r="F401" i="2" s="1"/>
  <c r="O390" i="2" l="1"/>
  <c r="S390" i="2" s="1"/>
  <c r="AF389" i="2"/>
  <c r="AG389" i="2" s="1"/>
  <c r="AH389" i="2" s="1"/>
  <c r="H401" i="2"/>
  <c r="W389" i="2"/>
  <c r="I401" i="2" l="1"/>
  <c r="U390" i="2"/>
  <c r="V390" i="2" s="1"/>
  <c r="F402" i="2"/>
  <c r="O391" i="2" l="1"/>
  <c r="S391" i="2" s="1"/>
  <c r="AF390" i="2"/>
  <c r="AG390" i="2" s="1"/>
  <c r="AH390" i="2" s="1"/>
  <c r="W390" i="2"/>
  <c r="H402" i="2"/>
  <c r="I402" i="2" l="1"/>
  <c r="F403" i="2" s="1"/>
  <c r="U391" i="2"/>
  <c r="V391" i="2" s="1"/>
  <c r="O392" i="2" l="1"/>
  <c r="S392" i="2" s="1"/>
  <c r="AF391" i="2"/>
  <c r="AG391" i="2" s="1"/>
  <c r="AH391" i="2" s="1"/>
  <c r="W391" i="2"/>
  <c r="H403" i="2"/>
  <c r="U392" i="2" l="1"/>
  <c r="V392" i="2" s="1"/>
  <c r="I403" i="2"/>
  <c r="F404" i="2" s="1"/>
  <c r="O393" i="2" l="1"/>
  <c r="S393" i="2" s="1"/>
  <c r="AF392" i="2"/>
  <c r="AG392" i="2" s="1"/>
  <c r="AH392" i="2" s="1"/>
  <c r="H404" i="2"/>
  <c r="W392" i="2"/>
  <c r="U393" i="2" l="1"/>
  <c r="V393" i="2" s="1"/>
  <c r="I404" i="2"/>
  <c r="F405" i="2" s="1"/>
  <c r="O394" i="2" l="1"/>
  <c r="S394" i="2" s="1"/>
  <c r="U394" i="2" s="1"/>
  <c r="V394" i="2" s="1"/>
  <c r="AF393" i="2"/>
  <c r="AG393" i="2" s="1"/>
  <c r="AH393" i="2" s="1"/>
  <c r="H405" i="2"/>
  <c r="W393" i="2"/>
  <c r="I405" i="2" l="1"/>
  <c r="F406" i="2" s="1"/>
  <c r="AF394" i="2"/>
  <c r="AG394" i="2" s="1"/>
  <c r="AH394" i="2" s="1"/>
  <c r="O395" i="2" l="1"/>
  <c r="S395" i="2" s="1"/>
  <c r="U395" i="2" s="1"/>
  <c r="V395" i="2" s="1"/>
  <c r="H406" i="2"/>
  <c r="I406" i="2" s="1"/>
  <c r="W394" i="2"/>
  <c r="AF395" i="2" l="1"/>
  <c r="AG395" i="2" s="1"/>
  <c r="AH395" i="2" s="1"/>
  <c r="F407" i="2"/>
  <c r="O396" i="2" l="1"/>
  <c r="S396" i="2" s="1"/>
  <c r="U396" i="2" s="1"/>
  <c r="V396" i="2" s="1"/>
  <c r="W395" i="2"/>
  <c r="H407" i="2"/>
  <c r="I407" i="2" s="1"/>
  <c r="AF396" i="2" l="1"/>
  <c r="AG396" i="2" s="1"/>
  <c r="AH396" i="2" s="1"/>
  <c r="F408" i="2"/>
  <c r="O397" i="2" l="1"/>
  <c r="S397" i="2" s="1"/>
  <c r="U397" i="2" s="1"/>
  <c r="V397" i="2" s="1"/>
  <c r="H408" i="2"/>
  <c r="I408" i="2" s="1"/>
  <c r="W396" i="2"/>
  <c r="AF397" i="2" l="1"/>
  <c r="AG397" i="2" s="1"/>
  <c r="AH397" i="2" s="1"/>
  <c r="F409" i="2"/>
  <c r="O398" i="2" l="1"/>
  <c r="S398" i="2" s="1"/>
  <c r="U398" i="2" s="1"/>
  <c r="V398" i="2" s="1"/>
  <c r="H409" i="2"/>
  <c r="I409" i="2" s="1"/>
  <c r="W397" i="2"/>
  <c r="AF398" i="2" l="1"/>
  <c r="AG398" i="2" s="1"/>
  <c r="AH398" i="2" s="1"/>
  <c r="F410" i="2"/>
  <c r="O399" i="2" l="1"/>
  <c r="S399" i="2" s="1"/>
  <c r="U399" i="2" s="1"/>
  <c r="V399" i="2" s="1"/>
  <c r="H410" i="2"/>
  <c r="I410" i="2" s="1"/>
  <c r="W398" i="2"/>
  <c r="AF399" i="2" l="1"/>
  <c r="AG399" i="2" s="1"/>
  <c r="AH399" i="2" s="1"/>
  <c r="T399" i="2"/>
  <c r="F411" i="2"/>
  <c r="O400" i="2" l="1"/>
  <c r="S400" i="2" s="1"/>
  <c r="G37" i="3"/>
  <c r="I37" i="3" s="1"/>
  <c r="H411" i="2"/>
  <c r="I411" i="2" s="1"/>
  <c r="W399" i="2"/>
  <c r="E37" i="3" s="1"/>
  <c r="F37" i="3"/>
  <c r="L37" i="3" l="1"/>
  <c r="U400" i="2"/>
  <c r="V400" i="2" s="1"/>
  <c r="K37" i="3"/>
  <c r="F412" i="2"/>
  <c r="O401" i="2" l="1"/>
  <c r="S401" i="2" s="1"/>
  <c r="AF400" i="2"/>
  <c r="AG400" i="2" s="1"/>
  <c r="AH400" i="2" s="1"/>
  <c r="H412" i="2"/>
  <c r="P411" i="2"/>
  <c r="W400" i="2"/>
  <c r="U401" i="2" l="1"/>
  <c r="V401" i="2" s="1"/>
  <c r="I412" i="2"/>
  <c r="F413" i="2" s="1"/>
  <c r="O402" i="2" l="1"/>
  <c r="S402" i="2" s="1"/>
  <c r="AF401" i="2"/>
  <c r="AG401" i="2" s="1"/>
  <c r="AH401" i="2" s="1"/>
  <c r="H413" i="2"/>
  <c r="W401" i="2"/>
  <c r="U402" i="2" l="1"/>
  <c r="V402" i="2" s="1"/>
  <c r="I413" i="2"/>
  <c r="F414" i="2" s="1"/>
  <c r="O403" i="2" l="1"/>
  <c r="S403" i="2" s="1"/>
  <c r="AF402" i="2"/>
  <c r="AG402" i="2" s="1"/>
  <c r="AH402" i="2" s="1"/>
  <c r="H414" i="2"/>
  <c r="W402" i="2"/>
  <c r="U403" i="2" l="1"/>
  <c r="V403" i="2" s="1"/>
  <c r="I414" i="2"/>
  <c r="F415" i="2" s="1"/>
  <c r="O404" i="2" l="1"/>
  <c r="S404" i="2" s="1"/>
  <c r="AF403" i="2"/>
  <c r="AG403" i="2" s="1"/>
  <c r="AH403" i="2" s="1"/>
  <c r="H415" i="2"/>
  <c r="W403" i="2"/>
  <c r="U404" i="2" l="1"/>
  <c r="V404" i="2" s="1"/>
  <c r="I415" i="2"/>
  <c r="F416" i="2" s="1"/>
  <c r="O405" i="2" l="1"/>
  <c r="S405" i="2" s="1"/>
  <c r="AF404" i="2"/>
  <c r="AG404" i="2" s="1"/>
  <c r="AH404" i="2" s="1"/>
  <c r="H416" i="2"/>
  <c r="W404" i="2"/>
  <c r="U405" i="2" l="1"/>
  <c r="V405" i="2" s="1"/>
  <c r="I416" i="2"/>
  <c r="F417" i="2" s="1"/>
  <c r="O406" i="2" l="1"/>
  <c r="S406" i="2" s="1"/>
  <c r="U406" i="2" s="1"/>
  <c r="V406" i="2" s="1"/>
  <c r="AF405" i="2"/>
  <c r="AG405" i="2" s="1"/>
  <c r="AH405" i="2" s="1"/>
  <c r="H417" i="2"/>
  <c r="W405" i="2"/>
  <c r="I417" i="2" l="1"/>
  <c r="F418" i="2" s="1"/>
  <c r="AF406" i="2"/>
  <c r="AG406" i="2" s="1"/>
  <c r="AH406" i="2" s="1"/>
  <c r="O407" i="2" l="1"/>
  <c r="S407" i="2" s="1"/>
  <c r="U407" i="2" s="1"/>
  <c r="V407" i="2" s="1"/>
  <c r="H418" i="2"/>
  <c r="I418" i="2" s="1"/>
  <c r="W406" i="2"/>
  <c r="AF407" i="2" l="1"/>
  <c r="AG407" i="2" s="1"/>
  <c r="AH407" i="2" s="1"/>
  <c r="F419" i="2"/>
  <c r="O408" i="2" l="1"/>
  <c r="S408" i="2" s="1"/>
  <c r="U408" i="2" s="1"/>
  <c r="V408" i="2" s="1"/>
  <c r="H419" i="2"/>
  <c r="I419" i="2" s="1"/>
  <c r="W407" i="2"/>
  <c r="AF408" i="2" l="1"/>
  <c r="AG408" i="2" s="1"/>
  <c r="AH408" i="2" s="1"/>
  <c r="F420" i="2"/>
  <c r="O409" i="2" l="1"/>
  <c r="S409" i="2" s="1"/>
  <c r="U409" i="2" s="1"/>
  <c r="V409" i="2" s="1"/>
  <c r="W408" i="2"/>
  <c r="H420" i="2"/>
  <c r="I420" i="2" s="1"/>
  <c r="F421" i="2" l="1"/>
  <c r="AF409" i="2"/>
  <c r="AG409" i="2" s="1"/>
  <c r="AH409" i="2" s="1"/>
  <c r="O410" i="2" l="1"/>
  <c r="S410" i="2" s="1"/>
  <c r="U410" i="2" s="1"/>
  <c r="V410" i="2" s="1"/>
  <c r="W409" i="2"/>
  <c r="H421" i="2"/>
  <c r="I421" i="2" s="1"/>
  <c r="AF410" i="2" l="1"/>
  <c r="AG410" i="2" s="1"/>
  <c r="AH410" i="2" s="1"/>
  <c r="F422" i="2"/>
  <c r="O411" i="2" l="1"/>
  <c r="S411" i="2" s="1"/>
  <c r="U411" i="2" s="1"/>
  <c r="V411" i="2" s="1"/>
  <c r="H422" i="2"/>
  <c r="I422" i="2" s="1"/>
  <c r="W410" i="2"/>
  <c r="AF411" i="2" l="1"/>
  <c r="AG411" i="2" s="1"/>
  <c r="AH411" i="2" s="1"/>
  <c r="T411" i="2"/>
  <c r="F423" i="2"/>
  <c r="O412" i="2" l="1"/>
  <c r="S412" i="2" s="1"/>
  <c r="G38" i="3"/>
  <c r="I38" i="3" s="1"/>
  <c r="H423" i="2"/>
  <c r="I423" i="2" s="1"/>
  <c r="W411" i="2"/>
  <c r="E38" i="3" s="1"/>
  <c r="F38" i="3"/>
  <c r="L38" i="3" l="1"/>
  <c r="U412" i="2"/>
  <c r="V412" i="2" s="1"/>
  <c r="K38" i="3"/>
  <c r="F424" i="2"/>
  <c r="O413" i="2" l="1"/>
  <c r="S413" i="2" s="1"/>
  <c r="AF412" i="2"/>
  <c r="AG412" i="2" s="1"/>
  <c r="AH412" i="2" s="1"/>
  <c r="H424" i="2"/>
  <c r="P423" i="2"/>
  <c r="W412" i="2"/>
  <c r="U413" i="2" l="1"/>
  <c r="V413" i="2" s="1"/>
  <c r="I424" i="2"/>
  <c r="F425" i="2" s="1"/>
  <c r="O414" i="2" l="1"/>
  <c r="S414" i="2" s="1"/>
  <c r="AF413" i="2"/>
  <c r="AG413" i="2" s="1"/>
  <c r="AH413" i="2" s="1"/>
  <c r="H425" i="2"/>
  <c r="W413" i="2"/>
  <c r="U414" i="2" l="1"/>
  <c r="V414" i="2" s="1"/>
  <c r="I425" i="2"/>
  <c r="F426" i="2"/>
  <c r="O415" i="2" l="1"/>
  <c r="S415" i="2" s="1"/>
  <c r="AF414" i="2"/>
  <c r="AG414" i="2" s="1"/>
  <c r="AH414" i="2" s="1"/>
  <c r="H426" i="2"/>
  <c r="W414" i="2"/>
  <c r="U415" i="2" l="1"/>
  <c r="V415" i="2" s="1"/>
  <c r="I426" i="2"/>
  <c r="F427" i="2" s="1"/>
  <c r="O416" i="2" l="1"/>
  <c r="S416" i="2" s="1"/>
  <c r="AF415" i="2"/>
  <c r="AG415" i="2" s="1"/>
  <c r="AH415" i="2" s="1"/>
  <c r="H427" i="2"/>
  <c r="W415" i="2"/>
  <c r="U416" i="2" l="1"/>
  <c r="V416" i="2" s="1"/>
  <c r="I427" i="2"/>
  <c r="F428" i="2" s="1"/>
  <c r="O417" i="2" l="1"/>
  <c r="S417" i="2" s="1"/>
  <c r="AF416" i="2"/>
  <c r="AG416" i="2" s="1"/>
  <c r="AH416" i="2" s="1"/>
  <c r="H428" i="2"/>
  <c r="W416" i="2"/>
  <c r="U417" i="2" l="1"/>
  <c r="V417" i="2" s="1"/>
  <c r="I428" i="2"/>
  <c r="F429" i="2" s="1"/>
  <c r="O418" i="2" l="1"/>
  <c r="S418" i="2" s="1"/>
  <c r="U418" i="2" s="1"/>
  <c r="V418" i="2" s="1"/>
  <c r="AF417" i="2"/>
  <c r="AG417" i="2" s="1"/>
  <c r="AH417" i="2" s="1"/>
  <c r="H429" i="2"/>
  <c r="W417" i="2"/>
  <c r="I429" i="2" l="1"/>
  <c r="F430" i="2" s="1"/>
  <c r="AF418" i="2"/>
  <c r="AG418" i="2" s="1"/>
  <c r="AH418" i="2" s="1"/>
  <c r="O419" i="2" l="1"/>
  <c r="S419" i="2" s="1"/>
  <c r="U419" i="2" s="1"/>
  <c r="V419" i="2" s="1"/>
  <c r="H430" i="2"/>
  <c r="I430" i="2" s="1"/>
  <c r="W418" i="2"/>
  <c r="AF419" i="2" l="1"/>
  <c r="AG419" i="2" s="1"/>
  <c r="AH419" i="2" s="1"/>
  <c r="F431" i="2"/>
  <c r="O420" i="2" l="1"/>
  <c r="S420" i="2" s="1"/>
  <c r="U420" i="2" s="1"/>
  <c r="V420" i="2" s="1"/>
  <c r="H431" i="2"/>
  <c r="I431" i="2" s="1"/>
  <c r="W419" i="2"/>
  <c r="AF420" i="2" l="1"/>
  <c r="AG420" i="2" s="1"/>
  <c r="AH420" i="2" s="1"/>
  <c r="F432" i="2"/>
  <c r="O421" i="2" l="1"/>
  <c r="S421" i="2" s="1"/>
  <c r="U421" i="2" s="1"/>
  <c r="V421" i="2" s="1"/>
  <c r="H432" i="2"/>
  <c r="I432" i="2" s="1"/>
  <c r="W420" i="2"/>
  <c r="AF421" i="2" l="1"/>
  <c r="AG421" i="2" s="1"/>
  <c r="AH421" i="2" s="1"/>
  <c r="F433" i="2"/>
  <c r="O422" i="2" l="1"/>
  <c r="S422" i="2" s="1"/>
  <c r="U422" i="2" s="1"/>
  <c r="V422" i="2" s="1"/>
  <c r="H433" i="2"/>
  <c r="I433" i="2" s="1"/>
  <c r="W421" i="2"/>
  <c r="AF422" i="2" l="1"/>
  <c r="AG422" i="2" s="1"/>
  <c r="AH422" i="2" s="1"/>
  <c r="F434" i="2"/>
  <c r="O423" i="2" l="1"/>
  <c r="S423" i="2" s="1"/>
  <c r="U423" i="2" s="1"/>
  <c r="V423" i="2" s="1"/>
  <c r="H434" i="2"/>
  <c r="I434" i="2" s="1"/>
  <c r="W422" i="2"/>
  <c r="AF423" i="2" l="1"/>
  <c r="AG423" i="2" s="1"/>
  <c r="AH423" i="2" s="1"/>
  <c r="T423" i="2"/>
  <c r="F435" i="2"/>
  <c r="O424" i="2" l="1"/>
  <c r="S424" i="2" s="1"/>
  <c r="G39" i="3"/>
  <c r="I39" i="3" s="1"/>
  <c r="H435" i="2"/>
  <c r="I435" i="2" s="1"/>
  <c r="W423" i="2"/>
  <c r="E39" i="3" s="1"/>
  <c r="F39" i="3"/>
  <c r="L39" i="3" l="1"/>
  <c r="U424" i="2"/>
  <c r="V424" i="2" s="1"/>
  <c r="K39" i="3"/>
  <c r="F436" i="2"/>
  <c r="O425" i="2" l="1"/>
  <c r="S425" i="2" s="1"/>
  <c r="AF424" i="2"/>
  <c r="AG424" i="2" s="1"/>
  <c r="AH424" i="2" s="1"/>
  <c r="H436" i="2"/>
  <c r="P435" i="2"/>
  <c r="W424" i="2"/>
  <c r="U425" i="2" l="1"/>
  <c r="V425" i="2" s="1"/>
  <c r="I436" i="2"/>
  <c r="F437" i="2" s="1"/>
  <c r="O426" i="2" l="1"/>
  <c r="S426" i="2" s="1"/>
  <c r="AF425" i="2"/>
  <c r="AG425" i="2" s="1"/>
  <c r="AH425" i="2" s="1"/>
  <c r="H437" i="2"/>
  <c r="W425" i="2"/>
  <c r="U426" i="2" l="1"/>
  <c r="V426" i="2" s="1"/>
  <c r="I437" i="2"/>
  <c r="F438" i="2" s="1"/>
  <c r="O427" i="2" l="1"/>
  <c r="S427" i="2" s="1"/>
  <c r="AF426" i="2"/>
  <c r="AG426" i="2" s="1"/>
  <c r="AH426" i="2" s="1"/>
  <c r="H438" i="2"/>
  <c r="W426" i="2"/>
  <c r="U427" i="2" l="1"/>
  <c r="V427" i="2" s="1"/>
  <c r="I438" i="2"/>
  <c r="F439" i="2" s="1"/>
  <c r="O428" i="2" l="1"/>
  <c r="S428" i="2" s="1"/>
  <c r="AF427" i="2"/>
  <c r="AG427" i="2" s="1"/>
  <c r="AH427" i="2" s="1"/>
  <c r="H439" i="2"/>
  <c r="W427" i="2"/>
  <c r="U428" i="2" l="1"/>
  <c r="V428" i="2" s="1"/>
  <c r="I439" i="2"/>
  <c r="F440" i="2" s="1"/>
  <c r="O429" i="2" l="1"/>
  <c r="S429" i="2" s="1"/>
  <c r="AF428" i="2"/>
  <c r="AG428" i="2" s="1"/>
  <c r="AH428" i="2" s="1"/>
  <c r="H440" i="2"/>
  <c r="W428" i="2"/>
  <c r="U429" i="2" l="1"/>
  <c r="V429" i="2" s="1"/>
  <c r="I440" i="2"/>
  <c r="F441" i="2" s="1"/>
  <c r="O430" i="2" l="1"/>
  <c r="S430" i="2" s="1"/>
  <c r="U430" i="2" s="1"/>
  <c r="V430" i="2" s="1"/>
  <c r="AF429" i="2"/>
  <c r="AG429" i="2" s="1"/>
  <c r="AH429" i="2" s="1"/>
  <c r="H441" i="2"/>
  <c r="W429" i="2"/>
  <c r="I441" i="2" l="1"/>
  <c r="F442" i="2" s="1"/>
  <c r="AF430" i="2"/>
  <c r="AG430" i="2" s="1"/>
  <c r="AH430" i="2" s="1"/>
  <c r="O431" i="2" l="1"/>
  <c r="S431" i="2" s="1"/>
  <c r="U431" i="2" s="1"/>
  <c r="V431" i="2" s="1"/>
  <c r="H442" i="2"/>
  <c r="I442" i="2" s="1"/>
  <c r="W430" i="2"/>
  <c r="AF431" i="2" l="1"/>
  <c r="AG431" i="2" s="1"/>
  <c r="AH431" i="2" s="1"/>
  <c r="F443" i="2"/>
  <c r="O432" i="2" l="1"/>
  <c r="S432" i="2" s="1"/>
  <c r="U432" i="2" s="1"/>
  <c r="V432" i="2" s="1"/>
  <c r="H443" i="2"/>
  <c r="I443" i="2" s="1"/>
  <c r="W431" i="2"/>
  <c r="AF432" i="2" l="1"/>
  <c r="AG432" i="2" s="1"/>
  <c r="AH432" i="2" s="1"/>
  <c r="F444" i="2"/>
  <c r="O433" i="2" l="1"/>
  <c r="S433" i="2" s="1"/>
  <c r="U433" i="2" s="1"/>
  <c r="V433" i="2" s="1"/>
  <c r="W432" i="2"/>
  <c r="H444" i="2"/>
  <c r="I444" i="2" s="1"/>
  <c r="AF433" i="2" l="1"/>
  <c r="AG433" i="2" s="1"/>
  <c r="AH433" i="2" s="1"/>
  <c r="F445" i="2"/>
  <c r="O434" i="2" l="1"/>
  <c r="S434" i="2" s="1"/>
  <c r="U434" i="2" s="1"/>
  <c r="V434" i="2" s="1"/>
  <c r="H445" i="2"/>
  <c r="I445" i="2" s="1"/>
  <c r="W433" i="2"/>
  <c r="AF434" i="2" l="1"/>
  <c r="AG434" i="2" s="1"/>
  <c r="AH434" i="2" s="1"/>
  <c r="F446" i="2"/>
  <c r="O435" i="2" l="1"/>
  <c r="S435" i="2" s="1"/>
  <c r="U435" i="2" s="1"/>
  <c r="V435" i="2" s="1"/>
  <c r="H446" i="2"/>
  <c r="I446" i="2" s="1"/>
  <c r="W434" i="2"/>
  <c r="AF435" i="2" l="1"/>
  <c r="AG435" i="2" s="1"/>
  <c r="AH435" i="2" s="1"/>
  <c r="T435" i="2"/>
  <c r="F447" i="2"/>
  <c r="O436" i="2" l="1"/>
  <c r="S436" i="2" s="1"/>
  <c r="G40" i="3"/>
  <c r="I40" i="3" s="1"/>
  <c r="H447" i="2"/>
  <c r="I447" i="2" s="1"/>
  <c r="W435" i="2"/>
  <c r="E40" i="3" s="1"/>
  <c r="F40" i="3"/>
  <c r="L40" i="3" l="1"/>
  <c r="U436" i="2"/>
  <c r="V436" i="2" s="1"/>
  <c r="K40" i="3"/>
  <c r="F448" i="2"/>
  <c r="O437" i="2" l="1"/>
  <c r="S437" i="2" s="1"/>
  <c r="AF436" i="2"/>
  <c r="AG436" i="2" s="1"/>
  <c r="AH436" i="2" s="1"/>
  <c r="W436" i="2"/>
  <c r="H448" i="2"/>
  <c r="P447" i="2"/>
  <c r="U437" i="2" l="1"/>
  <c r="V437" i="2" s="1"/>
  <c r="I448" i="2"/>
  <c r="F449" i="2" s="1"/>
  <c r="O438" i="2" l="1"/>
  <c r="S438" i="2" s="1"/>
  <c r="AF437" i="2"/>
  <c r="AG437" i="2" s="1"/>
  <c r="AH437" i="2" s="1"/>
  <c r="H449" i="2"/>
  <c r="W437" i="2"/>
  <c r="U438" i="2" l="1"/>
  <c r="V438" i="2" s="1"/>
  <c r="I449" i="2"/>
  <c r="F450" i="2"/>
  <c r="O439" i="2" l="1"/>
  <c r="S439" i="2" s="1"/>
  <c r="AF438" i="2"/>
  <c r="AG438" i="2" s="1"/>
  <c r="AH438" i="2" s="1"/>
  <c r="H450" i="2"/>
  <c r="W438" i="2"/>
  <c r="U439" i="2" l="1"/>
  <c r="V439" i="2" s="1"/>
  <c r="I450" i="2"/>
  <c r="F451" i="2"/>
  <c r="O440" i="2" l="1"/>
  <c r="S440" i="2" s="1"/>
  <c r="AF439" i="2"/>
  <c r="AG439" i="2" s="1"/>
  <c r="AH439" i="2" s="1"/>
  <c r="H451" i="2"/>
  <c r="W439" i="2"/>
  <c r="U440" i="2" l="1"/>
  <c r="V440" i="2" s="1"/>
  <c r="I451" i="2"/>
  <c r="F452" i="2" s="1"/>
  <c r="O441" i="2" l="1"/>
  <c r="S441" i="2" s="1"/>
  <c r="AF440" i="2"/>
  <c r="AG440" i="2" s="1"/>
  <c r="AH440" i="2" s="1"/>
  <c r="H452" i="2"/>
  <c r="W440" i="2"/>
  <c r="U441" i="2" l="1"/>
  <c r="V441" i="2" s="1"/>
  <c r="I452" i="2"/>
  <c r="F453" i="2"/>
  <c r="O442" i="2" l="1"/>
  <c r="S442" i="2" s="1"/>
  <c r="U442" i="2" s="1"/>
  <c r="V442" i="2" s="1"/>
  <c r="AF441" i="2"/>
  <c r="AG441" i="2" s="1"/>
  <c r="AH441" i="2" s="1"/>
  <c r="H453" i="2"/>
  <c r="W441" i="2"/>
  <c r="I453" i="2" l="1"/>
  <c r="F454" i="2" s="1"/>
  <c r="AF442" i="2"/>
  <c r="AG442" i="2" s="1"/>
  <c r="AH442" i="2" s="1"/>
  <c r="O443" i="2" l="1"/>
  <c r="S443" i="2" s="1"/>
  <c r="U443" i="2" s="1"/>
  <c r="V443" i="2" s="1"/>
  <c r="H454" i="2"/>
  <c r="I454" i="2" s="1"/>
  <c r="W442" i="2"/>
  <c r="AF443" i="2" l="1"/>
  <c r="AG443" i="2" s="1"/>
  <c r="AH443" i="2" s="1"/>
  <c r="F455" i="2"/>
  <c r="O444" i="2" l="1"/>
  <c r="S444" i="2" s="1"/>
  <c r="U444" i="2" s="1"/>
  <c r="V444" i="2" s="1"/>
  <c r="H455" i="2"/>
  <c r="I455" i="2" s="1"/>
  <c r="W443" i="2"/>
  <c r="AF444" i="2" l="1"/>
  <c r="AG444" i="2" s="1"/>
  <c r="AH444" i="2" s="1"/>
  <c r="F456" i="2"/>
  <c r="O445" i="2" l="1"/>
  <c r="S445" i="2" s="1"/>
  <c r="U445" i="2" s="1"/>
  <c r="V445" i="2" s="1"/>
  <c r="H456" i="2"/>
  <c r="I456" i="2" s="1"/>
  <c r="W444" i="2"/>
  <c r="AF445" i="2" l="1"/>
  <c r="AG445" i="2" s="1"/>
  <c r="AH445" i="2" s="1"/>
  <c r="F457" i="2"/>
  <c r="O446" i="2" l="1"/>
  <c r="S446" i="2" s="1"/>
  <c r="U446" i="2" s="1"/>
  <c r="V446" i="2" s="1"/>
  <c r="H457" i="2"/>
  <c r="I457" i="2" s="1"/>
  <c r="W445" i="2"/>
  <c r="AF446" i="2" l="1"/>
  <c r="AG446" i="2" s="1"/>
  <c r="AH446" i="2" s="1"/>
  <c r="F458" i="2"/>
  <c r="O447" i="2" l="1"/>
  <c r="S447" i="2" s="1"/>
  <c r="U447" i="2" s="1"/>
  <c r="V447" i="2" s="1"/>
  <c r="H458" i="2"/>
  <c r="I458" i="2" s="1"/>
  <c r="W446" i="2"/>
  <c r="AF447" i="2" l="1"/>
  <c r="AG447" i="2" s="1"/>
  <c r="AH447" i="2" s="1"/>
  <c r="T447" i="2"/>
  <c r="F459" i="2"/>
  <c r="O448" i="2" l="1"/>
  <c r="S448" i="2" s="1"/>
  <c r="G41" i="3"/>
  <c r="I41" i="3" s="1"/>
  <c r="H459" i="2"/>
  <c r="I459" i="2" s="1"/>
  <c r="W447" i="2"/>
  <c r="E41" i="3" s="1"/>
  <c r="F41" i="3"/>
  <c r="L41" i="3" l="1"/>
  <c r="U448" i="2"/>
  <c r="V448" i="2" s="1"/>
  <c r="K41" i="3"/>
  <c r="F460" i="2"/>
  <c r="O449" i="2" l="1"/>
  <c r="S449" i="2" s="1"/>
  <c r="AF448" i="2"/>
  <c r="AG448" i="2" s="1"/>
  <c r="AH448" i="2" s="1"/>
  <c r="H460" i="2"/>
  <c r="P459" i="2"/>
  <c r="W448" i="2"/>
  <c r="U449" i="2" l="1"/>
  <c r="V449" i="2" s="1"/>
  <c r="I460" i="2"/>
  <c r="F461" i="2" s="1"/>
  <c r="O450" i="2" l="1"/>
  <c r="S450" i="2" s="1"/>
  <c r="AF449" i="2"/>
  <c r="AG449" i="2" s="1"/>
  <c r="AH449" i="2" s="1"/>
  <c r="H461" i="2"/>
  <c r="W449" i="2"/>
  <c r="U450" i="2" l="1"/>
  <c r="V450" i="2" s="1"/>
  <c r="I461" i="2"/>
  <c r="F462" i="2" s="1"/>
  <c r="O451" i="2" l="1"/>
  <c r="S451" i="2" s="1"/>
  <c r="AF450" i="2"/>
  <c r="AG450" i="2" s="1"/>
  <c r="AH450" i="2" s="1"/>
  <c r="H462" i="2"/>
  <c r="W450" i="2"/>
  <c r="U451" i="2" l="1"/>
  <c r="V451" i="2" s="1"/>
  <c r="I462" i="2"/>
  <c r="F463" i="2" s="1"/>
  <c r="O452" i="2" l="1"/>
  <c r="S452" i="2" s="1"/>
  <c r="AF451" i="2"/>
  <c r="AG451" i="2" s="1"/>
  <c r="AH451" i="2" s="1"/>
  <c r="H463" i="2"/>
  <c r="W451" i="2"/>
  <c r="I463" i="2" l="1"/>
  <c r="F464" i="2" s="1"/>
  <c r="U452" i="2"/>
  <c r="V452" i="2" s="1"/>
  <c r="O453" i="2" l="1"/>
  <c r="S453" i="2" s="1"/>
  <c r="AF452" i="2"/>
  <c r="AG452" i="2" s="1"/>
  <c r="AH452" i="2" s="1"/>
  <c r="H464" i="2"/>
  <c r="W452" i="2"/>
  <c r="U453" i="2" l="1"/>
  <c r="V453" i="2" s="1"/>
  <c r="I464" i="2"/>
  <c r="F465" i="2" s="1"/>
  <c r="O454" i="2" l="1"/>
  <c r="S454" i="2" s="1"/>
  <c r="U454" i="2" s="1"/>
  <c r="V454" i="2" s="1"/>
  <c r="AF453" i="2"/>
  <c r="AG453" i="2" s="1"/>
  <c r="AH453" i="2" s="1"/>
  <c r="H465" i="2"/>
  <c r="W453" i="2"/>
  <c r="I465" i="2" l="1"/>
  <c r="F466" i="2" s="1"/>
  <c r="AF454" i="2"/>
  <c r="AG454" i="2" s="1"/>
  <c r="AH454" i="2" s="1"/>
  <c r="O455" i="2" l="1"/>
  <c r="S455" i="2" s="1"/>
  <c r="U455" i="2" s="1"/>
  <c r="V455" i="2" s="1"/>
  <c r="H466" i="2"/>
  <c r="I466" i="2" s="1"/>
  <c r="W454" i="2"/>
  <c r="AF455" i="2" l="1"/>
  <c r="AG455" i="2" s="1"/>
  <c r="AH455" i="2" s="1"/>
  <c r="F467" i="2"/>
  <c r="O456" i="2" l="1"/>
  <c r="S456" i="2" s="1"/>
  <c r="U456" i="2" s="1"/>
  <c r="V456" i="2" s="1"/>
  <c r="H467" i="2"/>
  <c r="I467" i="2" s="1"/>
  <c r="W455" i="2"/>
  <c r="AF456" i="2" l="1"/>
  <c r="AG456" i="2" s="1"/>
  <c r="AH456" i="2" s="1"/>
  <c r="F468" i="2"/>
  <c r="O457" i="2" l="1"/>
  <c r="S457" i="2" s="1"/>
  <c r="U457" i="2" s="1"/>
  <c r="V457" i="2" s="1"/>
  <c r="H468" i="2"/>
  <c r="I468" i="2" s="1"/>
  <c r="W456" i="2"/>
  <c r="F469" i="2" l="1"/>
  <c r="AF457" i="2"/>
  <c r="AG457" i="2" s="1"/>
  <c r="AH457" i="2" s="1"/>
  <c r="O458" i="2" l="1"/>
  <c r="S458" i="2" s="1"/>
  <c r="U458" i="2" s="1"/>
  <c r="V458" i="2" s="1"/>
  <c r="W457" i="2"/>
  <c r="H469" i="2"/>
  <c r="I469" i="2" s="1"/>
  <c r="AF458" i="2" l="1"/>
  <c r="AG458" i="2" s="1"/>
  <c r="AH458" i="2" s="1"/>
  <c r="F470" i="2"/>
  <c r="O459" i="2" l="1"/>
  <c r="S459" i="2" s="1"/>
  <c r="U459" i="2" s="1"/>
  <c r="V459" i="2" s="1"/>
  <c r="H470" i="2"/>
  <c r="I470" i="2" s="1"/>
  <c r="W458" i="2"/>
  <c r="AF459" i="2" l="1"/>
  <c r="AG459" i="2" s="1"/>
  <c r="AH459" i="2" s="1"/>
  <c r="T459" i="2"/>
  <c r="F471" i="2"/>
  <c r="O460" i="2" l="1"/>
  <c r="S460" i="2" s="1"/>
  <c r="G42" i="3"/>
  <c r="I42" i="3" s="1"/>
  <c r="W459" i="2"/>
  <c r="E42" i="3" s="1"/>
  <c r="H471" i="2"/>
  <c r="I471" i="2" s="1"/>
  <c r="F42" i="3"/>
  <c r="L42" i="3" l="1"/>
  <c r="U460" i="2"/>
  <c r="V460" i="2" s="1"/>
  <c r="K42" i="3"/>
  <c r="F472" i="2"/>
  <c r="O461" i="2" l="1"/>
  <c r="S461" i="2" s="1"/>
  <c r="AF460" i="2"/>
  <c r="AG460" i="2" s="1"/>
  <c r="AH460" i="2" s="1"/>
  <c r="W460" i="2"/>
  <c r="H472" i="2"/>
  <c r="P471" i="2"/>
  <c r="U461" i="2" l="1"/>
  <c r="V461" i="2" s="1"/>
  <c r="I472" i="2"/>
  <c r="F473" i="2" s="1"/>
  <c r="O462" i="2" l="1"/>
  <c r="S462" i="2" s="1"/>
  <c r="AF461" i="2"/>
  <c r="AG461" i="2" s="1"/>
  <c r="AH461" i="2" s="1"/>
  <c r="H473" i="2"/>
  <c r="W461" i="2"/>
  <c r="U462" i="2" l="1"/>
  <c r="V462" i="2" s="1"/>
  <c r="I473" i="2"/>
  <c r="F474" i="2" s="1"/>
  <c r="O463" i="2" l="1"/>
  <c r="S463" i="2" s="1"/>
  <c r="AF462" i="2"/>
  <c r="AG462" i="2" s="1"/>
  <c r="AH462" i="2" s="1"/>
  <c r="W462" i="2"/>
  <c r="H474" i="2"/>
  <c r="U463" i="2" l="1"/>
  <c r="V463" i="2" s="1"/>
  <c r="I474" i="2"/>
  <c r="F475" i="2" s="1"/>
  <c r="O464" i="2" l="1"/>
  <c r="S464" i="2" s="1"/>
  <c r="AF463" i="2"/>
  <c r="AG463" i="2" s="1"/>
  <c r="AH463" i="2" s="1"/>
  <c r="W463" i="2"/>
  <c r="H475" i="2"/>
  <c r="U464" i="2" l="1"/>
  <c r="V464" i="2" s="1"/>
  <c r="I475" i="2"/>
  <c r="F476" i="2" s="1"/>
  <c r="O465" i="2" l="1"/>
  <c r="S465" i="2" s="1"/>
  <c r="AF464" i="2"/>
  <c r="AG464" i="2" s="1"/>
  <c r="AH464" i="2" s="1"/>
  <c r="W464" i="2"/>
  <c r="H476" i="2"/>
  <c r="U465" i="2" l="1"/>
  <c r="V465" i="2" s="1"/>
  <c r="I476" i="2"/>
  <c r="F477" i="2" s="1"/>
  <c r="O466" i="2" l="1"/>
  <c r="S466" i="2" s="1"/>
  <c r="U466" i="2" s="1"/>
  <c r="V466" i="2" s="1"/>
  <c r="AF465" i="2"/>
  <c r="AG465" i="2" s="1"/>
  <c r="AH465" i="2" s="1"/>
  <c r="W465" i="2"/>
  <c r="H477" i="2"/>
  <c r="I477" i="2" l="1"/>
  <c r="AF466" i="2"/>
  <c r="AG466" i="2" s="1"/>
  <c r="AH466" i="2" s="1"/>
  <c r="F478" i="2"/>
  <c r="O467" i="2" l="1"/>
  <c r="S467" i="2" s="1"/>
  <c r="U467" i="2" s="1"/>
  <c r="V467" i="2" s="1"/>
  <c r="H478" i="2"/>
  <c r="I478" i="2" s="1"/>
  <c r="W466" i="2"/>
  <c r="AF467" i="2" l="1"/>
  <c r="AG467" i="2" s="1"/>
  <c r="AH467" i="2" s="1"/>
  <c r="F479" i="2"/>
  <c r="O468" i="2" l="1"/>
  <c r="S468" i="2" s="1"/>
  <c r="U468" i="2" s="1"/>
  <c r="V468" i="2" s="1"/>
  <c r="H479" i="2"/>
  <c r="I479" i="2" s="1"/>
  <c r="W467" i="2"/>
  <c r="AF468" i="2" l="1"/>
  <c r="AG468" i="2" s="1"/>
  <c r="AH468" i="2" s="1"/>
  <c r="F480" i="2"/>
  <c r="O469" i="2" l="1"/>
  <c r="S469" i="2" s="1"/>
  <c r="U469" i="2" s="1"/>
  <c r="V469" i="2" s="1"/>
  <c r="H480" i="2"/>
  <c r="I480" i="2" s="1"/>
  <c r="W468" i="2"/>
  <c r="AF469" i="2" l="1"/>
  <c r="AG469" i="2" s="1"/>
  <c r="AH469" i="2" s="1"/>
  <c r="F481" i="2"/>
  <c r="O470" i="2" l="1"/>
  <c r="S470" i="2" s="1"/>
  <c r="U470" i="2" s="1"/>
  <c r="V470" i="2" s="1"/>
  <c r="H481" i="2"/>
  <c r="I481" i="2" s="1"/>
  <c r="W469" i="2"/>
  <c r="AF470" i="2" l="1"/>
  <c r="AG470" i="2" s="1"/>
  <c r="AH470" i="2" s="1"/>
  <c r="F482" i="2"/>
  <c r="O471" i="2" l="1"/>
  <c r="S471" i="2" s="1"/>
  <c r="U471" i="2" s="1"/>
  <c r="V471" i="2" s="1"/>
  <c r="H482" i="2"/>
  <c r="I482" i="2" s="1"/>
  <c r="W470" i="2"/>
  <c r="AF471" i="2" l="1"/>
  <c r="AG471" i="2" s="1"/>
  <c r="AH471" i="2" s="1"/>
  <c r="T471" i="2"/>
  <c r="F483" i="2"/>
  <c r="O472" i="2" l="1"/>
  <c r="S472" i="2" s="1"/>
  <c r="G43" i="3"/>
  <c r="I43" i="3" s="1"/>
  <c r="H483" i="2"/>
  <c r="I483" i="2" s="1"/>
  <c r="W471" i="2"/>
  <c r="E43" i="3" s="1"/>
  <c r="F43" i="3"/>
  <c r="L43" i="3" l="1"/>
  <c r="U472" i="2"/>
  <c r="V472" i="2" s="1"/>
  <c r="K43" i="3"/>
  <c r="F484" i="2"/>
  <c r="O473" i="2" l="1"/>
  <c r="S473" i="2" s="1"/>
  <c r="AF472" i="2"/>
  <c r="AG472" i="2" s="1"/>
  <c r="AH472" i="2" s="1"/>
  <c r="H484" i="2"/>
  <c r="P483" i="2"/>
  <c r="W472" i="2"/>
  <c r="U473" i="2" l="1"/>
  <c r="V473" i="2" s="1"/>
  <c r="I484" i="2"/>
  <c r="F485" i="2" s="1"/>
  <c r="O474" i="2" l="1"/>
  <c r="S474" i="2" s="1"/>
  <c r="AF473" i="2"/>
  <c r="AG473" i="2" s="1"/>
  <c r="AH473" i="2" s="1"/>
  <c r="H485" i="2"/>
  <c r="W473" i="2"/>
  <c r="I485" i="2" l="1"/>
  <c r="F486" i="2" s="1"/>
  <c r="U474" i="2"/>
  <c r="V474" i="2" s="1"/>
  <c r="O475" i="2" l="1"/>
  <c r="S475" i="2" s="1"/>
  <c r="AF474" i="2"/>
  <c r="AG474" i="2" s="1"/>
  <c r="AH474" i="2" s="1"/>
  <c r="W474" i="2"/>
  <c r="H486" i="2"/>
  <c r="U475" i="2" l="1"/>
  <c r="V475" i="2" s="1"/>
  <c r="I486" i="2"/>
  <c r="F487" i="2" s="1"/>
  <c r="O476" i="2" l="1"/>
  <c r="S476" i="2" s="1"/>
  <c r="AF475" i="2"/>
  <c r="AG475" i="2" s="1"/>
  <c r="AH475" i="2" s="1"/>
  <c r="H487" i="2"/>
  <c r="W475" i="2"/>
  <c r="U476" i="2" l="1"/>
  <c r="V476" i="2" s="1"/>
  <c r="I487" i="2"/>
  <c r="F488" i="2" s="1"/>
  <c r="O477" i="2" l="1"/>
  <c r="S477" i="2" s="1"/>
  <c r="AF476" i="2"/>
  <c r="AG476" i="2" s="1"/>
  <c r="AH476" i="2" s="1"/>
  <c r="H488" i="2"/>
  <c r="W476" i="2"/>
  <c r="I488" i="2" l="1"/>
  <c r="F489" i="2" s="1"/>
  <c r="U477" i="2"/>
  <c r="V477" i="2" s="1"/>
  <c r="O478" i="2" l="1"/>
  <c r="S478" i="2" s="1"/>
  <c r="U478" i="2" s="1"/>
  <c r="V478" i="2" s="1"/>
  <c r="AF477" i="2"/>
  <c r="AG477" i="2" s="1"/>
  <c r="AH477" i="2" s="1"/>
  <c r="H489" i="2"/>
  <c r="W477" i="2"/>
  <c r="I489" i="2" l="1"/>
  <c r="F490" i="2" s="1"/>
  <c r="AF478" i="2"/>
  <c r="AG478" i="2" s="1"/>
  <c r="AH478" i="2" s="1"/>
  <c r="O479" i="2" l="1"/>
  <c r="S479" i="2" s="1"/>
  <c r="U479" i="2" s="1"/>
  <c r="V479" i="2" s="1"/>
  <c r="H490" i="2"/>
  <c r="I490" i="2" s="1"/>
  <c r="W478" i="2"/>
  <c r="AF479" i="2" l="1"/>
  <c r="AG479" i="2" s="1"/>
  <c r="AH479" i="2" s="1"/>
  <c r="F491" i="2"/>
  <c r="O480" i="2" l="1"/>
  <c r="S480" i="2" s="1"/>
  <c r="U480" i="2" s="1"/>
  <c r="V480" i="2" s="1"/>
  <c r="H491" i="2"/>
  <c r="I491" i="2" s="1"/>
  <c r="W479" i="2"/>
  <c r="AF480" i="2" l="1"/>
  <c r="AG480" i="2" s="1"/>
  <c r="AH480" i="2" s="1"/>
  <c r="F492" i="2"/>
  <c r="O481" i="2" l="1"/>
  <c r="S481" i="2" s="1"/>
  <c r="U481" i="2" s="1"/>
  <c r="V481" i="2" s="1"/>
  <c r="H492" i="2"/>
  <c r="I492" i="2" s="1"/>
  <c r="W480" i="2"/>
  <c r="F493" i="2" l="1"/>
  <c r="AF481" i="2"/>
  <c r="AG481" i="2" s="1"/>
  <c r="AH481" i="2" s="1"/>
  <c r="O482" i="2" l="1"/>
  <c r="S482" i="2" s="1"/>
  <c r="U482" i="2" s="1"/>
  <c r="V482" i="2" s="1"/>
  <c r="W481" i="2"/>
  <c r="H493" i="2"/>
  <c r="I493" i="2" s="1"/>
  <c r="AF482" i="2" l="1"/>
  <c r="AG482" i="2" s="1"/>
  <c r="AH482" i="2" s="1"/>
  <c r="F494" i="2"/>
  <c r="O483" i="2" l="1"/>
  <c r="S483" i="2" s="1"/>
  <c r="U483" i="2" s="1"/>
  <c r="V483" i="2" s="1"/>
  <c r="H494" i="2"/>
  <c r="I494" i="2" s="1"/>
  <c r="W482" i="2"/>
  <c r="V484" i="2" l="1"/>
  <c r="V485" i="2" s="1"/>
  <c r="V486" i="2" s="1"/>
  <c r="V487" i="2" s="1"/>
  <c r="V488" i="2" s="1"/>
  <c r="V489" i="2" s="1"/>
  <c r="V490" i="2" s="1"/>
  <c r="V491" i="2" s="1"/>
  <c r="V492" i="2" s="1"/>
  <c r="V493" i="2" s="1"/>
  <c r="V494" i="2" s="1"/>
  <c r="V495" i="2" s="1"/>
  <c r="V496" i="2" s="1"/>
  <c r="V497" i="2" s="1"/>
  <c r="V498" i="2" s="1"/>
  <c r="V499" i="2" s="1"/>
  <c r="V500" i="2" s="1"/>
  <c r="V501" i="2" s="1"/>
  <c r="V502" i="2" s="1"/>
  <c r="V503" i="2" s="1"/>
  <c r="V504" i="2" s="1"/>
  <c r="V505" i="2" s="1"/>
  <c r="V506" i="2" s="1"/>
  <c r="V507" i="2" s="1"/>
  <c r="V508" i="2" s="1"/>
  <c r="V509" i="2" s="1"/>
  <c r="V510" i="2" s="1"/>
  <c r="V511" i="2" s="1"/>
  <c r="V512" i="2" s="1"/>
  <c r="V513" i="2" s="1"/>
  <c r="V514" i="2" s="1"/>
  <c r="V515" i="2" s="1"/>
  <c r="V516" i="2" s="1"/>
  <c r="V517" i="2" s="1"/>
  <c r="V518" i="2" s="1"/>
  <c r="V519" i="2" s="1"/>
  <c r="V520" i="2" s="1"/>
  <c r="V521" i="2" s="1"/>
  <c r="V522" i="2" s="1"/>
  <c r="V523" i="2" s="1"/>
  <c r="V524" i="2" s="1"/>
  <c r="V525" i="2" s="1"/>
  <c r="V526" i="2" s="1"/>
  <c r="V527" i="2" s="1"/>
  <c r="V528" i="2" s="1"/>
  <c r="V529" i="2" s="1"/>
  <c r="V530" i="2" s="1"/>
  <c r="V531" i="2" s="1"/>
  <c r="V532" i="2" s="1"/>
  <c r="V533" i="2" s="1"/>
  <c r="V534" i="2" s="1"/>
  <c r="V535" i="2" s="1"/>
  <c r="V536" i="2" s="1"/>
  <c r="V537" i="2" s="1"/>
  <c r="V538" i="2" s="1"/>
  <c r="V539" i="2" s="1"/>
  <c r="V540" i="2" s="1"/>
  <c r="V541" i="2" s="1"/>
  <c r="V542" i="2" s="1"/>
  <c r="V543" i="2" s="1"/>
  <c r="V544" i="2" s="1"/>
  <c r="V545" i="2" s="1"/>
  <c r="V546" i="2" s="1"/>
  <c r="V547" i="2" s="1"/>
  <c r="V548" i="2" s="1"/>
  <c r="V549" i="2" s="1"/>
  <c r="V550" i="2" s="1"/>
  <c r="V551" i="2" s="1"/>
  <c r="V552" i="2" s="1"/>
  <c r="V553" i="2" s="1"/>
  <c r="V554" i="2" s="1"/>
  <c r="V555" i="2" s="1"/>
  <c r="V556" i="2" s="1"/>
  <c r="V557" i="2" s="1"/>
  <c r="V558" i="2" s="1"/>
  <c r="V559" i="2" s="1"/>
  <c r="V560" i="2" s="1"/>
  <c r="V561" i="2" s="1"/>
  <c r="V562" i="2" s="1"/>
  <c r="V563" i="2" s="1"/>
  <c r="V564" i="2" s="1"/>
  <c r="V565" i="2" s="1"/>
  <c r="V566" i="2" s="1"/>
  <c r="V567" i="2" s="1"/>
  <c r="V568" i="2" s="1"/>
  <c r="V569" i="2" s="1"/>
  <c r="V570" i="2" s="1"/>
  <c r="V571" i="2" s="1"/>
  <c r="V572" i="2" s="1"/>
  <c r="V573" i="2" s="1"/>
  <c r="V574" i="2" s="1"/>
  <c r="V575" i="2" s="1"/>
  <c r="V576" i="2" s="1"/>
  <c r="V577" i="2" s="1"/>
  <c r="V578" i="2" s="1"/>
  <c r="V579" i="2" s="1"/>
  <c r="V580" i="2" s="1"/>
  <c r="V581" i="2" s="1"/>
  <c r="V582" i="2" s="1"/>
  <c r="V583" i="2" s="1"/>
  <c r="V584" i="2" s="1"/>
  <c r="V585" i="2" s="1"/>
  <c r="V586" i="2" s="1"/>
  <c r="V587" i="2" s="1"/>
  <c r="V588" i="2" s="1"/>
  <c r="V589" i="2" s="1"/>
  <c r="V590" i="2" s="1"/>
  <c r="V591" i="2" s="1"/>
  <c r="V592" i="2" s="1"/>
  <c r="V593" i="2" s="1"/>
  <c r="V594" i="2" s="1"/>
  <c r="V595" i="2" s="1"/>
  <c r="V596" i="2" s="1"/>
  <c r="V597" i="2" s="1"/>
  <c r="V598" i="2" s="1"/>
  <c r="V599" i="2" s="1"/>
  <c r="V600" i="2" s="1"/>
  <c r="V601" i="2" s="1"/>
  <c r="V602" i="2" s="1"/>
  <c r="V603" i="2" s="1"/>
  <c r="V604" i="2" s="1"/>
  <c r="V605" i="2" s="1"/>
  <c r="V606" i="2" s="1"/>
  <c r="V607" i="2" s="1"/>
  <c r="V608" i="2" s="1"/>
  <c r="V609" i="2" s="1"/>
  <c r="V610" i="2" s="1"/>
  <c r="V611" i="2" s="1"/>
  <c r="V612" i="2" s="1"/>
  <c r="V613" i="2" s="1"/>
  <c r="V614" i="2" s="1"/>
  <c r="V615" i="2" s="1"/>
  <c r="V616" i="2" s="1"/>
  <c r="V617" i="2" s="1"/>
  <c r="V618" i="2" s="1"/>
  <c r="V619" i="2" s="1"/>
  <c r="V620" i="2" s="1"/>
  <c r="V621" i="2" s="1"/>
  <c r="V622" i="2" s="1"/>
  <c r="V623" i="2" s="1"/>
  <c r="V624" i="2" s="1"/>
  <c r="V625" i="2" s="1"/>
  <c r="V626" i="2" s="1"/>
  <c r="V627" i="2" s="1"/>
  <c r="V628" i="2" s="1"/>
  <c r="V629" i="2" s="1"/>
  <c r="V630" i="2" s="1"/>
  <c r="V631" i="2" s="1"/>
  <c r="V632" i="2" s="1"/>
  <c r="V633" i="2" s="1"/>
  <c r="V634" i="2" s="1"/>
  <c r="V635" i="2" s="1"/>
  <c r="V636" i="2" s="1"/>
  <c r="V637" i="2" s="1"/>
  <c r="V638" i="2" s="1"/>
  <c r="V639" i="2" s="1"/>
  <c r="V640" i="2" s="1"/>
  <c r="V641" i="2" s="1"/>
  <c r="V642" i="2" s="1"/>
  <c r="V643" i="2" s="1"/>
  <c r="V644" i="2" s="1"/>
  <c r="V645" i="2" s="1"/>
  <c r="V646" i="2" s="1"/>
  <c r="V647" i="2" s="1"/>
  <c r="V648" i="2" s="1"/>
  <c r="V649" i="2" s="1"/>
  <c r="V650" i="2" s="1"/>
  <c r="V651" i="2" s="1"/>
  <c r="V652" i="2" s="1"/>
  <c r="V653" i="2" s="1"/>
  <c r="V654" i="2" s="1"/>
  <c r="V655" i="2" s="1"/>
  <c r="V656" i="2" s="1"/>
  <c r="V657" i="2" s="1"/>
  <c r="V658" i="2" s="1"/>
  <c r="V659" i="2" s="1"/>
  <c r="V660" i="2" s="1"/>
  <c r="V661" i="2" s="1"/>
  <c r="V662" i="2" s="1"/>
  <c r="V663" i="2" s="1"/>
  <c r="V664" i="2" s="1"/>
  <c r="V665" i="2" s="1"/>
  <c r="V666" i="2" s="1"/>
  <c r="V667" i="2" s="1"/>
  <c r="V668" i="2" s="1"/>
  <c r="V669" i="2" s="1"/>
  <c r="V670" i="2" s="1"/>
  <c r="V671" i="2" s="1"/>
  <c r="V672" i="2" s="1"/>
  <c r="V673" i="2" s="1"/>
  <c r="V674" i="2" s="1"/>
  <c r="V675" i="2" s="1"/>
  <c r="V676" i="2" s="1"/>
  <c r="V677" i="2" s="1"/>
  <c r="V678" i="2" s="1"/>
  <c r="V679" i="2" s="1"/>
  <c r="V680" i="2" s="1"/>
  <c r="V681" i="2" s="1"/>
  <c r="V682" i="2" s="1"/>
  <c r="V683" i="2" s="1"/>
  <c r="V684" i="2" s="1"/>
  <c r="V685" i="2" s="1"/>
  <c r="V686" i="2" s="1"/>
  <c r="V687" i="2" s="1"/>
  <c r="V688" i="2" s="1"/>
  <c r="V689" i="2" s="1"/>
  <c r="V690" i="2" s="1"/>
  <c r="V691" i="2" s="1"/>
  <c r="V692" i="2" s="1"/>
  <c r="V693" i="2" s="1"/>
  <c r="V694" i="2" s="1"/>
  <c r="V695" i="2" s="1"/>
  <c r="V696" i="2" s="1"/>
  <c r="V697" i="2" s="1"/>
  <c r="V698" i="2" s="1"/>
  <c r="V699" i="2" s="1"/>
  <c r="V700" i="2" s="1"/>
  <c r="V701" i="2" s="1"/>
  <c r="V702" i="2" s="1"/>
  <c r="V703" i="2" s="1"/>
  <c r="V704" i="2" s="1"/>
  <c r="V705" i="2" s="1"/>
  <c r="V706" i="2" s="1"/>
  <c r="V707" i="2" s="1"/>
  <c r="V708" i="2" s="1"/>
  <c r="V709" i="2" s="1"/>
  <c r="V710" i="2" s="1"/>
  <c r="V711" i="2" s="1"/>
  <c r="V712" i="2" s="1"/>
  <c r="V713" i="2" s="1"/>
  <c r="V714" i="2" s="1"/>
  <c r="V715" i="2" s="1"/>
  <c r="V716" i="2" s="1"/>
  <c r="V717" i="2" s="1"/>
  <c r="V718" i="2" s="1"/>
  <c r="V719" i="2" s="1"/>
  <c r="V720" i="2" s="1"/>
  <c r="V721" i="2" s="1"/>
  <c r="V722" i="2" s="1"/>
  <c r="V723" i="2" s="1"/>
  <c r="B32" i="13" s="1"/>
  <c r="F495" i="2"/>
  <c r="AF483" i="2"/>
  <c r="AG483" i="2" s="1"/>
  <c r="AH483" i="2" s="1"/>
  <c r="W483" i="2"/>
  <c r="T483" i="2"/>
  <c r="G44" i="3" l="1"/>
  <c r="L44" i="3" s="1"/>
  <c r="O484" i="2"/>
  <c r="F44" i="3"/>
  <c r="H495" i="2"/>
  <c r="I495" i="2" s="1"/>
  <c r="H43" i="1" l="1"/>
  <c r="I44" i="3"/>
  <c r="F496" i="2"/>
  <c r="W484" i="2"/>
  <c r="AF484" i="2"/>
  <c r="AG484" i="2" s="1"/>
  <c r="AH484" i="2" s="1"/>
  <c r="E44" i="3"/>
  <c r="K44" i="3" s="1"/>
  <c r="O485" i="2" l="1"/>
  <c r="H496" i="2"/>
  <c r="P495" i="2"/>
  <c r="I496" i="2" l="1"/>
  <c r="F497" i="2" s="1"/>
  <c r="W485" i="2"/>
  <c r="AF485" i="2"/>
  <c r="AG485" i="2" s="1"/>
  <c r="AH485" i="2" s="1"/>
  <c r="O486" i="2" l="1"/>
  <c r="H497" i="2"/>
  <c r="I497" i="2" l="1"/>
  <c r="F498" i="2" s="1"/>
  <c r="W486" i="2"/>
  <c r="AF486" i="2"/>
  <c r="AG486" i="2" s="1"/>
  <c r="AH486" i="2" s="1"/>
  <c r="O487" i="2" l="1"/>
  <c r="H498" i="2"/>
  <c r="I498" i="2" l="1"/>
  <c r="F499" i="2" s="1"/>
  <c r="W487" i="2"/>
  <c r="AF487" i="2"/>
  <c r="AG487" i="2" s="1"/>
  <c r="AH487" i="2" s="1"/>
  <c r="O488" i="2" l="1"/>
  <c r="H499" i="2"/>
  <c r="I499" i="2" l="1"/>
  <c r="AF488" i="2"/>
  <c r="AG488" i="2" s="1"/>
  <c r="AH488" i="2" s="1"/>
  <c r="W488" i="2"/>
  <c r="F500" i="2"/>
  <c r="O489" i="2" l="1"/>
  <c r="H500" i="2"/>
  <c r="I500" i="2" l="1"/>
  <c r="AF489" i="2"/>
  <c r="AG489" i="2" s="1"/>
  <c r="AH489" i="2" s="1"/>
  <c r="W489" i="2"/>
  <c r="F501" i="2"/>
  <c r="O490" i="2" l="1"/>
  <c r="H501" i="2"/>
  <c r="I501" i="2" l="1"/>
  <c r="AF490" i="2"/>
  <c r="AG490" i="2" s="1"/>
  <c r="AH490" i="2" s="1"/>
  <c r="W490" i="2"/>
  <c r="F502" i="2"/>
  <c r="O491" i="2" l="1"/>
  <c r="H502" i="2"/>
  <c r="I502" i="2" s="1"/>
  <c r="AF491" i="2" l="1"/>
  <c r="AG491" i="2" s="1"/>
  <c r="AH491" i="2" s="1"/>
  <c r="W491" i="2"/>
  <c r="F503" i="2"/>
  <c r="O492" i="2" l="1"/>
  <c r="H503" i="2"/>
  <c r="I503" i="2" s="1"/>
  <c r="AF492" i="2" l="1"/>
  <c r="AG492" i="2" s="1"/>
  <c r="AH492" i="2" s="1"/>
  <c r="W492" i="2"/>
  <c r="F504" i="2"/>
  <c r="O493" i="2" l="1"/>
  <c r="H504" i="2"/>
  <c r="I504" i="2" s="1"/>
  <c r="AF493" i="2" l="1"/>
  <c r="AG493" i="2" s="1"/>
  <c r="AH493" i="2" s="1"/>
  <c r="W493" i="2"/>
  <c r="F505" i="2"/>
  <c r="O494" i="2" l="1"/>
  <c r="H505" i="2"/>
  <c r="I505" i="2" s="1"/>
  <c r="AF494" i="2" l="1"/>
  <c r="AG494" i="2" s="1"/>
  <c r="AH494" i="2" s="1"/>
  <c r="W494" i="2"/>
  <c r="F506" i="2"/>
  <c r="O495" i="2" l="1"/>
  <c r="H506" i="2"/>
  <c r="I506" i="2" s="1"/>
  <c r="T495" i="2" l="1"/>
  <c r="AF495" i="2"/>
  <c r="AG495" i="2" s="1"/>
  <c r="AH495" i="2" s="1"/>
  <c r="W495" i="2"/>
  <c r="E45" i="3" s="1"/>
  <c r="F507" i="2"/>
  <c r="O496" i="2" l="1"/>
  <c r="G45" i="3"/>
  <c r="I45" i="3" s="1"/>
  <c r="F45" i="3"/>
  <c r="K45" i="3" s="1"/>
  <c r="H507" i="2"/>
  <c r="I507" i="2" s="1"/>
  <c r="L45" i="3" l="1"/>
  <c r="AF496" i="2"/>
  <c r="AG496" i="2" s="1"/>
  <c r="AH496" i="2" s="1"/>
  <c r="W496" i="2"/>
  <c r="F508" i="2"/>
  <c r="O497" i="2" l="1"/>
  <c r="H508" i="2"/>
  <c r="P507" i="2"/>
  <c r="I508" i="2" l="1"/>
  <c r="F509" i="2" s="1"/>
  <c r="AF497" i="2"/>
  <c r="AG497" i="2" s="1"/>
  <c r="AH497" i="2" s="1"/>
  <c r="W497" i="2"/>
  <c r="O498" i="2" l="1"/>
  <c r="H509" i="2"/>
  <c r="I509" i="2" l="1"/>
  <c r="AF498" i="2"/>
  <c r="AG498" i="2" s="1"/>
  <c r="AH498" i="2" s="1"/>
  <c r="W498" i="2"/>
  <c r="F510" i="2"/>
  <c r="O499" i="2" l="1"/>
  <c r="H510" i="2"/>
  <c r="I510" i="2" l="1"/>
  <c r="F511" i="2" s="1"/>
  <c r="AF499" i="2"/>
  <c r="AG499" i="2" s="1"/>
  <c r="AH499" i="2" s="1"/>
  <c r="W499" i="2"/>
  <c r="O500" i="2" l="1"/>
  <c r="H511" i="2"/>
  <c r="I511" i="2" l="1"/>
  <c r="AF500" i="2"/>
  <c r="AG500" i="2" s="1"/>
  <c r="AH500" i="2" s="1"/>
  <c r="W500" i="2"/>
  <c r="F512" i="2"/>
  <c r="O501" i="2" l="1"/>
  <c r="H512" i="2"/>
  <c r="I512" i="2" l="1"/>
  <c r="F513" i="2" s="1"/>
  <c r="AF501" i="2"/>
  <c r="AG501" i="2" s="1"/>
  <c r="AH501" i="2" s="1"/>
  <c r="W501" i="2"/>
  <c r="O502" i="2" l="1"/>
  <c r="H513" i="2"/>
  <c r="I513" i="2" l="1"/>
  <c r="F514" i="2" s="1"/>
  <c r="AF502" i="2"/>
  <c r="AG502" i="2" s="1"/>
  <c r="AH502" i="2" s="1"/>
  <c r="W502" i="2"/>
  <c r="O503" i="2" l="1"/>
  <c r="H514" i="2"/>
  <c r="I514" i="2" s="1"/>
  <c r="AF503" i="2" l="1"/>
  <c r="AG503" i="2" s="1"/>
  <c r="AH503" i="2" s="1"/>
  <c r="W503" i="2"/>
  <c r="F515" i="2"/>
  <c r="O504" i="2" l="1"/>
  <c r="H515" i="2"/>
  <c r="I515" i="2" s="1"/>
  <c r="AF504" i="2" l="1"/>
  <c r="AG504" i="2" s="1"/>
  <c r="AH504" i="2" s="1"/>
  <c r="W504" i="2"/>
  <c r="F516" i="2"/>
  <c r="O505" i="2" l="1"/>
  <c r="H516" i="2"/>
  <c r="I516" i="2" s="1"/>
  <c r="AF505" i="2" l="1"/>
  <c r="AG505" i="2" s="1"/>
  <c r="AH505" i="2" s="1"/>
  <c r="W505" i="2"/>
  <c r="F517" i="2"/>
  <c r="O506" i="2" l="1"/>
  <c r="H517" i="2"/>
  <c r="I517" i="2" s="1"/>
  <c r="AF506" i="2" l="1"/>
  <c r="AG506" i="2" s="1"/>
  <c r="AH506" i="2" s="1"/>
  <c r="W506" i="2"/>
  <c r="F518" i="2"/>
  <c r="O507" i="2" l="1"/>
  <c r="H518" i="2"/>
  <c r="I518" i="2" s="1"/>
  <c r="T507" i="2" l="1"/>
  <c r="AF507" i="2"/>
  <c r="AG507" i="2" s="1"/>
  <c r="AH507" i="2" s="1"/>
  <c r="W507" i="2"/>
  <c r="E46" i="3" s="1"/>
  <c r="F519" i="2"/>
  <c r="O508" i="2" l="1"/>
  <c r="G46" i="3"/>
  <c r="I46" i="3" s="1"/>
  <c r="F46" i="3"/>
  <c r="K46" i="3" s="1"/>
  <c r="H519" i="2"/>
  <c r="I519" i="2" s="1"/>
  <c r="L46" i="3" l="1"/>
  <c r="AF508" i="2"/>
  <c r="AG508" i="2" s="1"/>
  <c r="AH508" i="2" s="1"/>
  <c r="W508" i="2"/>
  <c r="F520" i="2"/>
  <c r="O509" i="2" l="1"/>
  <c r="H520" i="2"/>
  <c r="P519" i="2"/>
  <c r="I520" i="2" l="1"/>
  <c r="F521" i="2" s="1"/>
  <c r="AF509" i="2"/>
  <c r="AG509" i="2" s="1"/>
  <c r="AH509" i="2" s="1"/>
  <c r="W509" i="2"/>
  <c r="O510" i="2" l="1"/>
  <c r="H521" i="2"/>
  <c r="I521" i="2" l="1"/>
  <c r="F522" i="2" s="1"/>
  <c r="AF510" i="2"/>
  <c r="AG510" i="2" s="1"/>
  <c r="AH510" i="2" s="1"/>
  <c r="W510" i="2"/>
  <c r="O511" i="2" l="1"/>
  <c r="H522" i="2"/>
  <c r="I522" i="2" l="1"/>
  <c r="F523" i="2" s="1"/>
  <c r="AF511" i="2"/>
  <c r="AG511" i="2" s="1"/>
  <c r="AH511" i="2" s="1"/>
  <c r="W511" i="2"/>
  <c r="O512" i="2" l="1"/>
  <c r="H523" i="2"/>
  <c r="I523" i="2" l="1"/>
  <c r="AF512" i="2"/>
  <c r="AG512" i="2" s="1"/>
  <c r="AH512" i="2" s="1"/>
  <c r="W512" i="2"/>
  <c r="F524" i="2"/>
  <c r="O513" i="2" l="1"/>
  <c r="H524" i="2"/>
  <c r="I524" i="2" l="1"/>
  <c r="AF513" i="2"/>
  <c r="AG513" i="2" s="1"/>
  <c r="AH513" i="2" s="1"/>
  <c r="W513" i="2"/>
  <c r="F525" i="2"/>
  <c r="O514" i="2" l="1"/>
  <c r="H525" i="2"/>
  <c r="I525" i="2" l="1"/>
  <c r="F526" i="2" s="1"/>
  <c r="AF514" i="2"/>
  <c r="AG514" i="2" s="1"/>
  <c r="AH514" i="2" s="1"/>
  <c r="W514" i="2"/>
  <c r="O515" i="2" l="1"/>
  <c r="H526" i="2"/>
  <c r="I526" i="2" s="1"/>
  <c r="AF515" i="2" l="1"/>
  <c r="AG515" i="2" s="1"/>
  <c r="AH515" i="2" s="1"/>
  <c r="W515" i="2"/>
  <c r="F527" i="2"/>
  <c r="O516" i="2" l="1"/>
  <c r="H527" i="2"/>
  <c r="I527" i="2" s="1"/>
  <c r="AF516" i="2" l="1"/>
  <c r="AG516" i="2" s="1"/>
  <c r="AH516" i="2" s="1"/>
  <c r="W516" i="2"/>
  <c r="F528" i="2"/>
  <c r="O517" i="2" l="1"/>
  <c r="H528" i="2"/>
  <c r="I528" i="2" s="1"/>
  <c r="AF517" i="2" l="1"/>
  <c r="AG517" i="2" s="1"/>
  <c r="AH517" i="2" s="1"/>
  <c r="W517" i="2"/>
  <c r="F529" i="2"/>
  <c r="O518" i="2" l="1"/>
  <c r="H529" i="2"/>
  <c r="I529" i="2" s="1"/>
  <c r="AF518" i="2" l="1"/>
  <c r="AG518" i="2" s="1"/>
  <c r="AH518" i="2" s="1"/>
  <c r="W518" i="2"/>
  <c r="F530" i="2"/>
  <c r="O519" i="2" l="1"/>
  <c r="H530" i="2"/>
  <c r="I530" i="2" s="1"/>
  <c r="T519" i="2" l="1"/>
  <c r="AF519" i="2"/>
  <c r="AG519" i="2" s="1"/>
  <c r="AH519" i="2" s="1"/>
  <c r="W519" i="2"/>
  <c r="E47" i="3" s="1"/>
  <c r="F531" i="2"/>
  <c r="O520" i="2" l="1"/>
  <c r="G47" i="3"/>
  <c r="I47" i="3" s="1"/>
  <c r="F47" i="3"/>
  <c r="K47" i="3" s="1"/>
  <c r="H531" i="2"/>
  <c r="I531" i="2" s="1"/>
  <c r="L47" i="3" l="1"/>
  <c r="AF520" i="2"/>
  <c r="AG520" i="2" s="1"/>
  <c r="AH520" i="2" s="1"/>
  <c r="W520" i="2"/>
  <c r="F532" i="2"/>
  <c r="O521" i="2" l="1"/>
  <c r="H532" i="2"/>
  <c r="P531" i="2"/>
  <c r="I532" i="2" l="1"/>
  <c r="F533" i="2" s="1"/>
  <c r="AF521" i="2"/>
  <c r="AG521" i="2" s="1"/>
  <c r="AH521" i="2" s="1"/>
  <c r="W521" i="2"/>
  <c r="O522" i="2" l="1"/>
  <c r="H533" i="2"/>
  <c r="I533" i="2" l="1"/>
  <c r="F534" i="2" s="1"/>
  <c r="AF522" i="2"/>
  <c r="AG522" i="2" s="1"/>
  <c r="AH522" i="2" s="1"/>
  <c r="W522" i="2"/>
  <c r="O523" i="2" l="1"/>
  <c r="H534" i="2"/>
  <c r="I534" i="2" l="1"/>
  <c r="F535" i="2" s="1"/>
  <c r="AF523" i="2"/>
  <c r="AG523" i="2" s="1"/>
  <c r="AH523" i="2" s="1"/>
  <c r="W523" i="2"/>
  <c r="O524" i="2" l="1"/>
  <c r="H535" i="2"/>
  <c r="I535" i="2" l="1"/>
  <c r="F536" i="2" s="1"/>
  <c r="AF524" i="2"/>
  <c r="AG524" i="2" s="1"/>
  <c r="AH524" i="2" s="1"/>
  <c r="W524" i="2"/>
  <c r="O525" i="2" l="1"/>
  <c r="H536" i="2"/>
  <c r="I536" i="2" l="1"/>
  <c r="F537" i="2" s="1"/>
  <c r="AF525" i="2"/>
  <c r="AG525" i="2" s="1"/>
  <c r="AH525" i="2" s="1"/>
  <c r="W525" i="2"/>
  <c r="O526" i="2" l="1"/>
  <c r="H537" i="2"/>
  <c r="I537" i="2" l="1"/>
  <c r="AF526" i="2"/>
  <c r="AG526" i="2" s="1"/>
  <c r="AH526" i="2" s="1"/>
  <c r="W526" i="2"/>
  <c r="F538" i="2"/>
  <c r="O527" i="2" l="1"/>
  <c r="H538" i="2"/>
  <c r="I538" i="2" s="1"/>
  <c r="AF527" i="2" l="1"/>
  <c r="AG527" i="2" s="1"/>
  <c r="AH527" i="2" s="1"/>
  <c r="W527" i="2"/>
  <c r="F539" i="2"/>
  <c r="O528" i="2" l="1"/>
  <c r="H539" i="2"/>
  <c r="I539" i="2" s="1"/>
  <c r="AF528" i="2" l="1"/>
  <c r="AG528" i="2" s="1"/>
  <c r="AH528" i="2" s="1"/>
  <c r="W528" i="2"/>
  <c r="F540" i="2"/>
  <c r="O529" i="2" l="1"/>
  <c r="H540" i="2"/>
  <c r="I540" i="2" s="1"/>
  <c r="AF529" i="2" l="1"/>
  <c r="AG529" i="2" s="1"/>
  <c r="AH529" i="2" s="1"/>
  <c r="W529" i="2"/>
  <c r="F541" i="2"/>
  <c r="O530" i="2" l="1"/>
  <c r="H541" i="2"/>
  <c r="I541" i="2" s="1"/>
  <c r="AF530" i="2" l="1"/>
  <c r="AG530" i="2" s="1"/>
  <c r="AH530" i="2" s="1"/>
  <c r="W530" i="2"/>
  <c r="F542" i="2"/>
  <c r="O531" i="2" l="1"/>
  <c r="H542" i="2"/>
  <c r="I542" i="2" s="1"/>
  <c r="T531" i="2" l="1"/>
  <c r="AF531" i="2"/>
  <c r="AG531" i="2" s="1"/>
  <c r="AH531" i="2" s="1"/>
  <c r="W531" i="2"/>
  <c r="E48" i="3" s="1"/>
  <c r="F543" i="2"/>
  <c r="O532" i="2" l="1"/>
  <c r="G48" i="3"/>
  <c r="I48" i="3" s="1"/>
  <c r="F48" i="3"/>
  <c r="K48" i="3" s="1"/>
  <c r="H543" i="2"/>
  <c r="I543" i="2" s="1"/>
  <c r="L48" i="3" l="1"/>
  <c r="AF532" i="2"/>
  <c r="AG532" i="2" s="1"/>
  <c r="AH532" i="2" s="1"/>
  <c r="W532" i="2"/>
  <c r="F544" i="2"/>
  <c r="O533" i="2" l="1"/>
  <c r="H544" i="2"/>
  <c r="P543" i="2"/>
  <c r="I544" i="2" l="1"/>
  <c r="F545" i="2" s="1"/>
  <c r="AF533" i="2"/>
  <c r="AG533" i="2" s="1"/>
  <c r="AH533" i="2" s="1"/>
  <c r="W533" i="2"/>
  <c r="O534" i="2" l="1"/>
  <c r="H545" i="2"/>
  <c r="I545" i="2" l="1"/>
  <c r="F546" i="2" s="1"/>
  <c r="AF534" i="2"/>
  <c r="AG534" i="2" s="1"/>
  <c r="AH534" i="2" s="1"/>
  <c r="W534" i="2"/>
  <c r="O535" i="2" l="1"/>
  <c r="H546" i="2"/>
  <c r="I546" i="2" l="1"/>
  <c r="AF535" i="2"/>
  <c r="AG535" i="2" s="1"/>
  <c r="AH535" i="2" s="1"/>
  <c r="W535" i="2"/>
  <c r="F547" i="2"/>
  <c r="O536" i="2" l="1"/>
  <c r="H547" i="2"/>
  <c r="I547" i="2" l="1"/>
  <c r="AF536" i="2"/>
  <c r="AG536" i="2" s="1"/>
  <c r="AH536" i="2" s="1"/>
  <c r="W536" i="2"/>
  <c r="F548" i="2"/>
  <c r="O537" i="2" l="1"/>
  <c r="H548" i="2"/>
  <c r="I548" i="2" l="1"/>
  <c r="AF537" i="2"/>
  <c r="AG537" i="2" s="1"/>
  <c r="AH537" i="2" s="1"/>
  <c r="W537" i="2"/>
  <c r="F549" i="2"/>
  <c r="O538" i="2" l="1"/>
  <c r="H549" i="2"/>
  <c r="I549" i="2" l="1"/>
  <c r="F550" i="2" s="1"/>
  <c r="AF538" i="2"/>
  <c r="AG538" i="2" s="1"/>
  <c r="AH538" i="2" s="1"/>
  <c r="W538" i="2"/>
  <c r="O539" i="2" l="1"/>
  <c r="H550" i="2"/>
  <c r="I550" i="2" s="1"/>
  <c r="AF539" i="2" l="1"/>
  <c r="AG539" i="2" s="1"/>
  <c r="AH539" i="2" s="1"/>
  <c r="W539" i="2"/>
  <c r="F551" i="2"/>
  <c r="O540" i="2" l="1"/>
  <c r="H551" i="2"/>
  <c r="I551" i="2" s="1"/>
  <c r="AF540" i="2" l="1"/>
  <c r="AG540" i="2" s="1"/>
  <c r="AH540" i="2" s="1"/>
  <c r="W540" i="2"/>
  <c r="F552" i="2"/>
  <c r="O541" i="2" l="1"/>
  <c r="H552" i="2"/>
  <c r="I552" i="2" s="1"/>
  <c r="AF541" i="2" l="1"/>
  <c r="AG541" i="2" s="1"/>
  <c r="AH541" i="2" s="1"/>
  <c r="W541" i="2"/>
  <c r="F553" i="2"/>
  <c r="O542" i="2" l="1"/>
  <c r="H553" i="2"/>
  <c r="I553" i="2" s="1"/>
  <c r="AF542" i="2" l="1"/>
  <c r="AG542" i="2" s="1"/>
  <c r="AH542" i="2" s="1"/>
  <c r="W542" i="2"/>
  <c r="F554" i="2"/>
  <c r="O543" i="2" l="1"/>
  <c r="H554" i="2"/>
  <c r="I554" i="2" s="1"/>
  <c r="T543" i="2" l="1"/>
  <c r="AF543" i="2"/>
  <c r="AG543" i="2" s="1"/>
  <c r="AH543" i="2" s="1"/>
  <c r="W543" i="2"/>
  <c r="E49" i="3" s="1"/>
  <c r="F555" i="2"/>
  <c r="O544" i="2" l="1"/>
  <c r="G49" i="3"/>
  <c r="I49" i="3" s="1"/>
  <c r="F49" i="3"/>
  <c r="K49" i="3" s="1"/>
  <c r="H555" i="2"/>
  <c r="I555" i="2" s="1"/>
  <c r="L49" i="3" l="1"/>
  <c r="AF544" i="2"/>
  <c r="AG544" i="2" s="1"/>
  <c r="AH544" i="2" s="1"/>
  <c r="W544" i="2"/>
  <c r="F556" i="2"/>
  <c r="O545" i="2" l="1"/>
  <c r="H556" i="2"/>
  <c r="P555" i="2"/>
  <c r="I556" i="2" l="1"/>
  <c r="F557" i="2" s="1"/>
  <c r="AF545" i="2"/>
  <c r="AG545" i="2" s="1"/>
  <c r="AH545" i="2" s="1"/>
  <c r="W545" i="2"/>
  <c r="O546" i="2" l="1"/>
  <c r="H557" i="2"/>
  <c r="I557" i="2" l="1"/>
  <c r="F558" i="2" s="1"/>
  <c r="AF546" i="2"/>
  <c r="AG546" i="2" s="1"/>
  <c r="AH546" i="2" s="1"/>
  <c r="W546" i="2"/>
  <c r="O547" i="2" l="1"/>
  <c r="H558" i="2"/>
  <c r="I558" i="2" l="1"/>
  <c r="F559" i="2" s="1"/>
  <c r="AF547" i="2"/>
  <c r="AG547" i="2" s="1"/>
  <c r="AH547" i="2" s="1"/>
  <c r="W547" i="2"/>
  <c r="O548" i="2" l="1"/>
  <c r="H559" i="2"/>
  <c r="I559" i="2" l="1"/>
  <c r="AF548" i="2"/>
  <c r="AG548" i="2" s="1"/>
  <c r="AH548" i="2" s="1"/>
  <c r="W548" i="2"/>
  <c r="F560" i="2"/>
  <c r="O549" i="2" l="1"/>
  <c r="H560" i="2"/>
  <c r="I560" i="2" l="1"/>
  <c r="F561" i="2" s="1"/>
  <c r="AF549" i="2"/>
  <c r="AG549" i="2" s="1"/>
  <c r="AH549" i="2" s="1"/>
  <c r="W549" i="2"/>
  <c r="O550" i="2" l="1"/>
  <c r="H561" i="2"/>
  <c r="I561" i="2" l="1"/>
  <c r="F562" i="2" s="1"/>
  <c r="AF550" i="2"/>
  <c r="AG550" i="2" s="1"/>
  <c r="AH550" i="2" s="1"/>
  <c r="W550" i="2"/>
  <c r="O551" i="2" l="1"/>
  <c r="H562" i="2"/>
  <c r="I562" i="2" s="1"/>
  <c r="AF551" i="2" l="1"/>
  <c r="AG551" i="2" s="1"/>
  <c r="AH551" i="2" s="1"/>
  <c r="W551" i="2"/>
  <c r="F563" i="2"/>
  <c r="O552" i="2" l="1"/>
  <c r="H563" i="2"/>
  <c r="I563" i="2" s="1"/>
  <c r="AF552" i="2" l="1"/>
  <c r="AG552" i="2" s="1"/>
  <c r="AH552" i="2" s="1"/>
  <c r="W552" i="2"/>
  <c r="F564" i="2"/>
  <c r="O553" i="2" l="1"/>
  <c r="H564" i="2"/>
  <c r="I564" i="2" s="1"/>
  <c r="W553" i="2" l="1"/>
  <c r="AF553" i="2"/>
  <c r="AG553" i="2" s="1"/>
  <c r="AH553" i="2" s="1"/>
  <c r="F565" i="2"/>
  <c r="O554" i="2" l="1"/>
  <c r="H565" i="2"/>
  <c r="I565" i="2" s="1"/>
  <c r="AF554" i="2" l="1"/>
  <c r="AG554" i="2" s="1"/>
  <c r="AH554" i="2" s="1"/>
  <c r="W554" i="2"/>
  <c r="F566" i="2"/>
  <c r="O555" i="2" l="1"/>
  <c r="H566" i="2"/>
  <c r="I566" i="2" s="1"/>
  <c r="T555" i="2" l="1"/>
  <c r="W555" i="2"/>
  <c r="E50" i="3" s="1"/>
  <c r="AF555" i="2"/>
  <c r="AG555" i="2" s="1"/>
  <c r="AH555" i="2" s="1"/>
  <c r="F567" i="2"/>
  <c r="O556" i="2" l="1"/>
  <c r="G50" i="3"/>
  <c r="I50" i="3" s="1"/>
  <c r="F50" i="3"/>
  <c r="K50" i="3" s="1"/>
  <c r="H567" i="2"/>
  <c r="I567" i="2" s="1"/>
  <c r="L50" i="3" l="1"/>
  <c r="AF556" i="2"/>
  <c r="AG556" i="2" s="1"/>
  <c r="AH556" i="2" s="1"/>
  <c r="W556" i="2"/>
  <c r="F568" i="2"/>
  <c r="O557" i="2" l="1"/>
  <c r="H568" i="2"/>
  <c r="P567" i="2"/>
  <c r="I568" i="2" l="1"/>
  <c r="F569" i="2" s="1"/>
  <c r="AF557" i="2"/>
  <c r="AG557" i="2" s="1"/>
  <c r="AH557" i="2" s="1"/>
  <c r="W557" i="2"/>
  <c r="O558" i="2" l="1"/>
  <c r="H569" i="2"/>
  <c r="I569" i="2" l="1"/>
  <c r="F570" i="2" s="1"/>
  <c r="AF558" i="2"/>
  <c r="AG558" i="2" s="1"/>
  <c r="AH558" i="2" s="1"/>
  <c r="W558" i="2"/>
  <c r="O559" i="2" l="1"/>
  <c r="H570" i="2"/>
  <c r="I570" i="2" l="1"/>
  <c r="AF559" i="2"/>
  <c r="AG559" i="2" s="1"/>
  <c r="AH559" i="2" s="1"/>
  <c r="W559" i="2"/>
  <c r="F571" i="2"/>
  <c r="O560" i="2" l="1"/>
  <c r="H571" i="2"/>
  <c r="I571" i="2" l="1"/>
  <c r="AF560" i="2"/>
  <c r="AG560" i="2" s="1"/>
  <c r="AH560" i="2" s="1"/>
  <c r="W560" i="2"/>
  <c r="F572" i="2"/>
  <c r="O561" i="2" l="1"/>
  <c r="H572" i="2"/>
  <c r="I572" i="2" l="1"/>
  <c r="F573" i="2" s="1"/>
  <c r="AF561" i="2"/>
  <c r="AG561" i="2" s="1"/>
  <c r="AH561" i="2" s="1"/>
  <c r="W561" i="2"/>
  <c r="O562" i="2" l="1"/>
  <c r="H573" i="2"/>
  <c r="I573" i="2" l="1"/>
  <c r="F574" i="2" s="1"/>
  <c r="W562" i="2"/>
  <c r="AF562" i="2"/>
  <c r="AG562" i="2" s="1"/>
  <c r="AH562" i="2" s="1"/>
  <c r="O563" i="2" l="1"/>
  <c r="H574" i="2"/>
  <c r="I574" i="2" s="1"/>
  <c r="AF563" i="2" l="1"/>
  <c r="AG563" i="2" s="1"/>
  <c r="AH563" i="2" s="1"/>
  <c r="W563" i="2"/>
  <c r="F575" i="2"/>
  <c r="O564" i="2" l="1"/>
  <c r="H575" i="2"/>
  <c r="I575" i="2" s="1"/>
  <c r="AF564" i="2" l="1"/>
  <c r="AG564" i="2" s="1"/>
  <c r="AH564" i="2" s="1"/>
  <c r="W564" i="2"/>
  <c r="F576" i="2"/>
  <c r="O565" i="2" l="1"/>
  <c r="H576" i="2"/>
  <c r="I576" i="2" s="1"/>
  <c r="W565" i="2" l="1"/>
  <c r="AF565" i="2"/>
  <c r="AG565" i="2" s="1"/>
  <c r="AH565" i="2" s="1"/>
  <c r="F577" i="2"/>
  <c r="O566" i="2" l="1"/>
  <c r="H577" i="2"/>
  <c r="I577" i="2" s="1"/>
  <c r="AF566" i="2" l="1"/>
  <c r="AG566" i="2" s="1"/>
  <c r="AH566" i="2" s="1"/>
  <c r="W566" i="2"/>
  <c r="F578" i="2"/>
  <c r="O567" i="2" l="1"/>
  <c r="H578" i="2"/>
  <c r="I578" i="2" s="1"/>
  <c r="T567" i="2" l="1"/>
  <c r="AF567" i="2"/>
  <c r="AG567" i="2" s="1"/>
  <c r="AH567" i="2" s="1"/>
  <c r="W567" i="2"/>
  <c r="E51" i="3" s="1"/>
  <c r="F579" i="2"/>
  <c r="O568" i="2" l="1"/>
  <c r="G51" i="3"/>
  <c r="I51" i="3" s="1"/>
  <c r="F51" i="3"/>
  <c r="K51" i="3" s="1"/>
  <c r="H579" i="2"/>
  <c r="I579" i="2" s="1"/>
  <c r="L51" i="3" l="1"/>
  <c r="AF568" i="2"/>
  <c r="AG568" i="2" s="1"/>
  <c r="AH568" i="2" s="1"/>
  <c r="W568" i="2"/>
  <c r="F580" i="2"/>
  <c r="O569" i="2" l="1"/>
  <c r="H580" i="2"/>
  <c r="P579" i="2"/>
  <c r="I580" i="2" l="1"/>
  <c r="F581" i="2" s="1"/>
  <c r="AF569" i="2"/>
  <c r="AG569" i="2" s="1"/>
  <c r="AH569" i="2" s="1"/>
  <c r="W569" i="2"/>
  <c r="O570" i="2" l="1"/>
  <c r="H581" i="2"/>
  <c r="I581" i="2" l="1"/>
  <c r="F582" i="2" s="1"/>
  <c r="AF570" i="2"/>
  <c r="AG570" i="2" s="1"/>
  <c r="AH570" i="2" s="1"/>
  <c r="W570" i="2"/>
  <c r="O571" i="2" l="1"/>
  <c r="H582" i="2"/>
  <c r="I582" i="2" l="1"/>
  <c r="F583" i="2" s="1"/>
  <c r="AF571" i="2"/>
  <c r="AG571" i="2" s="1"/>
  <c r="AH571" i="2" s="1"/>
  <c r="W571" i="2"/>
  <c r="O572" i="2" l="1"/>
  <c r="H583" i="2"/>
  <c r="I583" i="2" l="1"/>
  <c r="F584" i="2" s="1"/>
  <c r="W572" i="2"/>
  <c r="AF572" i="2"/>
  <c r="AG572" i="2" s="1"/>
  <c r="AH572" i="2" s="1"/>
  <c r="O573" i="2" l="1"/>
  <c r="H584" i="2"/>
  <c r="I584" i="2" l="1"/>
  <c r="F585" i="2" s="1"/>
  <c r="W573" i="2"/>
  <c r="AF573" i="2"/>
  <c r="AG573" i="2" s="1"/>
  <c r="AH573" i="2" s="1"/>
  <c r="O574" i="2" l="1"/>
  <c r="H585" i="2"/>
  <c r="I585" i="2" l="1"/>
  <c r="F586" i="2" s="1"/>
  <c r="W574" i="2"/>
  <c r="AF574" i="2"/>
  <c r="AG574" i="2" s="1"/>
  <c r="AH574" i="2" s="1"/>
  <c r="O575" i="2" l="1"/>
  <c r="H586" i="2"/>
  <c r="I586" i="2" s="1"/>
  <c r="W575" i="2" l="1"/>
  <c r="AF575" i="2"/>
  <c r="AG575" i="2" s="1"/>
  <c r="AH575" i="2" s="1"/>
  <c r="F587" i="2"/>
  <c r="O576" i="2" l="1"/>
  <c r="H587" i="2"/>
  <c r="I587" i="2" s="1"/>
  <c r="W576" i="2" l="1"/>
  <c r="AF576" i="2"/>
  <c r="AG576" i="2" s="1"/>
  <c r="AH576" i="2" s="1"/>
  <c r="F588" i="2"/>
  <c r="O577" i="2" l="1"/>
  <c r="H588" i="2"/>
  <c r="I588" i="2" s="1"/>
  <c r="W577" i="2" l="1"/>
  <c r="AF577" i="2"/>
  <c r="AG577" i="2" s="1"/>
  <c r="AH577" i="2" s="1"/>
  <c r="F589" i="2"/>
  <c r="O578" i="2" l="1"/>
  <c r="H589" i="2"/>
  <c r="I589" i="2" s="1"/>
  <c r="W578" i="2" l="1"/>
  <c r="AF578" i="2"/>
  <c r="AG578" i="2" s="1"/>
  <c r="AH578" i="2" s="1"/>
  <c r="F590" i="2"/>
  <c r="O579" i="2" l="1"/>
  <c r="H590" i="2"/>
  <c r="I590" i="2" s="1"/>
  <c r="T579" i="2" l="1"/>
  <c r="W579" i="2"/>
  <c r="E52" i="3" s="1"/>
  <c r="AF579" i="2"/>
  <c r="AG579" i="2" s="1"/>
  <c r="AH579" i="2" s="1"/>
  <c r="F591" i="2"/>
  <c r="O580" i="2" l="1"/>
  <c r="G52" i="3"/>
  <c r="I52" i="3" s="1"/>
  <c r="F52" i="3"/>
  <c r="K52" i="3" s="1"/>
  <c r="H591" i="2"/>
  <c r="I591" i="2" s="1"/>
  <c r="L52" i="3" l="1"/>
  <c r="W580" i="2"/>
  <c r="AF580" i="2"/>
  <c r="AG580" i="2" s="1"/>
  <c r="AH580" i="2" s="1"/>
  <c r="F592" i="2"/>
  <c r="O581" i="2" l="1"/>
  <c r="H592" i="2"/>
  <c r="P591" i="2"/>
  <c r="I592" i="2" l="1"/>
  <c r="F593" i="2" s="1"/>
  <c r="W581" i="2"/>
  <c r="AF581" i="2"/>
  <c r="AG581" i="2" s="1"/>
  <c r="AH581" i="2" s="1"/>
  <c r="O582" i="2" l="1"/>
  <c r="H593" i="2"/>
  <c r="I593" i="2" l="1"/>
  <c r="F594" i="2" s="1"/>
  <c r="W582" i="2"/>
  <c r="AF582" i="2"/>
  <c r="AG582" i="2" s="1"/>
  <c r="AH582" i="2" s="1"/>
  <c r="O583" i="2" l="1"/>
  <c r="H594" i="2"/>
  <c r="I594" i="2" l="1"/>
  <c r="F595" i="2" s="1"/>
  <c r="W583" i="2"/>
  <c r="AF583" i="2"/>
  <c r="AG583" i="2" s="1"/>
  <c r="AH583" i="2" s="1"/>
  <c r="O584" i="2" l="1"/>
  <c r="H595" i="2"/>
  <c r="I595" i="2" l="1"/>
  <c r="F596" i="2" s="1"/>
  <c r="W584" i="2"/>
  <c r="AF584" i="2"/>
  <c r="AG584" i="2" s="1"/>
  <c r="AH584" i="2" s="1"/>
  <c r="O585" i="2" l="1"/>
  <c r="H596" i="2"/>
  <c r="I596" i="2" l="1"/>
  <c r="F597" i="2" s="1"/>
  <c r="W585" i="2"/>
  <c r="AF585" i="2"/>
  <c r="AG585" i="2" s="1"/>
  <c r="AH585" i="2" s="1"/>
  <c r="O586" i="2" l="1"/>
  <c r="H597" i="2"/>
  <c r="I597" i="2" l="1"/>
  <c r="F598" i="2" s="1"/>
  <c r="W586" i="2"/>
  <c r="AF586" i="2"/>
  <c r="AG586" i="2" s="1"/>
  <c r="AH586" i="2" s="1"/>
  <c r="O587" i="2" l="1"/>
  <c r="H598" i="2"/>
  <c r="I598" i="2" s="1"/>
  <c r="W587" i="2" l="1"/>
  <c r="AF587" i="2"/>
  <c r="AG587" i="2" s="1"/>
  <c r="AH587" i="2" s="1"/>
  <c r="F599" i="2"/>
  <c r="O588" i="2" l="1"/>
  <c r="H599" i="2"/>
  <c r="I599" i="2" s="1"/>
  <c r="W588" i="2" l="1"/>
  <c r="AF588" i="2"/>
  <c r="AG588" i="2" s="1"/>
  <c r="AH588" i="2" s="1"/>
  <c r="F600" i="2"/>
  <c r="O589" i="2" l="1"/>
  <c r="H600" i="2"/>
  <c r="I600" i="2" s="1"/>
  <c r="W589" i="2" l="1"/>
  <c r="AF589" i="2"/>
  <c r="AG589" i="2" s="1"/>
  <c r="AH589" i="2" s="1"/>
  <c r="F601" i="2"/>
  <c r="O590" i="2" l="1"/>
  <c r="H601" i="2"/>
  <c r="I601" i="2" s="1"/>
  <c r="W590" i="2" l="1"/>
  <c r="AF590" i="2"/>
  <c r="AG590" i="2" s="1"/>
  <c r="AH590" i="2" s="1"/>
  <c r="F602" i="2"/>
  <c r="O591" i="2" l="1"/>
  <c r="H602" i="2"/>
  <c r="I602" i="2" s="1"/>
  <c r="T591" i="2" l="1"/>
  <c r="W591" i="2"/>
  <c r="E53" i="3" s="1"/>
  <c r="AF591" i="2"/>
  <c r="AG591" i="2" s="1"/>
  <c r="AH591" i="2" s="1"/>
  <c r="F603" i="2"/>
  <c r="O592" i="2" l="1"/>
  <c r="G53" i="3"/>
  <c r="I53" i="3" s="1"/>
  <c r="F53" i="3"/>
  <c r="K53" i="3" s="1"/>
  <c r="H603" i="2"/>
  <c r="I603" i="2" s="1"/>
  <c r="L53" i="3" l="1"/>
  <c r="AF592" i="2"/>
  <c r="AG592" i="2" s="1"/>
  <c r="AH592" i="2" s="1"/>
  <c r="W592" i="2"/>
  <c r="F604" i="2"/>
  <c r="O593" i="2" l="1"/>
  <c r="H604" i="2"/>
  <c r="P603" i="2"/>
  <c r="I604" i="2" l="1"/>
  <c r="F605" i="2" s="1"/>
  <c r="AF593" i="2"/>
  <c r="AG593" i="2" s="1"/>
  <c r="AH593" i="2" s="1"/>
  <c r="W593" i="2"/>
  <c r="O594" i="2" l="1"/>
  <c r="H605" i="2"/>
  <c r="I605" i="2" l="1"/>
  <c r="F606" i="2" s="1"/>
  <c r="AF594" i="2"/>
  <c r="AG594" i="2" s="1"/>
  <c r="AH594" i="2" s="1"/>
  <c r="W594" i="2"/>
  <c r="O595" i="2" l="1"/>
  <c r="H606" i="2"/>
  <c r="I606" i="2" l="1"/>
  <c r="F607" i="2" s="1"/>
  <c r="AF595" i="2"/>
  <c r="AG595" i="2" s="1"/>
  <c r="AH595" i="2" s="1"/>
  <c r="W595" i="2"/>
  <c r="O596" i="2" l="1"/>
  <c r="H607" i="2"/>
  <c r="I607" i="2" l="1"/>
  <c r="F608" i="2" s="1"/>
  <c r="AF596" i="2"/>
  <c r="AG596" i="2" s="1"/>
  <c r="AH596" i="2" s="1"/>
  <c r="W596" i="2"/>
  <c r="O597" i="2" l="1"/>
  <c r="H608" i="2"/>
  <c r="I608" i="2" l="1"/>
  <c r="F609" i="2" s="1"/>
  <c r="AF597" i="2"/>
  <c r="AG597" i="2" s="1"/>
  <c r="AH597" i="2" s="1"/>
  <c r="W597" i="2"/>
  <c r="O598" i="2" l="1"/>
  <c r="H609" i="2"/>
  <c r="I609" i="2" l="1"/>
  <c r="F610" i="2" s="1"/>
  <c r="AF598" i="2"/>
  <c r="AG598" i="2" s="1"/>
  <c r="AH598" i="2" s="1"/>
  <c r="W598" i="2"/>
  <c r="O599" i="2" l="1"/>
  <c r="H610" i="2"/>
  <c r="I610" i="2" s="1"/>
  <c r="AF599" i="2" l="1"/>
  <c r="AG599" i="2" s="1"/>
  <c r="AH599" i="2" s="1"/>
  <c r="W599" i="2"/>
  <c r="F611" i="2"/>
  <c r="O600" i="2" l="1"/>
  <c r="H611" i="2"/>
  <c r="I611" i="2" s="1"/>
  <c r="AF600" i="2" l="1"/>
  <c r="AG600" i="2" s="1"/>
  <c r="AH600" i="2" s="1"/>
  <c r="W600" i="2"/>
  <c r="F612" i="2"/>
  <c r="O601" i="2" l="1"/>
  <c r="H612" i="2"/>
  <c r="I612" i="2" s="1"/>
  <c r="AF601" i="2" l="1"/>
  <c r="AG601" i="2" s="1"/>
  <c r="AH601" i="2" s="1"/>
  <c r="W601" i="2"/>
  <c r="F613" i="2"/>
  <c r="O602" i="2" l="1"/>
  <c r="H613" i="2"/>
  <c r="I613" i="2" s="1"/>
  <c r="AF602" i="2" l="1"/>
  <c r="AG602" i="2" s="1"/>
  <c r="AH602" i="2" s="1"/>
  <c r="W602" i="2"/>
  <c r="F614" i="2"/>
  <c r="O603" i="2" l="1"/>
  <c r="H614" i="2"/>
  <c r="I614" i="2" s="1"/>
  <c r="T603" i="2" l="1"/>
  <c r="AF603" i="2"/>
  <c r="AG603" i="2" s="1"/>
  <c r="AH603" i="2" s="1"/>
  <c r="W603" i="2"/>
  <c r="F615" i="2"/>
  <c r="O604" i="2" l="1"/>
  <c r="G54" i="3"/>
  <c r="I54" i="3" s="1"/>
  <c r="E54" i="3"/>
  <c r="F54" i="3"/>
  <c r="H615" i="2"/>
  <c r="I615" i="2" s="1"/>
  <c r="L54" i="3" l="1"/>
  <c r="K54" i="3"/>
  <c r="AF604" i="2"/>
  <c r="AG604" i="2" s="1"/>
  <c r="AH604" i="2" s="1"/>
  <c r="W604" i="2"/>
  <c r="F616" i="2"/>
  <c r="O605" i="2" l="1"/>
  <c r="H616" i="2"/>
  <c r="P615" i="2"/>
  <c r="I616" i="2" l="1"/>
  <c r="F617" i="2" s="1"/>
  <c r="AF605" i="2"/>
  <c r="AG605" i="2" s="1"/>
  <c r="AH605" i="2" s="1"/>
  <c r="W605" i="2"/>
  <c r="O606" i="2" l="1"/>
  <c r="H617" i="2"/>
  <c r="I617" i="2" l="1"/>
  <c r="F618" i="2" s="1"/>
  <c r="AF606" i="2"/>
  <c r="AG606" i="2" s="1"/>
  <c r="AH606" i="2" s="1"/>
  <c r="W606" i="2"/>
  <c r="O607" i="2" l="1"/>
  <c r="H618" i="2"/>
  <c r="I618" i="2" l="1"/>
  <c r="F619" i="2" s="1"/>
  <c r="AF607" i="2"/>
  <c r="AG607" i="2" s="1"/>
  <c r="AH607" i="2" s="1"/>
  <c r="W607" i="2"/>
  <c r="O608" i="2" l="1"/>
  <c r="H619" i="2"/>
  <c r="I619" i="2" l="1"/>
  <c r="F620" i="2" s="1"/>
  <c r="AF608" i="2"/>
  <c r="AG608" i="2" s="1"/>
  <c r="AH608" i="2" s="1"/>
  <c r="W608" i="2"/>
  <c r="O609" i="2" l="1"/>
  <c r="H620" i="2"/>
  <c r="I620" i="2" l="1"/>
  <c r="F621" i="2" s="1"/>
  <c r="AF609" i="2"/>
  <c r="AG609" i="2" s="1"/>
  <c r="AH609" i="2" s="1"/>
  <c r="W609" i="2"/>
  <c r="O610" i="2" l="1"/>
  <c r="H621" i="2"/>
  <c r="I621" i="2" l="1"/>
  <c r="F622" i="2" s="1"/>
  <c r="AF610" i="2"/>
  <c r="AG610" i="2" s="1"/>
  <c r="AH610" i="2" s="1"/>
  <c r="W610" i="2"/>
  <c r="O611" i="2" l="1"/>
  <c r="H622" i="2"/>
  <c r="I622" i="2" s="1"/>
  <c r="AF611" i="2" l="1"/>
  <c r="AG611" i="2" s="1"/>
  <c r="AH611" i="2" s="1"/>
  <c r="W611" i="2"/>
  <c r="F623" i="2"/>
  <c r="O612" i="2" l="1"/>
  <c r="H623" i="2"/>
  <c r="I623" i="2" s="1"/>
  <c r="F624" i="2" l="1"/>
  <c r="AF612" i="2"/>
  <c r="AG612" i="2" s="1"/>
  <c r="AH612" i="2" s="1"/>
  <c r="W612" i="2"/>
  <c r="O613" i="2" l="1"/>
  <c r="H624" i="2"/>
  <c r="I624" i="2" s="1"/>
  <c r="AF613" i="2" l="1"/>
  <c r="AG613" i="2" s="1"/>
  <c r="AH613" i="2" s="1"/>
  <c r="W613" i="2"/>
  <c r="F625" i="2"/>
  <c r="O614" i="2" l="1"/>
  <c r="H625" i="2"/>
  <c r="I625" i="2" s="1"/>
  <c r="F626" i="2" l="1"/>
  <c r="AF614" i="2"/>
  <c r="AG614" i="2" s="1"/>
  <c r="AH614" i="2" s="1"/>
  <c r="W614" i="2"/>
  <c r="O615" i="2" l="1"/>
  <c r="H626" i="2"/>
  <c r="I626" i="2" s="1"/>
  <c r="T615" i="2" l="1"/>
  <c r="AF615" i="2"/>
  <c r="AG615" i="2" s="1"/>
  <c r="AH615" i="2" s="1"/>
  <c r="W615" i="2"/>
  <c r="E55" i="3" s="1"/>
  <c r="F627" i="2"/>
  <c r="O616" i="2" l="1"/>
  <c r="G55" i="3"/>
  <c r="L55" i="3" s="1"/>
  <c r="F55" i="3"/>
  <c r="K55" i="3" s="1"/>
  <c r="H627" i="2"/>
  <c r="I627" i="2" s="1"/>
  <c r="I55" i="3" l="1"/>
  <c r="AF616" i="2"/>
  <c r="AG616" i="2" s="1"/>
  <c r="AH616" i="2" s="1"/>
  <c r="W616" i="2"/>
  <c r="F628" i="2"/>
  <c r="O617" i="2" l="1"/>
  <c r="H628" i="2"/>
  <c r="P627" i="2"/>
  <c r="I628" i="2" l="1"/>
  <c r="F629" i="2" s="1"/>
  <c r="AF617" i="2"/>
  <c r="AG617" i="2" s="1"/>
  <c r="AH617" i="2" s="1"/>
  <c r="W617" i="2"/>
  <c r="O618" i="2" l="1"/>
  <c r="H629" i="2"/>
  <c r="I629" i="2" l="1"/>
  <c r="F630" i="2" s="1"/>
  <c r="AF618" i="2"/>
  <c r="AG618" i="2" s="1"/>
  <c r="AH618" i="2" s="1"/>
  <c r="W618" i="2"/>
  <c r="O619" i="2" l="1"/>
  <c r="H630" i="2"/>
  <c r="I630" i="2" l="1"/>
  <c r="F631" i="2" s="1"/>
  <c r="AF619" i="2"/>
  <c r="AG619" i="2" s="1"/>
  <c r="AH619" i="2" s="1"/>
  <c r="W619" i="2"/>
  <c r="O620" i="2" l="1"/>
  <c r="H631" i="2"/>
  <c r="I631" i="2" l="1"/>
  <c r="F632" i="2" s="1"/>
  <c r="AF620" i="2"/>
  <c r="AG620" i="2" s="1"/>
  <c r="AH620" i="2" s="1"/>
  <c r="W620" i="2"/>
  <c r="O621" i="2" l="1"/>
  <c r="H632" i="2"/>
  <c r="I632" i="2" l="1"/>
  <c r="F633" i="2" s="1"/>
  <c r="AF621" i="2"/>
  <c r="AG621" i="2" s="1"/>
  <c r="AH621" i="2" s="1"/>
  <c r="W621" i="2"/>
  <c r="O622" i="2" l="1"/>
  <c r="H633" i="2"/>
  <c r="I633" i="2" l="1"/>
  <c r="F634" i="2" s="1"/>
  <c r="AF622" i="2"/>
  <c r="AG622" i="2" s="1"/>
  <c r="AH622" i="2" s="1"/>
  <c r="W622" i="2"/>
  <c r="O623" i="2" l="1"/>
  <c r="H634" i="2"/>
  <c r="I634" i="2" s="1"/>
  <c r="AF623" i="2" l="1"/>
  <c r="AG623" i="2" s="1"/>
  <c r="AH623" i="2" s="1"/>
  <c r="W623" i="2"/>
  <c r="F635" i="2"/>
  <c r="O624" i="2" l="1"/>
  <c r="H635" i="2"/>
  <c r="I635" i="2" s="1"/>
  <c r="AF624" i="2" l="1"/>
  <c r="AG624" i="2" s="1"/>
  <c r="AH624" i="2" s="1"/>
  <c r="W624" i="2"/>
  <c r="F636" i="2"/>
  <c r="O625" i="2" l="1"/>
  <c r="H636" i="2"/>
  <c r="I636" i="2" s="1"/>
  <c r="AF625" i="2" l="1"/>
  <c r="AG625" i="2" s="1"/>
  <c r="AH625" i="2" s="1"/>
  <c r="W625" i="2"/>
  <c r="F637" i="2"/>
  <c r="O626" i="2" l="1"/>
  <c r="H637" i="2"/>
  <c r="I637" i="2" s="1"/>
  <c r="AF626" i="2" l="1"/>
  <c r="AG626" i="2" s="1"/>
  <c r="AH626" i="2" s="1"/>
  <c r="W626" i="2"/>
  <c r="F638" i="2"/>
  <c r="O627" i="2" l="1"/>
  <c r="H638" i="2"/>
  <c r="I638" i="2" s="1"/>
  <c r="T627" i="2" l="1"/>
  <c r="AF627" i="2"/>
  <c r="AG627" i="2" s="1"/>
  <c r="AH627" i="2" s="1"/>
  <c r="W627" i="2"/>
  <c r="E56" i="3" s="1"/>
  <c r="F639" i="2"/>
  <c r="O628" i="2" l="1"/>
  <c r="G56" i="3"/>
  <c r="I56" i="3" s="1"/>
  <c r="F56" i="3"/>
  <c r="K56" i="3" s="1"/>
  <c r="H639" i="2"/>
  <c r="I639" i="2" s="1"/>
  <c r="L56" i="3" l="1"/>
  <c r="AF628" i="2"/>
  <c r="AG628" i="2" s="1"/>
  <c r="AH628" i="2" s="1"/>
  <c r="W628" i="2"/>
  <c r="F640" i="2"/>
  <c r="O629" i="2" l="1"/>
  <c r="H640" i="2"/>
  <c r="P639" i="2"/>
  <c r="I640" i="2" l="1"/>
  <c r="F641" i="2" s="1"/>
  <c r="AF629" i="2"/>
  <c r="AG629" i="2" s="1"/>
  <c r="AH629" i="2" s="1"/>
  <c r="W629" i="2"/>
  <c r="O630" i="2" l="1"/>
  <c r="H641" i="2"/>
  <c r="I641" i="2" l="1"/>
  <c r="AF630" i="2"/>
  <c r="AG630" i="2" s="1"/>
  <c r="AH630" i="2" s="1"/>
  <c r="W630" i="2"/>
  <c r="F642" i="2"/>
  <c r="O631" i="2" l="1"/>
  <c r="H642" i="2"/>
  <c r="I642" i="2" l="1"/>
  <c r="F643" i="2" s="1"/>
  <c r="AF631" i="2"/>
  <c r="AG631" i="2" s="1"/>
  <c r="AH631" i="2" s="1"/>
  <c r="W631" i="2"/>
  <c r="O632" i="2" l="1"/>
  <c r="H643" i="2"/>
  <c r="I643" i="2" l="1"/>
  <c r="F644" i="2" s="1"/>
  <c r="AF632" i="2"/>
  <c r="AG632" i="2" s="1"/>
  <c r="AH632" i="2" s="1"/>
  <c r="W632" i="2"/>
  <c r="O633" i="2" l="1"/>
  <c r="H644" i="2"/>
  <c r="I644" i="2" l="1"/>
  <c r="F645" i="2" s="1"/>
  <c r="AF633" i="2"/>
  <c r="AG633" i="2" s="1"/>
  <c r="AH633" i="2" s="1"/>
  <c r="W633" i="2"/>
  <c r="O634" i="2" l="1"/>
  <c r="H645" i="2"/>
  <c r="I645" i="2" l="1"/>
  <c r="AF634" i="2"/>
  <c r="AG634" i="2" s="1"/>
  <c r="AH634" i="2" s="1"/>
  <c r="W634" i="2"/>
  <c r="F646" i="2"/>
  <c r="O635" i="2" l="1"/>
  <c r="H646" i="2"/>
  <c r="I646" i="2" s="1"/>
  <c r="AF635" i="2" l="1"/>
  <c r="AG635" i="2" s="1"/>
  <c r="AH635" i="2" s="1"/>
  <c r="W635" i="2"/>
  <c r="F647" i="2"/>
  <c r="O636" i="2" l="1"/>
  <c r="H647" i="2"/>
  <c r="I647" i="2" s="1"/>
  <c r="AF636" i="2" l="1"/>
  <c r="AG636" i="2" s="1"/>
  <c r="AH636" i="2" s="1"/>
  <c r="W636" i="2"/>
  <c r="F648" i="2"/>
  <c r="O637" i="2" l="1"/>
  <c r="H648" i="2"/>
  <c r="I648" i="2" s="1"/>
  <c r="F649" i="2" l="1"/>
  <c r="AF637" i="2"/>
  <c r="AG637" i="2" s="1"/>
  <c r="AH637" i="2" s="1"/>
  <c r="W637" i="2"/>
  <c r="O638" i="2" l="1"/>
  <c r="H649" i="2"/>
  <c r="I649" i="2" s="1"/>
  <c r="AF638" i="2" l="1"/>
  <c r="AG638" i="2" s="1"/>
  <c r="AH638" i="2" s="1"/>
  <c r="W638" i="2"/>
  <c r="F650" i="2"/>
  <c r="O639" i="2" l="1"/>
  <c r="H650" i="2"/>
  <c r="I650" i="2" s="1"/>
  <c r="T639" i="2" l="1"/>
  <c r="AF639" i="2"/>
  <c r="AG639" i="2" s="1"/>
  <c r="AH639" i="2" s="1"/>
  <c r="W639" i="2"/>
  <c r="E57" i="3" s="1"/>
  <c r="F651" i="2"/>
  <c r="O640" i="2" l="1"/>
  <c r="G57" i="3"/>
  <c r="L57" i="3" s="1"/>
  <c r="F57" i="3"/>
  <c r="K57" i="3" s="1"/>
  <c r="H651" i="2"/>
  <c r="I651" i="2" s="1"/>
  <c r="I57" i="3" l="1"/>
  <c r="AF640" i="2"/>
  <c r="AG640" i="2" s="1"/>
  <c r="AH640" i="2" s="1"/>
  <c r="W640" i="2"/>
  <c r="F652" i="2"/>
  <c r="O641" i="2" l="1"/>
  <c r="H652" i="2"/>
  <c r="P651" i="2"/>
  <c r="I652" i="2" l="1"/>
  <c r="F653" i="2" s="1"/>
  <c r="AF641" i="2"/>
  <c r="AG641" i="2" s="1"/>
  <c r="AH641" i="2" s="1"/>
  <c r="W641" i="2"/>
  <c r="O642" i="2" l="1"/>
  <c r="H653" i="2"/>
  <c r="I653" i="2" l="1"/>
  <c r="F654" i="2" s="1"/>
  <c r="AF642" i="2"/>
  <c r="AG642" i="2" s="1"/>
  <c r="AH642" i="2" s="1"/>
  <c r="W642" i="2"/>
  <c r="O643" i="2" l="1"/>
  <c r="H654" i="2"/>
  <c r="I654" i="2" l="1"/>
  <c r="F655" i="2" s="1"/>
  <c r="AF643" i="2"/>
  <c r="AG643" i="2" s="1"/>
  <c r="AH643" i="2" s="1"/>
  <c r="W643" i="2"/>
  <c r="O644" i="2" l="1"/>
  <c r="H655" i="2"/>
  <c r="I655" i="2" l="1"/>
  <c r="F656" i="2" s="1"/>
  <c r="AF644" i="2"/>
  <c r="AG644" i="2" s="1"/>
  <c r="AH644" i="2" s="1"/>
  <c r="W644" i="2"/>
  <c r="O645" i="2" l="1"/>
  <c r="H656" i="2"/>
  <c r="I656" i="2" l="1"/>
  <c r="F657" i="2" s="1"/>
  <c r="AF645" i="2"/>
  <c r="AG645" i="2" s="1"/>
  <c r="AH645" i="2" s="1"/>
  <c r="W645" i="2"/>
  <c r="O646" i="2" l="1"/>
  <c r="H657" i="2"/>
  <c r="I657" i="2" l="1"/>
  <c r="AF646" i="2"/>
  <c r="AG646" i="2" s="1"/>
  <c r="AH646" i="2" s="1"/>
  <c r="W646" i="2"/>
  <c r="F658" i="2"/>
  <c r="O647" i="2" l="1"/>
  <c r="H658" i="2"/>
  <c r="I658" i="2" s="1"/>
  <c r="AF647" i="2" l="1"/>
  <c r="AG647" i="2" s="1"/>
  <c r="AH647" i="2" s="1"/>
  <c r="W647" i="2"/>
  <c r="F659" i="2"/>
  <c r="O648" i="2" l="1"/>
  <c r="H659" i="2"/>
  <c r="I659" i="2" s="1"/>
  <c r="AF648" i="2" l="1"/>
  <c r="AG648" i="2" s="1"/>
  <c r="AH648" i="2" s="1"/>
  <c r="W648" i="2"/>
  <c r="F660" i="2"/>
  <c r="O649" i="2" l="1"/>
  <c r="H660" i="2"/>
  <c r="I660" i="2" s="1"/>
  <c r="AF649" i="2" l="1"/>
  <c r="AG649" i="2" s="1"/>
  <c r="AH649" i="2" s="1"/>
  <c r="W649" i="2"/>
  <c r="F661" i="2"/>
  <c r="O650" i="2" l="1"/>
  <c r="H661" i="2"/>
  <c r="I661" i="2" s="1"/>
  <c r="AF650" i="2" l="1"/>
  <c r="AG650" i="2" s="1"/>
  <c r="AH650" i="2" s="1"/>
  <c r="W650" i="2"/>
  <c r="F662" i="2"/>
  <c r="O651" i="2" l="1"/>
  <c r="H662" i="2"/>
  <c r="I662" i="2" s="1"/>
  <c r="T651" i="2" l="1"/>
  <c r="AF651" i="2"/>
  <c r="AG651" i="2" s="1"/>
  <c r="AH651" i="2" s="1"/>
  <c r="W651" i="2"/>
  <c r="E58" i="3" s="1"/>
  <c r="F663" i="2"/>
  <c r="O652" i="2" l="1"/>
  <c r="G58" i="3"/>
  <c r="L58" i="3" s="1"/>
  <c r="F58" i="3"/>
  <c r="K58" i="3" s="1"/>
  <c r="H663" i="2"/>
  <c r="I663" i="2" s="1"/>
  <c r="I58" i="3" l="1"/>
  <c r="AF652" i="2"/>
  <c r="AG652" i="2" s="1"/>
  <c r="AH652" i="2" s="1"/>
  <c r="W652" i="2"/>
  <c r="F664" i="2"/>
  <c r="O653" i="2" l="1"/>
  <c r="H664" i="2"/>
  <c r="P663" i="2"/>
  <c r="I664" i="2" l="1"/>
  <c r="F665" i="2" s="1"/>
  <c r="AF653" i="2"/>
  <c r="AG653" i="2" s="1"/>
  <c r="AH653" i="2" s="1"/>
  <c r="W653" i="2"/>
  <c r="O654" i="2" l="1"/>
  <c r="H665" i="2"/>
  <c r="I665" i="2" l="1"/>
  <c r="F666" i="2" s="1"/>
  <c r="AF654" i="2"/>
  <c r="AG654" i="2" s="1"/>
  <c r="AH654" i="2" s="1"/>
  <c r="W654" i="2"/>
  <c r="O655" i="2" l="1"/>
  <c r="H666" i="2"/>
  <c r="I666" i="2" l="1"/>
  <c r="F667" i="2" s="1"/>
  <c r="AF655" i="2"/>
  <c r="AG655" i="2" s="1"/>
  <c r="AH655" i="2" s="1"/>
  <c r="W655" i="2"/>
  <c r="O656" i="2" l="1"/>
  <c r="H667" i="2"/>
  <c r="I667" i="2" l="1"/>
  <c r="F668" i="2" s="1"/>
  <c r="AF656" i="2"/>
  <c r="AG656" i="2" s="1"/>
  <c r="AH656" i="2" s="1"/>
  <c r="W656" i="2"/>
  <c r="O657" i="2" l="1"/>
  <c r="H668" i="2"/>
  <c r="I668" i="2" l="1"/>
  <c r="F669" i="2" s="1"/>
  <c r="AF657" i="2"/>
  <c r="AG657" i="2" s="1"/>
  <c r="AH657" i="2" s="1"/>
  <c r="W657" i="2"/>
  <c r="O658" i="2" l="1"/>
  <c r="H669" i="2"/>
  <c r="I669" i="2" l="1"/>
  <c r="AF658" i="2"/>
  <c r="AG658" i="2" s="1"/>
  <c r="AH658" i="2" s="1"/>
  <c r="W658" i="2"/>
  <c r="F670" i="2"/>
  <c r="O659" i="2" l="1"/>
  <c r="H670" i="2"/>
  <c r="I670" i="2" s="1"/>
  <c r="AF659" i="2" l="1"/>
  <c r="AG659" i="2" s="1"/>
  <c r="AH659" i="2" s="1"/>
  <c r="W659" i="2"/>
  <c r="F671" i="2"/>
  <c r="O660" i="2" l="1"/>
  <c r="H671" i="2"/>
  <c r="I671" i="2" s="1"/>
  <c r="AF660" i="2" l="1"/>
  <c r="AG660" i="2" s="1"/>
  <c r="AH660" i="2" s="1"/>
  <c r="W660" i="2"/>
  <c r="F672" i="2"/>
  <c r="O661" i="2" l="1"/>
  <c r="H672" i="2"/>
  <c r="I672" i="2" s="1"/>
  <c r="AF661" i="2" l="1"/>
  <c r="AG661" i="2" s="1"/>
  <c r="AH661" i="2" s="1"/>
  <c r="W661" i="2"/>
  <c r="F673" i="2"/>
  <c r="O662" i="2" l="1"/>
  <c r="H673" i="2"/>
  <c r="I673" i="2" s="1"/>
  <c r="F674" i="2" l="1"/>
  <c r="AF662" i="2"/>
  <c r="AG662" i="2" s="1"/>
  <c r="AH662" i="2" s="1"/>
  <c r="W662" i="2"/>
  <c r="O663" i="2" l="1"/>
  <c r="H674" i="2"/>
  <c r="I674" i="2" s="1"/>
  <c r="T663" i="2" l="1"/>
  <c r="AF663" i="2"/>
  <c r="AG663" i="2" s="1"/>
  <c r="AH663" i="2" s="1"/>
  <c r="F675" i="2"/>
  <c r="O664" i="2" l="1"/>
  <c r="G59" i="3"/>
  <c r="L59" i="3" s="1"/>
  <c r="W663" i="2"/>
  <c r="E59" i="3" s="1"/>
  <c r="F59" i="3"/>
  <c r="H675" i="2"/>
  <c r="I675" i="2" s="1"/>
  <c r="I59" i="3" l="1"/>
  <c r="K59" i="3"/>
  <c r="AF664" i="2"/>
  <c r="AG664" i="2" s="1"/>
  <c r="AH664" i="2" s="1"/>
  <c r="W664" i="2"/>
  <c r="F676" i="2"/>
  <c r="O665" i="2" l="1"/>
  <c r="H676" i="2"/>
  <c r="P675" i="2"/>
  <c r="I676" i="2" l="1"/>
  <c r="F677" i="2" s="1"/>
  <c r="AF665" i="2"/>
  <c r="AG665" i="2" s="1"/>
  <c r="AH665" i="2" s="1"/>
  <c r="W665" i="2"/>
  <c r="O666" i="2" l="1"/>
  <c r="H677" i="2"/>
  <c r="I677" i="2" l="1"/>
  <c r="F678" i="2" s="1"/>
  <c r="AF666" i="2"/>
  <c r="AG666" i="2" s="1"/>
  <c r="AH666" i="2" s="1"/>
  <c r="W666" i="2"/>
  <c r="O667" i="2" l="1"/>
  <c r="H678" i="2"/>
  <c r="I678" i="2" l="1"/>
  <c r="W667" i="2"/>
  <c r="AF667" i="2"/>
  <c r="AG667" i="2" s="1"/>
  <c r="AH667" i="2" s="1"/>
  <c r="F679" i="2"/>
  <c r="O668" i="2" l="1"/>
  <c r="H679" i="2"/>
  <c r="I679" i="2" l="1"/>
  <c r="F680" i="2" s="1"/>
  <c r="AF668" i="2"/>
  <c r="AG668" i="2" s="1"/>
  <c r="AH668" i="2" s="1"/>
  <c r="W668" i="2"/>
  <c r="O669" i="2" l="1"/>
  <c r="H680" i="2"/>
  <c r="I680" i="2" l="1"/>
  <c r="F681" i="2" s="1"/>
  <c r="AF669" i="2"/>
  <c r="AG669" i="2" s="1"/>
  <c r="AH669" i="2" s="1"/>
  <c r="W669" i="2"/>
  <c r="O670" i="2" l="1"/>
  <c r="H681" i="2"/>
  <c r="I681" i="2" l="1"/>
  <c r="F682" i="2" s="1"/>
  <c r="AF670" i="2"/>
  <c r="AG670" i="2" s="1"/>
  <c r="AH670" i="2" s="1"/>
  <c r="W670" i="2"/>
  <c r="O671" i="2" l="1"/>
  <c r="H682" i="2"/>
  <c r="I682" i="2" s="1"/>
  <c r="F683" i="2" l="1"/>
  <c r="AF671" i="2"/>
  <c r="AG671" i="2" s="1"/>
  <c r="AH671" i="2" s="1"/>
  <c r="W671" i="2"/>
  <c r="O672" i="2" l="1"/>
  <c r="H683" i="2"/>
  <c r="I683" i="2" s="1"/>
  <c r="F684" i="2" l="1"/>
  <c r="AF672" i="2"/>
  <c r="AG672" i="2" s="1"/>
  <c r="AH672" i="2" s="1"/>
  <c r="W672" i="2"/>
  <c r="O673" i="2" l="1"/>
  <c r="H684" i="2"/>
  <c r="I684" i="2" s="1"/>
  <c r="AF673" i="2" l="1"/>
  <c r="AG673" i="2" s="1"/>
  <c r="AH673" i="2" s="1"/>
  <c r="W673" i="2"/>
  <c r="F685" i="2"/>
  <c r="O674" i="2" l="1"/>
  <c r="H685" i="2"/>
  <c r="I685" i="2" s="1"/>
  <c r="AF674" i="2" l="1"/>
  <c r="AG674" i="2" s="1"/>
  <c r="AH674" i="2" s="1"/>
  <c r="W674" i="2"/>
  <c r="F686" i="2"/>
  <c r="O675" i="2" l="1"/>
  <c r="H686" i="2"/>
  <c r="I686" i="2" s="1"/>
  <c r="T675" i="2" l="1"/>
  <c r="AF675" i="2"/>
  <c r="AG675" i="2" s="1"/>
  <c r="AH675" i="2" s="1"/>
  <c r="W675" i="2"/>
  <c r="E60" i="3" s="1"/>
  <c r="F687" i="2"/>
  <c r="O676" i="2" l="1"/>
  <c r="G60" i="3"/>
  <c r="L60" i="3" s="1"/>
  <c r="F60" i="3"/>
  <c r="K60" i="3" s="1"/>
  <c r="H687" i="2"/>
  <c r="I687" i="2" s="1"/>
  <c r="I60" i="3" l="1"/>
  <c r="W676" i="2"/>
  <c r="AF676" i="2"/>
  <c r="AG676" i="2" s="1"/>
  <c r="AH676" i="2" s="1"/>
  <c r="F688" i="2"/>
  <c r="O677" i="2" l="1"/>
  <c r="H688" i="2"/>
  <c r="P687" i="2"/>
  <c r="I688" i="2" l="1"/>
  <c r="F689" i="2" s="1"/>
  <c r="W677" i="2"/>
  <c r="AF677" i="2"/>
  <c r="AG677" i="2" s="1"/>
  <c r="AH677" i="2" s="1"/>
  <c r="O678" i="2" l="1"/>
  <c r="H689" i="2"/>
  <c r="I689" i="2" l="1"/>
  <c r="F690" i="2" s="1"/>
  <c r="W678" i="2"/>
  <c r="AF678" i="2"/>
  <c r="AG678" i="2" s="1"/>
  <c r="AH678" i="2" s="1"/>
  <c r="O679" i="2" l="1"/>
  <c r="H690" i="2"/>
  <c r="I690" i="2" l="1"/>
  <c r="F691" i="2" s="1"/>
  <c r="AF679" i="2"/>
  <c r="AG679" i="2" s="1"/>
  <c r="AH679" i="2" s="1"/>
  <c r="W679" i="2"/>
  <c r="O680" i="2" l="1"/>
  <c r="H691" i="2"/>
  <c r="I691" i="2" l="1"/>
  <c r="F692" i="2" s="1"/>
  <c r="AF680" i="2"/>
  <c r="AG680" i="2" s="1"/>
  <c r="AH680" i="2" s="1"/>
  <c r="W680" i="2"/>
  <c r="O681" i="2" l="1"/>
  <c r="H692" i="2"/>
  <c r="I692" i="2" l="1"/>
  <c r="F693" i="2" s="1"/>
  <c r="AF681" i="2"/>
  <c r="AG681" i="2" s="1"/>
  <c r="AH681" i="2" s="1"/>
  <c r="W681" i="2"/>
  <c r="O682" i="2" l="1"/>
  <c r="H693" i="2"/>
  <c r="I693" i="2" l="1"/>
  <c r="W682" i="2"/>
  <c r="AF682" i="2"/>
  <c r="AG682" i="2" s="1"/>
  <c r="AH682" i="2" s="1"/>
  <c r="F694" i="2"/>
  <c r="O683" i="2" l="1"/>
  <c r="H694" i="2"/>
  <c r="I694" i="2" s="1"/>
  <c r="AF683" i="2" l="1"/>
  <c r="AG683" i="2" s="1"/>
  <c r="AH683" i="2" s="1"/>
  <c r="W683" i="2"/>
  <c r="F695" i="2"/>
  <c r="O684" i="2" l="1"/>
  <c r="H695" i="2"/>
  <c r="I695" i="2" s="1"/>
  <c r="AF684" i="2" l="1"/>
  <c r="AG684" i="2" s="1"/>
  <c r="AH684" i="2" s="1"/>
  <c r="W684" i="2"/>
  <c r="F696" i="2"/>
  <c r="O685" i="2" l="1"/>
  <c r="H696" i="2"/>
  <c r="I696" i="2" s="1"/>
  <c r="W685" i="2" l="1"/>
  <c r="AF685" i="2"/>
  <c r="AG685" i="2" s="1"/>
  <c r="AH685" i="2" s="1"/>
  <c r="F697" i="2"/>
  <c r="O686" i="2" l="1"/>
  <c r="H697" i="2"/>
  <c r="I697" i="2" s="1"/>
  <c r="W686" i="2" l="1"/>
  <c r="AF686" i="2"/>
  <c r="AG686" i="2" s="1"/>
  <c r="AH686" i="2" s="1"/>
  <c r="F698" i="2"/>
  <c r="O687" i="2" l="1"/>
  <c r="H698" i="2"/>
  <c r="I698" i="2" s="1"/>
  <c r="T687" i="2" l="1"/>
  <c r="F699" i="2"/>
  <c r="AF687" i="2"/>
  <c r="AG687" i="2" s="1"/>
  <c r="AH687" i="2" s="1"/>
  <c r="W687" i="2"/>
  <c r="E61" i="3" s="1"/>
  <c r="O688" i="2" l="1"/>
  <c r="G61" i="3"/>
  <c r="L61" i="3" s="1"/>
  <c r="F61" i="3"/>
  <c r="K61" i="3" s="1"/>
  <c r="H699" i="2"/>
  <c r="I699" i="2" s="1"/>
  <c r="I61" i="3" l="1"/>
  <c r="AF688" i="2"/>
  <c r="AG688" i="2" s="1"/>
  <c r="AH688" i="2" s="1"/>
  <c r="W688" i="2"/>
  <c r="F700" i="2"/>
  <c r="O689" i="2" l="1"/>
  <c r="H700" i="2"/>
  <c r="P699" i="2"/>
  <c r="I700" i="2" l="1"/>
  <c r="F701" i="2" s="1"/>
  <c r="W689" i="2"/>
  <c r="AF689" i="2"/>
  <c r="AG689" i="2" s="1"/>
  <c r="AH689" i="2" s="1"/>
  <c r="O690" i="2" l="1"/>
  <c r="H701" i="2"/>
  <c r="I701" i="2" l="1"/>
  <c r="F702" i="2" s="1"/>
  <c r="AF690" i="2"/>
  <c r="AG690" i="2" s="1"/>
  <c r="AH690" i="2" s="1"/>
  <c r="W690" i="2"/>
  <c r="O691" i="2" l="1"/>
  <c r="H702" i="2"/>
  <c r="I702" i="2" l="1"/>
  <c r="F703" i="2" s="1"/>
  <c r="AF691" i="2"/>
  <c r="AG691" i="2" s="1"/>
  <c r="AH691" i="2" s="1"/>
  <c r="W691" i="2"/>
  <c r="O692" i="2" l="1"/>
  <c r="H703" i="2"/>
  <c r="I703" i="2" l="1"/>
  <c r="AF692" i="2"/>
  <c r="AG692" i="2" s="1"/>
  <c r="AH692" i="2" s="1"/>
  <c r="W692" i="2"/>
  <c r="F704" i="2"/>
  <c r="O693" i="2" l="1"/>
  <c r="H704" i="2"/>
  <c r="I704" i="2" l="1"/>
  <c r="F705" i="2" s="1"/>
  <c r="W693" i="2"/>
  <c r="AF693" i="2"/>
  <c r="AG693" i="2" s="1"/>
  <c r="AH693" i="2" s="1"/>
  <c r="O694" i="2" l="1"/>
  <c r="H705" i="2"/>
  <c r="I705" i="2" l="1"/>
  <c r="F706" i="2" s="1"/>
  <c r="AF694" i="2"/>
  <c r="AG694" i="2" s="1"/>
  <c r="AH694" i="2" s="1"/>
  <c r="W694" i="2"/>
  <c r="O695" i="2" l="1"/>
  <c r="H706" i="2"/>
  <c r="I706" i="2" s="1"/>
  <c r="W695" i="2" l="1"/>
  <c r="AF695" i="2"/>
  <c r="AG695" i="2" s="1"/>
  <c r="AH695" i="2" s="1"/>
  <c r="F707" i="2"/>
  <c r="O696" i="2" l="1"/>
  <c r="H707" i="2"/>
  <c r="I707" i="2" s="1"/>
  <c r="AF696" i="2" l="1"/>
  <c r="AG696" i="2" s="1"/>
  <c r="AH696" i="2" s="1"/>
  <c r="W696" i="2"/>
  <c r="F708" i="2"/>
  <c r="O697" i="2" l="1"/>
  <c r="H708" i="2"/>
  <c r="I708" i="2" s="1"/>
  <c r="W697" i="2" l="1"/>
  <c r="AF697" i="2"/>
  <c r="AG697" i="2" s="1"/>
  <c r="AH697" i="2" s="1"/>
  <c r="F709" i="2"/>
  <c r="O698" i="2" l="1"/>
  <c r="H709" i="2"/>
  <c r="I709" i="2" s="1"/>
  <c r="W698" i="2" l="1"/>
  <c r="AF698" i="2"/>
  <c r="AG698" i="2" s="1"/>
  <c r="AH698" i="2" s="1"/>
  <c r="F710" i="2"/>
  <c r="O699" i="2" l="1"/>
  <c r="H710" i="2"/>
  <c r="I710" i="2" s="1"/>
  <c r="T699" i="2" l="1"/>
  <c r="W699" i="2"/>
  <c r="E62" i="3" s="1"/>
  <c r="AF699" i="2"/>
  <c r="AG699" i="2" s="1"/>
  <c r="AH699" i="2" s="1"/>
  <c r="F711" i="2"/>
  <c r="O700" i="2" l="1"/>
  <c r="G62" i="3"/>
  <c r="L62" i="3" s="1"/>
  <c r="F62" i="3"/>
  <c r="K62" i="3" s="1"/>
  <c r="H711" i="2"/>
  <c r="I711" i="2" s="1"/>
  <c r="I62" i="3" l="1"/>
  <c r="W700" i="2"/>
  <c r="AF700" i="2"/>
  <c r="AG700" i="2" s="1"/>
  <c r="AH700" i="2" s="1"/>
  <c r="F712" i="2"/>
  <c r="O701" i="2" l="1"/>
  <c r="H712" i="2"/>
  <c r="P711" i="2"/>
  <c r="I712" i="2" l="1"/>
  <c r="F713" i="2" s="1"/>
  <c r="AF701" i="2"/>
  <c r="AG701" i="2" s="1"/>
  <c r="AH701" i="2" s="1"/>
  <c r="W701" i="2"/>
  <c r="O702" i="2" l="1"/>
  <c r="H713" i="2"/>
  <c r="I713" i="2" l="1"/>
  <c r="F714" i="2" s="1"/>
  <c r="W702" i="2"/>
  <c r="AF702" i="2"/>
  <c r="AG702" i="2" s="1"/>
  <c r="AH702" i="2" s="1"/>
  <c r="O703" i="2" l="1"/>
  <c r="H714" i="2"/>
  <c r="I714" i="2" l="1"/>
  <c r="F715" i="2" s="1"/>
  <c r="AF703" i="2"/>
  <c r="AG703" i="2" s="1"/>
  <c r="AH703" i="2" s="1"/>
  <c r="W703" i="2"/>
  <c r="O704" i="2" l="1"/>
  <c r="H715" i="2"/>
  <c r="I715" i="2" l="1"/>
  <c r="F716" i="2" s="1"/>
  <c r="AF704" i="2"/>
  <c r="AG704" i="2" s="1"/>
  <c r="AH704" i="2" s="1"/>
  <c r="W704" i="2"/>
  <c r="O705" i="2" l="1"/>
  <c r="H716" i="2"/>
  <c r="I716" i="2" l="1"/>
  <c r="F717" i="2" s="1"/>
  <c r="AF705" i="2"/>
  <c r="AG705" i="2" s="1"/>
  <c r="AH705" i="2" s="1"/>
  <c r="W705" i="2"/>
  <c r="O706" i="2" l="1"/>
  <c r="H717" i="2"/>
  <c r="I717" i="2" l="1"/>
  <c r="F718" i="2" s="1"/>
  <c r="AF706" i="2"/>
  <c r="AG706" i="2" s="1"/>
  <c r="AH706" i="2" s="1"/>
  <c r="W706" i="2"/>
  <c r="O707" i="2" l="1"/>
  <c r="H718" i="2"/>
  <c r="I718" i="2" s="1"/>
  <c r="AF707" i="2" l="1"/>
  <c r="AG707" i="2" s="1"/>
  <c r="AH707" i="2" s="1"/>
  <c r="W707" i="2"/>
  <c r="F719" i="2"/>
  <c r="O708" i="2" l="1"/>
  <c r="H719" i="2"/>
  <c r="I719" i="2" s="1"/>
  <c r="AF708" i="2" l="1"/>
  <c r="AG708" i="2" s="1"/>
  <c r="AH708" i="2" s="1"/>
  <c r="W708" i="2"/>
  <c r="F720" i="2"/>
  <c r="O709" i="2" l="1"/>
  <c r="H720" i="2"/>
  <c r="I720" i="2" s="1"/>
  <c r="F721" i="2" l="1"/>
  <c r="W709" i="2"/>
  <c r="AF709" i="2"/>
  <c r="AG709" i="2" s="1"/>
  <c r="AH709" i="2" s="1"/>
  <c r="O710" i="2" l="1"/>
  <c r="H721" i="2"/>
  <c r="I721" i="2" s="1"/>
  <c r="W710" i="2" l="1"/>
  <c r="AF710" i="2"/>
  <c r="AG710" i="2" s="1"/>
  <c r="AH710" i="2" s="1"/>
  <c r="F722" i="2"/>
  <c r="O711" i="2" l="1"/>
  <c r="H722" i="2"/>
  <c r="I722" i="2" s="1"/>
  <c r="T711" i="2" l="1"/>
  <c r="W711" i="2"/>
  <c r="E63" i="3" s="1"/>
  <c r="AF711" i="2"/>
  <c r="AG711" i="2" s="1"/>
  <c r="AH711" i="2" s="1"/>
  <c r="F723" i="2"/>
  <c r="O723" i="2" l="1"/>
  <c r="I16" i="15" s="1"/>
  <c r="O712" i="2"/>
  <c r="O713" i="2"/>
  <c r="O714" i="2"/>
  <c r="O715" i="2"/>
  <c r="O716" i="2"/>
  <c r="O717" i="2"/>
  <c r="O722" i="2"/>
  <c r="O721" i="2"/>
  <c r="O719" i="2"/>
  <c r="O720" i="2"/>
  <c r="O718" i="2"/>
  <c r="G63" i="3"/>
  <c r="L63" i="3" s="1"/>
  <c r="B7" i="15"/>
  <c r="B7" i="13"/>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F63" i="3"/>
  <c r="K63" i="3" s="1"/>
  <c r="H723" i="2"/>
  <c r="P723" i="2"/>
  <c r="I63" i="3" l="1"/>
  <c r="I66" i="15"/>
  <c r="I7" i="15"/>
  <c r="B16" i="13"/>
  <c r="I8" i="15"/>
  <c r="I9" i="15"/>
  <c r="I10" i="15"/>
  <c r="I11" i="15"/>
  <c r="I12" i="15"/>
  <c r="I13" i="15"/>
  <c r="I14" i="15"/>
  <c r="I15"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R43" i="13"/>
  <c r="B54" i="13"/>
  <c r="I723" i="2"/>
  <c r="C7" i="15"/>
  <c r="B8" i="13"/>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T723" i="2"/>
  <c r="G64" i="3" s="1"/>
  <c r="AF716" i="2"/>
  <c r="AG716" i="2" s="1"/>
  <c r="AF718" i="2"/>
  <c r="AG718" i="2" s="1"/>
  <c r="AF715" i="2"/>
  <c r="AG715" i="2" s="1"/>
  <c r="AF720" i="2"/>
  <c r="AG720" i="2" s="1"/>
  <c r="AF714" i="2"/>
  <c r="AG714" i="2" s="1"/>
  <c r="AF713" i="2"/>
  <c r="AG713" i="2" s="1"/>
  <c r="AF719" i="2"/>
  <c r="AG719" i="2" s="1"/>
  <c r="AF712" i="2"/>
  <c r="AG712" i="2" s="1"/>
  <c r="AH712" i="2" s="1"/>
  <c r="AH713" i="2" s="1"/>
  <c r="AH714" i="2" s="1"/>
  <c r="AF721" i="2"/>
  <c r="AG721" i="2" s="1"/>
  <c r="AF722" i="2"/>
  <c r="AG722" i="2" s="1"/>
  <c r="AF717" i="2"/>
  <c r="AG717" i="2" s="1"/>
  <c r="AF723" i="2"/>
  <c r="AG723" i="2" s="1"/>
  <c r="N7" i="15" l="1"/>
  <c r="B17" i="13"/>
  <c r="B51" i="13" s="1"/>
  <c r="AH715" i="2"/>
  <c r="AH716" i="2" s="1"/>
  <c r="AH717" i="2" s="1"/>
  <c r="AH718" i="2" s="1"/>
  <c r="AH719" i="2" s="1"/>
  <c r="AH720" i="2" s="1"/>
  <c r="AH721" i="2" s="1"/>
  <c r="AH722" i="2" s="1"/>
  <c r="AH723" i="2" s="1"/>
  <c r="C32" i="13" s="1"/>
  <c r="I64" i="3"/>
  <c r="L64" i="3"/>
  <c r="W712" i="2"/>
  <c r="C8" i="13" l="1"/>
  <c r="C16" i="13"/>
  <c r="B30" i="13"/>
  <c r="C10" i="13"/>
  <c r="C14" i="13"/>
  <c r="O43" i="13"/>
  <c r="C11" i="13"/>
  <c r="C7" i="13"/>
  <c r="C9" i="13"/>
  <c r="C12" i="13"/>
  <c r="C13" i="13"/>
  <c r="C15" i="13"/>
  <c r="I36" i="1"/>
  <c r="F43" i="13" s="1"/>
  <c r="F64" i="3"/>
  <c r="O36" i="1"/>
  <c r="J43" i="13" s="1"/>
  <c r="W713" i="2"/>
  <c r="C17" i="13" l="1"/>
  <c r="B43" i="13"/>
  <c r="C34" i="13" s="1"/>
  <c r="W714" i="2"/>
  <c r="W715" i="2" l="1"/>
  <c r="W716" i="2" l="1"/>
  <c r="W717" i="2" l="1"/>
  <c r="W718" i="2" l="1"/>
  <c r="W719" i="2" l="1"/>
  <c r="W720" i="2" l="1"/>
  <c r="W721" i="2" l="1"/>
  <c r="W722" i="2" l="1"/>
  <c r="W723" i="2" l="1"/>
  <c r="H36" i="1" s="1"/>
  <c r="L36" i="1"/>
  <c r="E64" i="3" l="1"/>
  <c r="K64" i="3" s="1"/>
  <c r="N36" i="1" s="1"/>
  <c r="I43" i="13" s="1"/>
  <c r="B42" i="13"/>
  <c r="E43" i="13"/>
  <c r="B49" i="13"/>
  <c r="M43" i="13"/>
  <c r="M36" i="1"/>
  <c r="K36" i="1"/>
  <c r="J36" i="1"/>
  <c r="N43" i="13" l="1"/>
  <c r="B50" i="13"/>
  <c r="H43" i="13"/>
  <c r="G43" i="13"/>
  <c r="B34" i="13"/>
  <c r="B44" i="13"/>
  <c r="B4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9" authorId="0" shapeId="0" xr:uid="{8F51EF8C-CF31-7F4E-B287-1001AB52FB32}">
      <text>
        <r>
          <rPr>
            <b/>
            <sz val="9"/>
            <color indexed="8"/>
            <rFont val="Geneva"/>
            <family val="2"/>
            <charset val="1"/>
          </rPr>
          <t>Aswath Damodaran:</t>
        </r>
        <r>
          <rPr>
            <sz val="9"/>
            <color indexed="8"/>
            <rFont val="Geneva"/>
            <family val="2"/>
            <charset val="1"/>
          </rPr>
          <t xml:space="preserve">
</t>
        </r>
        <r>
          <rPr>
            <sz val="9"/>
            <color indexed="8"/>
            <rFont val="Geneva"/>
            <family val="2"/>
            <charset val="1"/>
          </rPr>
          <t xml:space="preserve">ST: Short term (Treasury bill)
</t>
        </r>
        <r>
          <rPr>
            <sz val="9"/>
            <color indexed="8"/>
            <rFont val="Geneva"/>
            <family val="2"/>
            <charset val="1"/>
          </rPr>
          <t>LT: Long term (Treasury bond)</t>
        </r>
      </text>
    </comment>
    <comment ref="D10" authorId="0" shapeId="0" xr:uid="{2E54CC91-5FE0-1646-93BB-A9B7A6439452}">
      <text>
        <r>
          <rPr>
            <b/>
            <sz val="9"/>
            <color indexed="8"/>
            <rFont val="Geneva"/>
            <family val="2"/>
            <charset val="1"/>
          </rPr>
          <t>Aswath Damodaran:</t>
        </r>
        <r>
          <rPr>
            <sz val="9"/>
            <color indexed="8"/>
            <rFont val="Geneva"/>
            <family val="2"/>
            <charset val="1"/>
          </rPr>
          <t xml:space="preserve">
</t>
        </r>
        <r>
          <rPr>
            <sz val="9"/>
            <color indexed="8"/>
            <rFont val="Geneva"/>
            <family val="2"/>
            <charset val="1"/>
          </rPr>
          <t>The risk premium will be computed from this year to the current year.</t>
        </r>
      </text>
    </comment>
  </commentList>
</comments>
</file>

<file path=xl/sharedStrings.xml><?xml version="1.0" encoding="utf-8"?>
<sst xmlns="http://schemas.openxmlformats.org/spreadsheetml/2006/main" count="794" uniqueCount="389">
  <si>
    <t>Mortgage</t>
  </si>
  <si>
    <t>Renting</t>
  </si>
  <si>
    <t>Output</t>
  </si>
  <si>
    <t>period</t>
  </si>
  <si>
    <t>year</t>
  </si>
  <si>
    <t>Month</t>
  </si>
  <si>
    <t>Mortgage payment</t>
  </si>
  <si>
    <t>Mortgage interest</t>
  </si>
  <si>
    <t>Mortgage insurance</t>
  </si>
  <si>
    <t>Mortgage principal</t>
  </si>
  <si>
    <t>Mortgage debt</t>
  </si>
  <si>
    <t>Property value</t>
  </si>
  <si>
    <t>house repairs</t>
  </si>
  <si>
    <t>OR/ flat fees/other fees</t>
  </si>
  <si>
    <t>purchase cost</t>
  </si>
  <si>
    <t>selling cost</t>
  </si>
  <si>
    <t>Interest Tax benefit COST</t>
  </si>
  <si>
    <t>Interest Tax benefit CF</t>
  </si>
  <si>
    <t>Realestate tax</t>
  </si>
  <si>
    <t>Costs  before investing</t>
  </si>
  <si>
    <t>annual costs before investing</t>
  </si>
  <si>
    <t>New investment</t>
  </si>
  <si>
    <t>Investment hodling</t>
  </si>
  <si>
    <t>NETWORTH</t>
  </si>
  <si>
    <t>Rent</t>
  </si>
  <si>
    <t>Insurance</t>
  </si>
  <si>
    <t>Deposit CF</t>
  </si>
  <si>
    <t>moving cost</t>
  </si>
  <si>
    <t>costs before investing</t>
  </si>
  <si>
    <t>Saving vs Mo.</t>
  </si>
  <si>
    <t>new investment</t>
  </si>
  <si>
    <t>NETWORTH(invest.)</t>
  </si>
  <si>
    <t>Totalvalue</t>
  </si>
  <si>
    <t>Annual costs</t>
  </si>
  <si>
    <t>Annual CF</t>
  </si>
  <si>
    <t>Cumulative CF</t>
  </si>
  <si>
    <t>Input assumption</t>
  </si>
  <si>
    <t>Unit</t>
  </si>
  <si>
    <t>Buying</t>
  </si>
  <si>
    <t>(monthly reculculation if applicable)</t>
  </si>
  <si>
    <t>Flatprice</t>
  </si>
  <si>
    <t>czk</t>
  </si>
  <si>
    <t>LTV</t>
  </si>
  <si>
    <t>%</t>
  </si>
  <si>
    <t>Interest(annual)</t>
  </si>
  <si>
    <t>Time to maturity</t>
  </si>
  <si>
    <t>years</t>
  </si>
  <si>
    <t>Mortgage Insurance (% of mortgage payment)</t>
  </si>
  <si>
    <t>Repairs(annual % of property value)</t>
  </si>
  <si>
    <t>Other fees(house admin, repair fund, monthly)</t>
  </si>
  <si>
    <t>Purchase costs</t>
  </si>
  <si>
    <t>Selling costs</t>
  </si>
  <si>
    <t>Relestate tax (annual)</t>
  </si>
  <si>
    <t>Interest Tax deduction limit</t>
  </si>
  <si>
    <t>DSTI</t>
  </si>
  <si>
    <t>Monthly rent</t>
  </si>
  <si>
    <t>Deposit</t>
  </si>
  <si>
    <t>months of rent</t>
  </si>
  <si>
    <t>Moving(how often)</t>
  </si>
  <si>
    <t>Moving cost</t>
  </si>
  <si>
    <t>Macro</t>
  </si>
  <si>
    <t>Inflation</t>
  </si>
  <si>
    <t>Rent growth</t>
  </si>
  <si>
    <t>Real estate price growth</t>
  </si>
  <si>
    <t>Investment growth</t>
  </si>
  <si>
    <t>Further assumptions</t>
  </si>
  <si>
    <t>Time horizont</t>
  </si>
  <si>
    <t>Outputs</t>
  </si>
  <si>
    <t>Buy</t>
  </si>
  <si>
    <t>Difference</t>
  </si>
  <si>
    <t>Winner</t>
  </si>
  <si>
    <t>Terminal netwroth</t>
  </si>
  <si>
    <t>Monthly mortgage payment</t>
  </si>
  <si>
    <t>Required net income(based on DSTI)</t>
  </si>
  <si>
    <t>Year</t>
  </si>
  <si>
    <t>Buy Net worth CZK</t>
  </si>
  <si>
    <t>Rent Net worth CZK</t>
  </si>
  <si>
    <t xml:space="preserve">Buy annaul cost </t>
  </si>
  <si>
    <t>Rent annual cost</t>
  </si>
  <si>
    <t>BUy avg. monthly cost given year</t>
  </si>
  <si>
    <t>Rent avg. monthly cost given year</t>
  </si>
  <si>
    <t>Sensitivity testing inputs</t>
  </si>
  <si>
    <t>Mortgage interest rate</t>
  </si>
  <si>
    <t>Investment return</t>
  </si>
  <si>
    <t>Case</t>
  </si>
  <si>
    <t>variable changed</t>
  </si>
  <si>
    <t>value</t>
  </si>
  <si>
    <t>baseline</t>
  </si>
  <si>
    <t>/</t>
  </si>
  <si>
    <t>BUY</t>
  </si>
  <si>
    <t>M1</t>
  </si>
  <si>
    <t>M2</t>
  </si>
  <si>
    <t>M3</t>
  </si>
  <si>
    <t>M4</t>
  </si>
  <si>
    <t>RENT</t>
  </si>
  <si>
    <t>RG1</t>
  </si>
  <si>
    <t>RG2</t>
  </si>
  <si>
    <t>RG3</t>
  </si>
  <si>
    <t>RG4</t>
  </si>
  <si>
    <t>PG1</t>
  </si>
  <si>
    <t>PG2</t>
  </si>
  <si>
    <t>PG3</t>
  </si>
  <si>
    <t>PG4</t>
  </si>
  <si>
    <t>IR1</t>
  </si>
  <si>
    <t>Inv. Ret.</t>
  </si>
  <si>
    <t>IR2</t>
  </si>
  <si>
    <t>IR3</t>
  </si>
  <si>
    <t>IR4</t>
  </si>
  <si>
    <t>Rep1</t>
  </si>
  <si>
    <t>Rep2</t>
  </si>
  <si>
    <t>SVJ1</t>
  </si>
  <si>
    <t>SVJ2</t>
  </si>
  <si>
    <t>Repairs</t>
  </si>
  <si>
    <t>SVJ fees</t>
  </si>
  <si>
    <t>SVJ</t>
  </si>
  <si>
    <t>RESULTS</t>
  </si>
  <si>
    <t>BASELINE INPUTS</t>
  </si>
  <si>
    <t/>
  </si>
  <si>
    <t>renting is winning from the 26 to 30th year</t>
  </si>
  <si>
    <t xml:space="preserve">BRNO BASELINE </t>
  </si>
  <si>
    <t>base</t>
  </si>
  <si>
    <t>Annual costs in year</t>
  </si>
  <si>
    <t>Net worth
Crossover year</t>
  </si>
  <si>
    <t>Annual costs
Crossover year</t>
  </si>
  <si>
    <t>Buy liquidity</t>
  </si>
  <si>
    <t>Buy liqudity in %</t>
  </si>
  <si>
    <t>NetWCrossover</t>
  </si>
  <si>
    <t>ACost corover</t>
  </si>
  <si>
    <t>Prague baseline detail</t>
  </si>
  <si>
    <t>Brno costs</t>
  </si>
  <si>
    <t>LTV 80</t>
  </si>
  <si>
    <t>The Range column shows the total swing in the buy-rent difference across the tested range of each variable.</t>
  </si>
  <si>
    <t>Note: "Diff at low" = Buy NW minus Rent NW when the variable is at its low test value. Negative values mean renting wins.</t>
  </si>
  <si>
    <t>4,000</t>
  </si>
  <si>
    <t>2,000</t>
  </si>
  <si>
    <t>1.5%</t>
  </si>
  <si>
    <t>1.0%</t>
  </si>
  <si>
    <t>5.5%</t>
  </si>
  <si>
    <t>2.5%</t>
  </si>
  <si>
    <t>Mortgage rate</t>
  </si>
  <si>
    <t>7%</t>
  </si>
  <si>
    <t>3%</t>
  </si>
  <si>
    <t>RE price growth</t>
  </si>
  <si>
    <t>10%</t>
  </si>
  <si>
    <t>6%</t>
  </si>
  <si>
    <t>Range (CZK)</t>
  </si>
  <si>
    <t>Diff at high (CZK)</t>
  </si>
  <si>
    <t>Diff at low (CZK)</t>
  </si>
  <si>
    <t>Baseline diff (CZK)</t>
  </si>
  <si>
    <t>High value</t>
  </si>
  <si>
    <t>Low value</t>
  </si>
  <si>
    <t>Variable</t>
  </si>
  <si>
    <t>Tornado Chart: Impact of each variable on the Buy-Rent net worth difference</t>
  </si>
  <si>
    <t>Total monthly buy cost (CZK)</t>
  </si>
  <si>
    <t>Monthly ownership costs ex-mortgage (CZK)</t>
  </si>
  <si>
    <t>Monthly rent (CZK)</t>
  </si>
  <si>
    <t>Monthly mortgage (CZK)</t>
  </si>
  <si>
    <t>Monthly cost evolution: Mortgage payment vs Rent (nominal)</t>
  </si>
  <si>
    <t>price</t>
  </si>
  <si>
    <t>rent</t>
  </si>
  <si>
    <t>Prague</t>
  </si>
  <si>
    <t>Brno</t>
  </si>
  <si>
    <t>Ostrava</t>
  </si>
  <si>
    <t>Plzen</t>
  </si>
  <si>
    <t>HRadec</t>
  </si>
  <si>
    <t>Liberec</t>
  </si>
  <si>
    <t>pbc</t>
  </si>
  <si>
    <t>olom</t>
  </si>
  <si>
    <t>ČB</t>
  </si>
  <si>
    <t>KV</t>
  </si>
  <si>
    <t>zlin</t>
  </si>
  <si>
    <t>usti nad labem</t>
  </si>
  <si>
    <t>jihlava</t>
  </si>
  <si>
    <t>Difference vs prague</t>
  </si>
  <si>
    <t>property insurance</t>
  </si>
  <si>
    <t>Property insurance (annual)</t>
  </si>
  <si>
    <t>CUMULATIVE BUY-SIDE COSTS (over full horizon)</t>
  </si>
  <si>
    <t>Component</t>
  </si>
  <si>
    <t>Total (CZK)</t>
  </si>
  <si>
    <t>% of cash</t>
  </si>
  <si>
    <t>Payment protection insurance</t>
  </si>
  <si>
    <t>Property insurance</t>
  </si>
  <si>
    <t>Admin / SVJ fees</t>
  </si>
  <si>
    <t>Real estate tax</t>
  </si>
  <si>
    <t>Purchase cost (one-time)</t>
  </si>
  <si>
    <t>Selling cost (one-time)</t>
  </si>
  <si>
    <t>Tax benefit from interest deduction</t>
  </si>
  <si>
    <t>TOTAL BUY CASH PAID</t>
  </si>
  <si>
    <t>CUMULATIVE RENT-SIDE COSTS (over full horizon)</t>
  </si>
  <si>
    <t>Deposit cash flows (net)</t>
  </si>
  <si>
    <t>TOTAL RENT CASH PAID</t>
  </si>
  <si>
    <t>TERMINAL DECOMPOSITION (year 40)</t>
  </si>
  <si>
    <t>Total cash paid over horizon</t>
  </si>
  <si>
    <t>+ Terminal property value (net of selling)</t>
  </si>
  <si>
    <t>+ Terminal investment portfolio</t>
  </si>
  <si>
    <t>Terminal net worth</t>
  </si>
  <si>
    <t>CURRENT SCENARIO SNAPSHOT (for copying into sensitivity table)</t>
  </si>
  <si>
    <t>Buy terminal NW</t>
  </si>
  <si>
    <t>Rent terminal NW</t>
  </si>
  <si>
    <t>Advantage (buy - rent)</t>
  </si>
  <si>
    <t>Cost crossover year</t>
  </si>
  <si>
    <t>Required net income (DSTI)</t>
  </si>
  <si>
    <t>Buy liquid wealth</t>
  </si>
  <si>
    <t>Buy liquid % of NW</t>
  </si>
  <si>
    <t>Total buy cash paid</t>
  </si>
  <si>
    <t>Total rent cash paid</t>
  </si>
  <si>
    <t>Terminal property (net)</t>
  </si>
  <si>
    <t>Cum. mortgage interest</t>
  </si>
  <si>
    <t>Cum. property insurance</t>
  </si>
  <si>
    <t>Cum. repairs</t>
  </si>
  <si>
    <t>Cum. admin fees</t>
  </si>
  <si>
    <t>Cum. rent paid</t>
  </si>
  <si>
    <t>Cum. real estate tax</t>
  </si>
  <si>
    <t>Scenario</t>
  </si>
  <si>
    <t>Prague baseline</t>
  </si>
  <si>
    <t>Mortgage rate 2.5%</t>
  </si>
  <si>
    <t>Rent growth 3%</t>
  </si>
  <si>
    <t>Rent growth 4%</t>
  </si>
  <si>
    <t>Rent growth 6%</t>
  </si>
  <si>
    <t>Rent growth 7%</t>
  </si>
  <si>
    <t>Repairs 1.0%</t>
  </si>
  <si>
    <t>Repairs 1.5%</t>
  </si>
  <si>
    <t>Admin fees CZK 2,000</t>
  </si>
  <si>
    <t>Admin fees CZK 4,000</t>
  </si>
  <si>
    <t>LTV 80%</t>
  </si>
  <si>
    <t>LTV 70%</t>
  </si>
  <si>
    <t>Brno baseline</t>
  </si>
  <si>
    <t>BUY-SIDE ANNUAL COSTS</t>
  </si>
  <si>
    <t>Payment protection ins</t>
  </si>
  <si>
    <t>Admin/SVJ fees</t>
  </si>
  <si>
    <t>Tax benefit (negative)</t>
  </si>
  <si>
    <t>RENT-SIDE ANNUAL COSTS</t>
  </si>
  <si>
    <t>Deposit flows (net)</t>
  </si>
  <si>
    <t>Cros over NW</t>
  </si>
  <si>
    <t>xxxx</t>
  </si>
  <si>
    <t>property insurance 3000</t>
  </si>
  <si>
    <t>property insurance 5000</t>
  </si>
  <si>
    <t>payment insurance 6</t>
  </si>
  <si>
    <t>payment insurance 10</t>
  </si>
  <si>
    <t>tax rate</t>
  </si>
  <si>
    <t>TAX 23</t>
  </si>
  <si>
    <t>Advantage (buy/rent)</t>
  </si>
  <si>
    <t>Area adjustment</t>
  </si>
  <si>
    <t>#</t>
  </si>
  <si>
    <t>Cost</t>
  </si>
  <si>
    <t>Base coefieicent</t>
  </si>
  <si>
    <t>Local coeficient</t>
  </si>
  <si>
    <t>Flat area</t>
  </si>
  <si>
    <t>sqm</t>
  </si>
  <si>
    <t>BASELINE</t>
  </si>
  <si>
    <t>MORTGAGE RATE</t>
  </si>
  <si>
    <t>RENT GROWTH</t>
  </si>
  <si>
    <t>PRICE GROWTH</t>
  </si>
  <si>
    <t>INVESTMENT RETURN</t>
  </si>
  <si>
    <t>OWNERSHIP COSTS</t>
  </si>
  <si>
    <t>BRNO</t>
  </si>
  <si>
    <t>HORIZON IN YEARS</t>
  </si>
  <si>
    <t>Realizovane ceny pronajmu Byty</t>
  </si>
  <si>
    <t>Praha</t>
  </si>
  <si>
    <t>Toplak</t>
  </si>
  <si>
    <t xml:space="preserve">https://www.toplak.cz/dlouhodoby-pohled-na-vyvoj-cen-najmu/ </t>
  </si>
  <si>
    <t>sreality</t>
  </si>
  <si>
    <t>deloitte</t>
  </si>
  <si>
    <t>cagr 12-23</t>
  </si>
  <si>
    <t>cagr 12y</t>
  </si>
  <si>
    <t>cagr 4y</t>
  </si>
  <si>
    <t>4Q</t>
  </si>
  <si>
    <t>3Q</t>
  </si>
  <si>
    <t>2Q</t>
  </si>
  <si>
    <t>1Q/26</t>
  </si>
  <si>
    <t>1Q/25</t>
  </si>
  <si>
    <t>1Q/24</t>
  </si>
  <si>
    <t>1Q/23</t>
  </si>
  <si>
    <t>1Q/22</t>
  </si>
  <si>
    <t>1Q/21</t>
  </si>
  <si>
    <t>1Q/20</t>
  </si>
  <si>
    <t>1Q/19</t>
  </si>
  <si>
    <t>1Q/18</t>
  </si>
  <si>
    <t>1Q/17</t>
  </si>
  <si>
    <t>1Q/16</t>
  </si>
  <si>
    <t>1Q/15</t>
  </si>
  <si>
    <t>1Q/14</t>
  </si>
  <si>
    <t>1Q/13</t>
  </si>
  <si>
    <t>1Q/12</t>
  </si>
  <si>
    <t>1Q/11</t>
  </si>
  <si>
    <t>1Q/10</t>
  </si>
  <si>
    <t>1Q/09</t>
  </si>
  <si>
    <t>1Q/08</t>
  </si>
  <si>
    <t>1Q/07</t>
  </si>
  <si>
    <t>1Q/06</t>
  </si>
  <si>
    <t>1Q/05</t>
  </si>
  <si>
    <t xml:space="preserve">ČR bez Prahy </t>
  </si>
  <si>
    <t xml:space="preserve">ČR </t>
  </si>
  <si>
    <t>Indexy nabídkových cen bytů (průměr roku 2010=100)</t>
  </si>
  <si>
    <t>Cagr</t>
  </si>
  <si>
    <t>avg ratio of toplak x sreality</t>
  </si>
  <si>
    <t>Toplak data x ratio</t>
  </si>
  <si>
    <t>Buy or Rent model V8 David Bartoš</t>
  </si>
  <si>
    <t>Date updated:</t>
  </si>
  <si>
    <t>Created by:</t>
  </si>
  <si>
    <t>Aswath Damodaran, adamodar@stern.nyu.edu</t>
  </si>
  <si>
    <t>What is this data?</t>
  </si>
  <si>
    <t>Historical returns: Stocks, Bonds &amp; T.Bills with premiums</t>
  </si>
  <si>
    <t>In US Dollars</t>
  </si>
  <si>
    <t>Home Page:</t>
  </si>
  <si>
    <t>http://www.damodaran.com</t>
  </si>
  <si>
    <t>Data website:</t>
  </si>
  <si>
    <t>https://pages.stern.nyu.edu/~adamodar/New_Home_Page/data.html</t>
  </si>
  <si>
    <t>Companies in each industry:</t>
  </si>
  <si>
    <t>https://pages.stern.nyu.edu/~adamodar/pc/datasets/indname.xls</t>
  </si>
  <si>
    <t>Variable definitions:</t>
  </si>
  <si>
    <t>https://pages.stern.nyu.edu/~adamodar/New_Home_Page/datafile/variable.htm</t>
  </si>
  <si>
    <t>Customized Geometric risk premium estimator</t>
  </si>
  <si>
    <t>What is your riskfree rate?</t>
  </si>
  <si>
    <t>LT</t>
    <phoneticPr fontId="13" type="noConversion"/>
  </si>
  <si>
    <t>Estimates of risk premiums from 1928, over the last 50 years and over the last 10 years</t>
  </si>
  <si>
    <t>Enter your starting year</t>
  </si>
  <si>
    <t>Value of stocks in starting year:</t>
  </si>
  <si>
    <t>Value of T.Bills in starting year:</t>
    <phoneticPr fontId="13" type="noConversion"/>
  </si>
  <si>
    <t>Value of T.bonds in starting year:</t>
  </si>
  <si>
    <t>Value of Real estate in starting year</t>
  </si>
  <si>
    <t>Value of Gold in starting year</t>
  </si>
  <si>
    <t>Estimate of risk premium based on your inputs:</t>
  </si>
  <si>
    <t>Annual Returns on Investments in</t>
  </si>
  <si>
    <t>Value of $100 invested at start of 1928 in</t>
  </si>
  <si>
    <t>Annual Risk Premium</t>
  </si>
  <si>
    <t>Annual Real Returns</t>
  </si>
  <si>
    <t>Value of $100 invested at start of 1928 in real terms</t>
  </si>
  <si>
    <t>Real Risk Premium</t>
  </si>
  <si>
    <t>S&amp;P 500 (includes dividends)</t>
  </si>
  <si>
    <t>US Small cap (bottom decile)</t>
  </si>
  <si>
    <t>3-month T.Bill</t>
  </si>
  <si>
    <t>US T. Bond (10-year)</t>
  </si>
  <si>
    <t xml:space="preserve"> Baa Corporate Bond</t>
  </si>
  <si>
    <t>Real Estate</t>
  </si>
  <si>
    <t>Gold*</t>
  </si>
  <si>
    <t>S&amp;P 500 (includes dividends)3</t>
  </si>
  <si>
    <t>US Small cap (bottom decile) Cum Value</t>
  </si>
  <si>
    <t>3-month T.Bill4</t>
  </si>
  <si>
    <t>US T. Bond5</t>
  </si>
  <si>
    <t xml:space="preserve"> Baa Corporate Bond2</t>
  </si>
  <si>
    <t>Real Estate2</t>
  </si>
  <si>
    <t>Gold2</t>
  </si>
  <si>
    <t>Stocks - Bills</t>
  </si>
  <si>
    <t>Stocks - Bonds</t>
    <phoneticPr fontId="13" type="noConversion"/>
  </si>
  <si>
    <t>Small Cap Premium (S&amp;P 500 minus Bottom Decile)</t>
  </si>
  <si>
    <t>Stocks - Baa Corp Bond</t>
  </si>
  <si>
    <t>Historical ERP</t>
  </si>
  <si>
    <t>Inflation Rate</t>
  </si>
  <si>
    <t>S&amp;P 500 (includes dividends)2</t>
  </si>
  <si>
    <t>US Small cap (bottom decile)22</t>
  </si>
  <si>
    <t>3-month T. Bill (Real)</t>
  </si>
  <si>
    <t>!0-year T.Bonds</t>
  </si>
  <si>
    <t>Baa Corp Bonds</t>
  </si>
  <si>
    <t>Real Estate3</t>
  </si>
  <si>
    <t>Gold</t>
  </si>
  <si>
    <t>Stocks minus T. Bills</t>
  </si>
  <si>
    <t>Stocks minus T.Bonds</t>
  </si>
  <si>
    <t>Arithmetic Average Historical Return</t>
  </si>
  <si>
    <t>Equity Risk Premium (Arithmetic)</t>
  </si>
  <si>
    <t>Standard Error</t>
    <phoneticPr fontId="13" type="noConversion"/>
  </si>
  <si>
    <t>Small Cap Premium (Arithmetic)</t>
  </si>
  <si>
    <t>Arithmetic Average Annual Real Return</t>
  </si>
  <si>
    <t>1928-2025</t>
  </si>
  <si>
    <t>Stocks - T.Bills</t>
  </si>
  <si>
    <t>Stocks - T.Bonds</t>
  </si>
  <si>
    <t>S&amp;P 500 minus Lowest Decile</t>
  </si>
  <si>
    <t>Standard Error</t>
  </si>
  <si>
    <t>1976-2025</t>
  </si>
  <si>
    <t>2016-2025</t>
  </si>
  <si>
    <t>Geometric Average Historical Return</t>
  </si>
  <si>
    <t>Equity Risk Premium (Geometric)</t>
  </si>
  <si>
    <t>Small Cap Premium (Geometric)</t>
  </si>
  <si>
    <t>Note</t>
  </si>
  <si>
    <t>* Prior to 1971, gold prices were fixed and with the gold standard in place, and were mostly stable.</t>
  </si>
  <si>
    <t>CAGR</t>
  </si>
  <si>
    <t>1985-2025</t>
  </si>
  <si>
    <t>The excel includes:</t>
  </si>
  <si>
    <t>Input sheet:</t>
  </si>
  <si>
    <t>This is where all the relevant user facing variables are. Changing them influences the result and contorls the model. The sheet also includes basic graphs showing the progression of networth</t>
  </si>
  <si>
    <t>Calculations:</t>
  </si>
  <si>
    <t>Here the main claculations are located and the logic of the model can be understood based on the formulas here</t>
  </si>
  <si>
    <t>Results:</t>
  </si>
  <si>
    <t>Include the sensitivity decomposition (hardcoded from decompositon sheet E42 outputs), decomposition of the cashflows; initial result sheet that is used for the outputs and graphs.;annual cost matrix logic is used for the costdecompositon in years</t>
  </si>
  <si>
    <t>Data:</t>
  </si>
  <si>
    <t>Toplak adjusted</t>
  </si>
  <si>
    <t>Price data from Sreality; rent price from sreality and toplak;flat price from CSU; Damodaran SP500 data</t>
  </si>
  <si>
    <t>last updated May 2026</t>
  </si>
  <si>
    <t>Buy-versus-Rent Decision Support Model. Excel financial model developed for the Master's thesis Buy or Rent? Development of a Decision Support Tool for Czech Households (VŠE Prague, David Bartos, May 2026). Calibrated to Prague apartment market conditions as of Q1 2026 . Web version at https://vse-buyorrent.github.io/decision-tool/. Maintenance documented in Annex 1 of the 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</si>
</sst>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0\ &quot;CZK&quot;;[Red]\-#,##0\ &quot;CZK&quot;"/>
    <numFmt numFmtId="8" formatCode="#,##0.00\ &quot;CZK&quot;;[Red]\-#,##0.00\ &quot;CZK&quot;"/>
    <numFmt numFmtId="43" formatCode="_-* #,##0.00_-;\-* #,##0.00_-;_-* &quot;-&quot;??_-;_-@_-"/>
    <numFmt numFmtId="164" formatCode="_-* #,##0_-;\-* #,##0_-;_-* &quot;-&quot;??_-;_-@_-"/>
    <numFmt numFmtId="165" formatCode="0.0%"/>
    <numFmt numFmtId="166" formatCode="#,##0;\(#,##0\);\-"/>
    <numFmt numFmtId="167" formatCode="0.0%;\(0.0%\);\-"/>
    <numFmt numFmtId="168" formatCode="_-* #,##0.0_-;\-* #,##0.0_-;_-* &quot;-&quot;??_-;_-@_-"/>
    <numFmt numFmtId="169" formatCode="_-* #,##0.00\ _C_Z_K_-;\-* #,##0.00\ _C_Z_K_-;_-* &quot;-&quot;?\ _C_Z_K_-;_-@_-"/>
    <numFmt numFmtId="170" formatCode="0.0"/>
    <numFmt numFmtId="171" formatCode="_(&quot;$&quot;* #,##0.00_);_(&quot;$&quot;* \(#,##0.00\);_(&quot;$&quot;* &quot;-&quot;??_);_(@_)"/>
  </numFmts>
  <fonts count="63">
    <font>
      <sz val="12"/>
      <color theme="1"/>
      <name val="Aptos Narrow"/>
      <family val="2"/>
      <scheme val="minor"/>
    </font>
    <font>
      <sz val="12"/>
      <color theme="1"/>
      <name val="Aptos Narrow"/>
      <family val="2"/>
      <scheme val="minor"/>
    </font>
    <font>
      <sz val="12"/>
      <color theme="0"/>
      <name val="Aptos Narrow"/>
      <family val="2"/>
      <scheme val="minor"/>
    </font>
    <font>
      <b/>
      <sz val="12"/>
      <color theme="1"/>
      <name val="Aptos Narrow"/>
      <scheme val="minor"/>
    </font>
    <font>
      <b/>
      <sz val="12"/>
      <color theme="0"/>
      <name val="Aptos Narrow"/>
      <scheme val="minor"/>
    </font>
    <font>
      <sz val="12"/>
      <color theme="1"/>
      <name val="Aptos Narrow"/>
      <scheme val="minor"/>
    </font>
    <font>
      <b/>
      <sz val="12"/>
      <color rgb="FF0070C0"/>
      <name val="Aptos Narrow"/>
      <scheme val="minor"/>
    </font>
    <font>
      <sz val="12"/>
      <color rgb="FF0070C0"/>
      <name val="Aptos Narrow"/>
      <scheme val="minor"/>
    </font>
    <font>
      <sz val="12"/>
      <color rgb="FFFFC000"/>
      <name val="Aptos Narrow"/>
      <scheme val="minor"/>
    </font>
    <font>
      <b/>
      <sz val="12"/>
      <color rgb="FF000000"/>
      <name val="Aptos Narrow"/>
      <scheme val="minor"/>
    </font>
    <font>
      <sz val="12"/>
      <color rgb="FF000000"/>
      <name val="Aptos Narrow"/>
      <family val="2"/>
      <scheme val="minor"/>
    </font>
    <font>
      <u/>
      <sz val="12"/>
      <color theme="1"/>
      <name val="Aptos Narrow"/>
      <scheme val="minor"/>
    </font>
    <font>
      <b/>
      <sz val="12"/>
      <color rgb="FFEA7131"/>
      <name val="Aptos Narrow"/>
      <scheme val="minor"/>
    </font>
    <font>
      <sz val="12"/>
      <color rgb="FFEA7131"/>
      <name val="Aptos Narrow"/>
      <scheme val="minor"/>
    </font>
    <font>
      <sz val="11"/>
      <color theme="1"/>
      <name val="Aptos Narrow"/>
      <family val="2"/>
      <scheme val="minor"/>
    </font>
    <font>
      <i/>
      <sz val="10"/>
      <name val="Times New Roman"/>
      <family val="1"/>
    </font>
    <font>
      <sz val="11"/>
      <name val="Times New Roman"/>
      <family val="1"/>
    </font>
    <font>
      <b/>
      <sz val="11"/>
      <name val="Times New Roman"/>
      <family val="1"/>
    </font>
    <font>
      <b/>
      <sz val="12"/>
      <name val="Times New Roman"/>
      <family val="1"/>
    </font>
    <font>
      <sz val="11"/>
      <color rgb="FF000000"/>
      <name val="Arial"/>
      <family val="2"/>
    </font>
    <font>
      <b/>
      <sz val="12"/>
      <color rgb="FF000000"/>
      <name val="Arial"/>
      <family val="2"/>
    </font>
    <font>
      <sz val="12"/>
      <color rgb="FFFF0000"/>
      <name val="Aptos Narrow"/>
      <family val="2"/>
      <scheme val="minor"/>
    </font>
    <font>
      <sz val="11"/>
      <color theme="1"/>
      <name val="Calibri"/>
      <family val="2"/>
      <charset val="1"/>
    </font>
    <font>
      <sz val="10"/>
      <name val="Arial"/>
      <family val="2"/>
    </font>
    <font>
      <b/>
      <sz val="14"/>
      <name val="Arial"/>
      <family val="2"/>
    </font>
    <font>
      <i/>
      <sz val="9"/>
      <color rgb="FF666666"/>
      <name val="Arial"/>
      <family val="2"/>
    </font>
    <font>
      <b/>
      <sz val="10"/>
      <name val="Arial"/>
      <family val="2"/>
    </font>
    <font>
      <sz val="10"/>
      <color rgb="FF000000"/>
      <name val="Arial"/>
      <family val="2"/>
    </font>
    <font>
      <sz val="11"/>
      <name val="Calibri"/>
      <family val="2"/>
      <charset val="1"/>
    </font>
    <font>
      <b/>
      <sz val="10"/>
      <color theme="0"/>
      <name val="Arial"/>
      <family val="2"/>
    </font>
    <font>
      <i/>
      <sz val="9"/>
      <name val="Arial"/>
      <family val="2"/>
    </font>
    <font>
      <sz val="24"/>
      <color theme="1"/>
      <name val="Aptos Narrow"/>
      <family val="2"/>
      <scheme val="minor"/>
    </font>
    <font>
      <u/>
      <sz val="12"/>
      <color theme="10"/>
      <name val="Aptos Narrow"/>
      <family val="2"/>
      <scheme val="minor"/>
    </font>
    <font>
      <sz val="8"/>
      <name val="Arial CE"/>
      <charset val="238"/>
    </font>
    <font>
      <b/>
      <sz val="8"/>
      <name val="Arial CE"/>
      <family val="2"/>
      <charset val="238"/>
    </font>
    <font>
      <b/>
      <sz val="12"/>
      <color theme="1"/>
      <name val="Aptos Narrow"/>
      <family val="2"/>
      <scheme val="minor"/>
    </font>
    <font>
      <sz val="10"/>
      <name val="Geneva"/>
      <family val="2"/>
      <charset val="1"/>
    </font>
    <font>
      <b/>
      <sz val="12"/>
      <color rgb="FF000000"/>
      <name val="Calibri"/>
      <family val="2"/>
    </font>
    <font>
      <i/>
      <sz val="12"/>
      <color rgb="FF000000"/>
      <name val="Calibri"/>
      <family val="2"/>
    </font>
    <font>
      <sz val="12"/>
      <name val="Times"/>
      <family val="1"/>
    </font>
    <font>
      <u/>
      <sz val="10"/>
      <color indexed="12"/>
      <name val="Geneva"/>
      <family val="2"/>
      <charset val="1"/>
    </font>
    <font>
      <sz val="12"/>
      <name val="Calibri"/>
      <family val="2"/>
    </font>
    <font>
      <sz val="12"/>
      <color rgb="FF000000"/>
      <name val="Calibri"/>
      <family val="2"/>
    </font>
    <font>
      <sz val="14"/>
      <color indexed="10"/>
      <name val="Times"/>
      <family val="1"/>
    </font>
    <font>
      <sz val="14"/>
      <color indexed="10"/>
      <name val="Geneva"/>
      <family val="2"/>
      <charset val="1"/>
    </font>
    <font>
      <i/>
      <sz val="12"/>
      <color theme="1"/>
      <name val="Times"/>
      <family val="1"/>
    </font>
    <font>
      <sz val="10"/>
      <color theme="0"/>
      <name val="Geneva"/>
      <family val="2"/>
      <charset val="1"/>
    </font>
    <font>
      <sz val="12"/>
      <color theme="0"/>
      <name val="Times"/>
      <family val="1"/>
    </font>
    <font>
      <sz val="12"/>
      <name val="Times New Roman"/>
      <family val="1"/>
    </font>
    <font>
      <b/>
      <sz val="12"/>
      <color theme="0"/>
      <name val="Times New Roman"/>
      <family val="1"/>
    </font>
    <font>
      <b/>
      <sz val="12"/>
      <name val="Times"/>
      <family val="1"/>
    </font>
    <font>
      <b/>
      <sz val="12"/>
      <name val="Times"/>
    </font>
    <font>
      <i/>
      <sz val="12"/>
      <name val="Times New Roman"/>
      <family val="1"/>
    </font>
    <font>
      <i/>
      <sz val="12"/>
      <color theme="0"/>
      <name val="Times New Roman"/>
      <family val="1"/>
    </font>
    <font>
      <i/>
      <sz val="12"/>
      <color theme="1"/>
      <name val="Times New Roman"/>
      <family val="1"/>
    </font>
    <font>
      <sz val="12"/>
      <name val="Aptos Narrow"/>
      <family val="2"/>
      <scheme val="minor"/>
    </font>
    <font>
      <i/>
      <sz val="12"/>
      <color theme="1"/>
      <name val="Aptos Narrow"/>
      <family val="2"/>
      <scheme val="minor"/>
    </font>
    <font>
      <i/>
      <sz val="12"/>
      <name val="Aptos Narrow"/>
      <family val="2"/>
      <scheme val="minor"/>
    </font>
    <font>
      <sz val="12"/>
      <color theme="0"/>
      <name val="Times New Roman"/>
      <family val="1"/>
    </font>
    <font>
      <b/>
      <i/>
      <sz val="12"/>
      <name val="Times"/>
      <family val="1"/>
    </font>
    <font>
      <b/>
      <i/>
      <sz val="12"/>
      <name val="Times"/>
    </font>
    <font>
      <b/>
      <sz val="9"/>
      <color indexed="8"/>
      <name val="Geneva"/>
      <family val="2"/>
      <charset val="1"/>
    </font>
    <font>
      <sz val="9"/>
      <color indexed="8"/>
      <name val="Geneva"/>
      <family val="2"/>
      <charset val="1"/>
    </font>
  </fonts>
  <fills count="22">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2"/>
        <bgColor indexed="64"/>
      </patternFill>
    </fill>
    <fill>
      <patternFill patternType="solid">
        <fgColor theme="0" tint="-4.9989318521683403E-2"/>
        <bgColor indexed="64"/>
      </patternFill>
    </fill>
    <fill>
      <patternFill patternType="solid">
        <fgColor rgb="FFD9E1F2"/>
        <bgColor rgb="FFD9E1F2"/>
      </patternFill>
    </fill>
    <fill>
      <patternFill patternType="solid">
        <fgColor rgb="FF92D050"/>
        <bgColor indexed="64"/>
      </patternFill>
    </fill>
    <fill>
      <patternFill patternType="solid">
        <fgColor rgb="FFE8E5DC"/>
        <bgColor rgb="FFF4EFE7"/>
      </patternFill>
    </fill>
    <fill>
      <patternFill patternType="solid">
        <fgColor rgb="FFF4EFE7"/>
        <bgColor rgb="FFE8E5DC"/>
      </patternFill>
    </fill>
    <fill>
      <patternFill patternType="solid">
        <fgColor theme="9" tint="0.79998168889431442"/>
        <bgColor indexed="64"/>
      </patternFill>
    </fill>
    <fill>
      <patternFill patternType="solid">
        <fgColor rgb="FFFF0000"/>
        <bgColor indexed="64"/>
      </patternFill>
    </fill>
    <fill>
      <patternFill patternType="solid">
        <fgColor rgb="FF0070C0"/>
        <bgColor rgb="FF666666"/>
      </patternFill>
    </fill>
    <fill>
      <patternFill patternType="solid">
        <fgColor rgb="FF0070C0"/>
        <bgColor rgb="FFE8E5DC"/>
      </patternFill>
    </fill>
    <fill>
      <patternFill patternType="solid">
        <fgColor indexed="9"/>
        <bgColor indexed="64"/>
      </patternFill>
    </fill>
    <fill>
      <patternFill patternType="solid">
        <fgColor theme="2"/>
        <bgColor rgb="FF000000"/>
      </patternFill>
    </fill>
    <fill>
      <patternFill patternType="solid">
        <fgColor indexed="13"/>
        <bgColor indexed="64"/>
      </patternFill>
    </fill>
    <fill>
      <patternFill patternType="solid">
        <fgColor theme="0"/>
        <bgColor indexed="64"/>
      </patternFill>
    </fill>
  </fills>
  <borders count="5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right/>
      <top style="medium">
        <color rgb="FF1A1A1A"/>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thin">
        <color indexed="64"/>
      </bottom>
      <diagonal/>
    </border>
    <border>
      <left/>
      <right style="medium">
        <color rgb="FF000000"/>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thin">
        <color indexed="64"/>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style="thin">
        <color theme="0"/>
      </top>
      <bottom/>
      <diagonal/>
    </border>
    <border>
      <left style="thin">
        <color theme="0"/>
      </left>
      <right style="thin">
        <color theme="0"/>
      </right>
      <top style="thin">
        <color theme="0"/>
      </top>
      <bottom style="thin">
        <color theme="0"/>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top style="thin">
        <color theme="1"/>
      </top>
      <bottom style="thin">
        <color theme="0"/>
      </bottom>
      <diagonal/>
    </border>
    <border>
      <left style="thin">
        <color theme="1"/>
      </left>
      <right/>
      <top style="thin">
        <color theme="1"/>
      </top>
      <bottom style="thin">
        <color theme="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indexed="64"/>
      </top>
      <bottom style="thin">
        <color theme="0"/>
      </bottom>
      <diagonal/>
    </border>
    <border>
      <left/>
      <right style="thin">
        <color indexed="64"/>
      </right>
      <top style="thin">
        <color theme="1"/>
      </top>
      <bottom style="thin">
        <color indexed="64"/>
      </bottom>
      <diagonal/>
    </border>
    <border>
      <left style="thin">
        <color theme="0"/>
      </left>
      <right style="thin">
        <color indexed="64"/>
      </right>
      <top style="thin">
        <color theme="1"/>
      </top>
      <bottom style="thin">
        <color indexed="64"/>
      </bottom>
      <diagonal/>
    </border>
    <border>
      <left style="thin">
        <color theme="0"/>
      </left>
      <right style="thin">
        <color theme="0"/>
      </right>
      <top style="thin">
        <color theme="0"/>
      </top>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theme="1"/>
      </bottom>
      <diagonal/>
    </border>
    <border>
      <left style="thin">
        <color indexed="64"/>
      </left>
      <right style="thin">
        <color indexed="64"/>
      </right>
      <top style="thin">
        <color theme="1"/>
      </top>
      <bottom style="thin">
        <color indexed="64"/>
      </bottom>
      <diagonal/>
    </border>
    <border>
      <left/>
      <right/>
      <top style="thin">
        <color theme="1"/>
      </top>
      <bottom/>
      <diagonal/>
    </border>
  </borders>
  <cellStyleXfs count="13">
    <xf numFmtId="0" fontId="0" fillId="0" borderId="0"/>
    <xf numFmtId="43" fontId="1" fillId="0" borderId="0"/>
    <xf numFmtId="9" fontId="1" fillId="0" borderId="0"/>
    <xf numFmtId="43" fontId="1" fillId="0" borderId="0" applyFont="0" applyFill="0" applyBorder="0" applyAlignment="0" applyProtection="0"/>
    <xf numFmtId="9" fontId="1" fillId="0" borderId="0" applyFont="0" applyFill="0" applyBorder="0" applyAlignment="0" applyProtection="0"/>
    <xf numFmtId="0" fontId="14" fillId="0" borderId="0"/>
    <xf numFmtId="0" fontId="22" fillId="0" borderId="0"/>
    <xf numFmtId="0" fontId="32" fillId="0" borderId="0" applyNumberFormat="0" applyFill="0" applyBorder="0" applyAlignment="0" applyProtection="0"/>
    <xf numFmtId="0" fontId="33" fillId="0" borderId="0"/>
    <xf numFmtId="0" fontId="36" fillId="0" borderId="0"/>
    <xf numFmtId="0" fontId="40" fillId="0" borderId="0" applyNumberFormat="0" applyFill="0" applyBorder="0" applyAlignment="0" applyProtection="0">
      <alignment vertical="top"/>
      <protection locked="0"/>
    </xf>
    <xf numFmtId="171" fontId="36" fillId="0" borderId="0" applyFont="0" applyFill="0" applyBorder="0" applyAlignment="0" applyProtection="0"/>
    <xf numFmtId="9" fontId="36" fillId="0" borderId="0" applyFont="0" applyFill="0" applyBorder="0" applyAlignment="0" applyProtection="0"/>
  </cellStyleXfs>
  <cellXfs count="289">
    <xf numFmtId="0" fontId="0" fillId="0" borderId="0" xfId="0"/>
    <xf numFmtId="0" fontId="4" fillId="2" borderId="0" xfId="0" applyFont="1" applyFill="1"/>
    <xf numFmtId="0" fontId="2" fillId="3" borderId="0" xfId="0" applyFont="1" applyFill="1"/>
    <xf numFmtId="164" fontId="0" fillId="0" borderId="0" xfId="1" applyNumberFormat="1" applyFont="1"/>
    <xf numFmtId="9" fontId="0" fillId="0" borderId="0" xfId="2" applyFont="1"/>
    <xf numFmtId="165" fontId="0" fillId="0" borderId="0" xfId="2" applyNumberFormat="1" applyFont="1"/>
    <xf numFmtId="0" fontId="3" fillId="0" borderId="0" xfId="0" applyFont="1"/>
    <xf numFmtId="10" fontId="0" fillId="0" borderId="0" xfId="2" applyNumberFormat="1" applyFont="1"/>
    <xf numFmtId="0" fontId="5" fillId="0" borderId="0" xfId="0" applyFont="1"/>
    <xf numFmtId="0" fontId="3" fillId="4" borderId="0" xfId="0" applyFont="1" applyFill="1"/>
    <xf numFmtId="0" fontId="0" fillId="4" borderId="0" xfId="0" applyFill="1"/>
    <xf numFmtId="0" fontId="3" fillId="5" borderId="0" xfId="0" applyFont="1" applyFill="1"/>
    <xf numFmtId="0" fontId="0" fillId="5" borderId="0" xfId="0" applyFill="1"/>
    <xf numFmtId="0" fontId="3" fillId="6" borderId="0" xfId="0" applyFont="1" applyFill="1"/>
    <xf numFmtId="0" fontId="0" fillId="6" borderId="0" xfId="0" applyFill="1"/>
    <xf numFmtId="8" fontId="0" fillId="0" borderId="0" xfId="0" applyNumberFormat="1"/>
    <xf numFmtId="0" fontId="0" fillId="7" borderId="0" xfId="0" applyFill="1"/>
    <xf numFmtId="164" fontId="0" fillId="0" borderId="0" xfId="0" applyNumberFormat="1"/>
    <xf numFmtId="43" fontId="0" fillId="0" borderId="0" xfId="1" applyFont="1"/>
    <xf numFmtId="2" fontId="0" fillId="0" borderId="0" xfId="0" applyNumberFormat="1"/>
    <xf numFmtId="0" fontId="6" fillId="0" borderId="0" xfId="0" applyFont="1"/>
    <xf numFmtId="164" fontId="7" fillId="0" borderId="0" xfId="1" applyNumberFormat="1" applyFont="1"/>
    <xf numFmtId="164" fontId="8" fillId="0" borderId="0" xfId="1" applyNumberFormat="1" applyFont="1"/>
    <xf numFmtId="164" fontId="3" fillId="0" borderId="0" xfId="1" applyNumberFormat="1" applyFont="1"/>
    <xf numFmtId="6" fontId="0" fillId="0" borderId="0" xfId="0" applyNumberFormat="1"/>
    <xf numFmtId="0" fontId="5" fillId="0" borderId="1" xfId="0" applyFont="1" applyBorder="1"/>
    <xf numFmtId="10" fontId="0" fillId="0" borderId="2" xfId="0" applyNumberFormat="1" applyBorder="1"/>
    <xf numFmtId="0" fontId="0" fillId="0" borderId="2" xfId="0" applyBorder="1"/>
    <xf numFmtId="0" fontId="0" fillId="8" borderId="2" xfId="0" applyFill="1" applyBorder="1"/>
    <xf numFmtId="0" fontId="0" fillId="0" borderId="3" xfId="0" applyBorder="1"/>
    <xf numFmtId="0" fontId="5" fillId="0" borderId="4" xfId="0" applyFont="1" applyBorder="1"/>
    <xf numFmtId="0" fontId="0" fillId="8" borderId="0" xfId="0" applyFill="1"/>
    <xf numFmtId="0" fontId="0" fillId="0" borderId="5" xfId="0" applyBorder="1"/>
    <xf numFmtId="0" fontId="5" fillId="0" borderId="6" xfId="0" applyFont="1" applyBorder="1"/>
    <xf numFmtId="0" fontId="0" fillId="0" borderId="7" xfId="0" applyBorder="1"/>
    <xf numFmtId="0" fontId="0" fillId="9" borderId="8" xfId="0" applyFill="1" applyBorder="1"/>
    <xf numFmtId="10" fontId="5" fillId="0" borderId="0" xfId="0" applyNumberFormat="1" applyFont="1"/>
    <xf numFmtId="9" fontId="0" fillId="0" borderId="0" xfId="0" applyNumberFormat="1"/>
    <xf numFmtId="10" fontId="0" fillId="0" borderId="0" xfId="0" applyNumberFormat="1"/>
    <xf numFmtId="9" fontId="0" fillId="0" borderId="0" xfId="4" applyFont="1"/>
    <xf numFmtId="0" fontId="0" fillId="0" borderId="0" xfId="4" applyNumberFormat="1" applyFont="1"/>
    <xf numFmtId="10" fontId="0" fillId="8" borderId="0" xfId="0" applyNumberFormat="1" applyFill="1"/>
    <xf numFmtId="9" fontId="1" fillId="0" borderId="0" xfId="2"/>
    <xf numFmtId="0" fontId="11" fillId="0" borderId="0" xfId="0" applyFont="1"/>
    <xf numFmtId="0" fontId="9" fillId="0" borderId="0" xfId="0" applyFont="1" applyAlignment="1">
      <alignment wrapText="1"/>
    </xf>
    <xf numFmtId="0" fontId="12" fillId="0" borderId="0" xfId="0" applyFont="1"/>
    <xf numFmtId="164" fontId="13" fillId="0" borderId="0" xfId="1" applyNumberFormat="1" applyFont="1"/>
    <xf numFmtId="0" fontId="3" fillId="0" borderId="1" xfId="0" applyFont="1" applyBorder="1"/>
    <xf numFmtId="0" fontId="13" fillId="0" borderId="3" xfId="0" applyFont="1" applyBorder="1"/>
    <xf numFmtId="0" fontId="0" fillId="0" borderId="4" xfId="0" applyBorder="1"/>
    <xf numFmtId="164" fontId="13" fillId="0" borderId="5" xfId="1" applyNumberFormat="1" applyFont="1" applyBorder="1"/>
    <xf numFmtId="0" fontId="10" fillId="0" borderId="4" xfId="0" applyFont="1" applyBorder="1"/>
    <xf numFmtId="0" fontId="10" fillId="0" borderId="6" xfId="0" applyFont="1" applyBorder="1"/>
    <xf numFmtId="164" fontId="7" fillId="0" borderId="7" xfId="1" applyNumberFormat="1" applyFont="1" applyBorder="1"/>
    <xf numFmtId="164" fontId="13" fillId="0" borderId="8" xfId="1" applyNumberFormat="1" applyFont="1" applyBorder="1"/>
    <xf numFmtId="0" fontId="14" fillId="0" borderId="0" xfId="5"/>
    <xf numFmtId="3" fontId="16" fillId="0" borderId="9" xfId="5" applyNumberFormat="1" applyFont="1" applyBorder="1" applyAlignment="1">
      <alignment horizontal="center"/>
    </xf>
    <xf numFmtId="0" fontId="16" fillId="0" borderId="9" xfId="5" applyFont="1" applyBorder="1" applyAlignment="1">
      <alignment horizontal="center"/>
    </xf>
    <xf numFmtId="0" fontId="17" fillId="10" borderId="9" xfId="5" applyFont="1" applyFill="1" applyBorder="1" applyAlignment="1">
      <alignment horizontal="center" wrapText="1"/>
    </xf>
    <xf numFmtId="164" fontId="1" fillId="0" borderId="0" xfId="1" applyNumberFormat="1"/>
    <xf numFmtId="0" fontId="0" fillId="11" borderId="0" xfId="0" applyFill="1"/>
    <xf numFmtId="0" fontId="19" fillId="0" borderId="0" xfId="0" applyFont="1"/>
    <xf numFmtId="164" fontId="1" fillId="11" borderId="0" xfId="1" applyNumberFormat="1" applyFill="1"/>
    <xf numFmtId="0" fontId="20" fillId="0" borderId="0" xfId="0" applyFont="1"/>
    <xf numFmtId="0" fontId="21" fillId="0" borderId="0" xfId="0" applyFont="1"/>
    <xf numFmtId="0" fontId="0" fillId="0" borderId="0" xfId="2" applyNumberFormat="1" applyFont="1"/>
    <xf numFmtId="164" fontId="7" fillId="7" borderId="0" xfId="1" applyNumberFormat="1" applyFont="1" applyFill="1"/>
    <xf numFmtId="164" fontId="13" fillId="7" borderId="0" xfId="1" applyNumberFormat="1" applyFont="1" applyFill="1"/>
    <xf numFmtId="164" fontId="3" fillId="7" borderId="0" xfId="1" applyNumberFormat="1" applyFont="1" applyFill="1"/>
    <xf numFmtId="0" fontId="3" fillId="7" borderId="0" xfId="0" applyFont="1" applyFill="1"/>
    <xf numFmtId="9" fontId="1" fillId="7" borderId="0" xfId="2" applyFill="1"/>
    <xf numFmtId="6" fontId="0" fillId="7" borderId="0" xfId="0" applyNumberFormat="1" applyFill="1"/>
    <xf numFmtId="164" fontId="7" fillId="7" borderId="0" xfId="3" applyNumberFormat="1" applyFont="1" applyFill="1"/>
    <xf numFmtId="164" fontId="8" fillId="7" borderId="0" xfId="3" applyNumberFormat="1" applyFont="1" applyFill="1"/>
    <xf numFmtId="164" fontId="3" fillId="7" borderId="0" xfId="3" applyNumberFormat="1" applyFont="1" applyFill="1"/>
    <xf numFmtId="0" fontId="3" fillId="7" borderId="1" xfId="0" applyFont="1" applyFill="1" applyBorder="1"/>
    <xf numFmtId="0" fontId="0" fillId="7" borderId="2" xfId="0" applyFill="1" applyBorder="1"/>
    <xf numFmtId="0" fontId="13" fillId="7" borderId="3" xfId="0" applyFont="1" applyFill="1" applyBorder="1"/>
    <xf numFmtId="0" fontId="0" fillId="7" borderId="4" xfId="0" applyFill="1" applyBorder="1"/>
    <xf numFmtId="164" fontId="13" fillId="7" borderId="5" xfId="1" applyNumberFormat="1" applyFont="1" applyFill="1" applyBorder="1"/>
    <xf numFmtId="0" fontId="10" fillId="7" borderId="4" xfId="0" applyFont="1" applyFill="1" applyBorder="1"/>
    <xf numFmtId="0" fontId="10" fillId="7" borderId="6" xfId="0" applyFont="1" applyFill="1" applyBorder="1"/>
    <xf numFmtId="164" fontId="7" fillId="7" borderId="7" xfId="1" applyNumberFormat="1" applyFont="1" applyFill="1" applyBorder="1"/>
    <xf numFmtId="164" fontId="13" fillId="7" borderId="8" xfId="1" applyNumberFormat="1" applyFont="1" applyFill="1" applyBorder="1"/>
    <xf numFmtId="0" fontId="22" fillId="0" borderId="0" xfId="6"/>
    <xf numFmtId="0" fontId="23" fillId="0" borderId="0" xfId="6" applyFont="1"/>
    <xf numFmtId="0" fontId="26" fillId="12" borderId="0" xfId="6" applyFont="1" applyFill="1" applyAlignment="1">
      <alignment horizontal="left"/>
    </xf>
    <xf numFmtId="0" fontId="26" fillId="12" borderId="0" xfId="6" applyFont="1" applyFill="1" applyAlignment="1">
      <alignment horizontal="center"/>
    </xf>
    <xf numFmtId="0" fontId="27" fillId="0" borderId="0" xfId="6" applyFont="1"/>
    <xf numFmtId="0" fontId="26" fillId="13" borderId="0" xfId="6" applyFont="1" applyFill="1"/>
    <xf numFmtId="166" fontId="26" fillId="13" borderId="10" xfId="6" applyNumberFormat="1" applyFont="1" applyFill="1" applyBorder="1"/>
    <xf numFmtId="167" fontId="26" fillId="13" borderId="0" xfId="6" applyNumberFormat="1" applyFont="1" applyFill="1"/>
    <xf numFmtId="0" fontId="26" fillId="12" borderId="0" xfId="6" applyFont="1" applyFill="1"/>
    <xf numFmtId="0" fontId="26" fillId="0" borderId="0" xfId="6" applyFont="1"/>
    <xf numFmtId="0" fontId="26" fillId="12" borderId="0" xfId="6" applyFont="1" applyFill="1" applyAlignment="1">
      <alignment horizontal="center" vertical="center" wrapText="1"/>
    </xf>
    <xf numFmtId="166" fontId="22" fillId="0" borderId="0" xfId="6" applyNumberFormat="1"/>
    <xf numFmtId="0" fontId="0" fillId="14" borderId="0" xfId="0" applyFill="1"/>
    <xf numFmtId="0" fontId="0" fillId="15" borderId="0" xfId="0" applyFill="1"/>
    <xf numFmtId="0" fontId="2" fillId="0" borderId="0" xfId="0" applyFont="1"/>
    <xf numFmtId="0" fontId="27" fillId="8" borderId="0" xfId="6" applyFont="1" applyFill="1"/>
    <xf numFmtId="0" fontId="23" fillId="8" borderId="0" xfId="6" applyFont="1" applyFill="1"/>
    <xf numFmtId="168" fontId="0" fillId="0" borderId="0" xfId="0" applyNumberFormat="1"/>
    <xf numFmtId="169" fontId="0" fillId="0" borderId="0" xfId="0" applyNumberFormat="1"/>
    <xf numFmtId="166" fontId="23" fillId="0" borderId="0" xfId="6" applyNumberFormat="1" applyFont="1"/>
    <xf numFmtId="1" fontId="23" fillId="0" borderId="0" xfId="6" applyNumberFormat="1" applyFont="1"/>
    <xf numFmtId="167" fontId="23" fillId="0" borderId="0" xfId="6" applyNumberFormat="1" applyFont="1"/>
    <xf numFmtId="166" fontId="28" fillId="0" borderId="0" xfId="6" applyNumberFormat="1" applyFont="1"/>
    <xf numFmtId="0" fontId="28" fillId="0" borderId="0" xfId="6" applyFont="1"/>
    <xf numFmtId="0" fontId="29" fillId="17" borderId="0" xfId="6" applyFont="1" applyFill="1" applyAlignment="1">
      <alignment horizontal="left"/>
    </xf>
    <xf numFmtId="0" fontId="26" fillId="9" borderId="0" xfId="6" applyFont="1" applyFill="1" applyAlignment="1">
      <alignment horizontal="center" vertical="center" wrapText="1"/>
    </xf>
    <xf numFmtId="0" fontId="30" fillId="0" borderId="0" xfId="6" applyFont="1"/>
    <xf numFmtId="0" fontId="28" fillId="13" borderId="0" xfId="6" applyFont="1" applyFill="1"/>
    <xf numFmtId="0" fontId="30" fillId="13" borderId="0" xfId="6" applyFont="1" applyFill="1"/>
    <xf numFmtId="0" fontId="25" fillId="0" borderId="0" xfId="6" applyFont="1"/>
    <xf numFmtId="0" fontId="25" fillId="0" borderId="0" xfId="6" applyFont="1" applyAlignment="1">
      <alignment horizontal="center"/>
    </xf>
    <xf numFmtId="0" fontId="23" fillId="8" borderId="0" xfId="6" applyFont="1" applyFill="1" applyAlignment="1">
      <alignment horizontal="center"/>
    </xf>
    <xf numFmtId="0" fontId="26" fillId="0" borderId="0" xfId="6" applyFont="1" applyAlignment="1">
      <alignment horizontal="center"/>
    </xf>
    <xf numFmtId="0" fontId="23" fillId="0" borderId="0" xfId="6" applyFont="1" applyAlignment="1">
      <alignment horizontal="center"/>
    </xf>
    <xf numFmtId="0" fontId="28" fillId="0" borderId="0" xfId="6" applyFont="1" applyAlignment="1">
      <alignment horizontal="center"/>
    </xf>
    <xf numFmtId="0" fontId="0" fillId="0" borderId="0" xfId="0" applyAlignment="1">
      <alignment horizontal="center"/>
    </xf>
    <xf numFmtId="0" fontId="22" fillId="0" borderId="0" xfId="6" applyAlignment="1">
      <alignment horizontal="center"/>
    </xf>
    <xf numFmtId="0" fontId="32" fillId="0" borderId="0" xfId="7"/>
    <xf numFmtId="165" fontId="1" fillId="0" borderId="0" xfId="2" applyNumberFormat="1"/>
    <xf numFmtId="10" fontId="1" fillId="0" borderId="0" xfId="2" applyNumberFormat="1"/>
    <xf numFmtId="17" fontId="0" fillId="0" borderId="0" xfId="0" applyNumberFormat="1"/>
    <xf numFmtId="165" fontId="0" fillId="0" borderId="0" xfId="4" applyNumberFormat="1" applyFont="1"/>
    <xf numFmtId="0" fontId="33" fillId="18" borderId="0" xfId="8" applyFill="1"/>
    <xf numFmtId="0" fontId="33" fillId="18" borderId="11" xfId="8" applyFill="1" applyBorder="1"/>
    <xf numFmtId="0" fontId="34" fillId="18" borderId="11" xfId="8" applyFont="1" applyFill="1" applyBorder="1"/>
    <xf numFmtId="0" fontId="33" fillId="18" borderId="12" xfId="8" applyFill="1" applyBorder="1"/>
    <xf numFmtId="0" fontId="34" fillId="18" borderId="12" xfId="8" applyFont="1" applyFill="1" applyBorder="1"/>
    <xf numFmtId="0" fontId="33" fillId="18" borderId="5" xfId="8" applyFill="1" applyBorder="1"/>
    <xf numFmtId="0" fontId="33" fillId="18" borderId="3" xfId="8" applyFill="1" applyBorder="1"/>
    <xf numFmtId="0" fontId="33" fillId="18" borderId="13" xfId="8" applyFill="1" applyBorder="1"/>
    <xf numFmtId="0" fontId="33" fillId="18" borderId="1" xfId="8" applyFill="1" applyBorder="1"/>
    <xf numFmtId="0" fontId="34" fillId="18" borderId="13" xfId="8" applyFont="1" applyFill="1" applyBorder="1"/>
    <xf numFmtId="0" fontId="33" fillId="18" borderId="8" xfId="8" applyFill="1" applyBorder="1"/>
    <xf numFmtId="0" fontId="33" fillId="18" borderId="6" xfId="8" applyFill="1" applyBorder="1"/>
    <xf numFmtId="0" fontId="33" fillId="18" borderId="4" xfId="8" applyFill="1" applyBorder="1"/>
    <xf numFmtId="0" fontId="33" fillId="18" borderId="7" xfId="8" applyFill="1" applyBorder="1"/>
    <xf numFmtId="0" fontId="34" fillId="18" borderId="4" xfId="8" applyFont="1" applyFill="1" applyBorder="1"/>
    <xf numFmtId="170" fontId="33" fillId="18" borderId="11" xfId="8" applyNumberFormat="1" applyFill="1" applyBorder="1"/>
    <xf numFmtId="0" fontId="34" fillId="18" borderId="6" xfId="8" applyFont="1" applyFill="1" applyBorder="1"/>
    <xf numFmtId="0" fontId="34" fillId="18" borderId="1" xfId="8" applyFont="1" applyFill="1" applyBorder="1"/>
    <xf numFmtId="170" fontId="33" fillId="18" borderId="0" xfId="8" applyNumberFormat="1" applyFill="1"/>
    <xf numFmtId="170" fontId="33" fillId="18" borderId="12" xfId="8" applyNumberFormat="1" applyFill="1" applyBorder="1"/>
    <xf numFmtId="170" fontId="33" fillId="18" borderId="13" xfId="8" applyNumberFormat="1" applyFill="1" applyBorder="1"/>
    <xf numFmtId="0" fontId="34" fillId="18" borderId="11" xfId="8" applyFont="1" applyFill="1" applyBorder="1" applyAlignment="1">
      <alignment horizontal="center" wrapText="1"/>
    </xf>
    <xf numFmtId="0" fontId="3" fillId="11" borderId="0" xfId="0" applyFont="1" applyFill="1"/>
    <xf numFmtId="0" fontId="37" fillId="19" borderId="17" xfId="9" applyFont="1" applyFill="1" applyBorder="1"/>
    <xf numFmtId="0" fontId="39" fillId="0" borderId="0" xfId="9" applyFont="1" applyAlignment="1">
      <alignment horizontal="center"/>
    </xf>
    <xf numFmtId="0" fontId="39" fillId="0" borderId="0" xfId="9" applyFont="1"/>
    <xf numFmtId="0" fontId="37" fillId="19" borderId="21" xfId="9" applyFont="1" applyFill="1" applyBorder="1"/>
    <xf numFmtId="0" fontId="41" fillId="19" borderId="15" xfId="9" applyFont="1" applyFill="1" applyBorder="1" applyAlignment="1">
      <alignment horizontal="left"/>
    </xf>
    <xf numFmtId="0" fontId="42" fillId="0" borderId="0" xfId="9" applyFont="1" applyAlignment="1">
      <alignment horizontal="center"/>
    </xf>
    <xf numFmtId="0" fontId="37" fillId="19" borderId="23" xfId="9" applyFont="1" applyFill="1" applyBorder="1"/>
    <xf numFmtId="0" fontId="43" fillId="0" borderId="0" xfId="9" applyFont="1"/>
    <xf numFmtId="0" fontId="43" fillId="0" borderId="0" xfId="9" applyFont="1" applyAlignment="1">
      <alignment horizontal="center"/>
    </xf>
    <xf numFmtId="0" fontId="44" fillId="0" borderId="0" xfId="9" applyFont="1" applyAlignment="1">
      <alignment horizontal="center"/>
    </xf>
    <xf numFmtId="0" fontId="44" fillId="0" borderId="0" xfId="9" applyFont="1"/>
    <xf numFmtId="0" fontId="39" fillId="20" borderId="9" xfId="9" applyFont="1" applyFill="1" applyBorder="1" applyAlignment="1">
      <alignment horizontal="center"/>
    </xf>
    <xf numFmtId="0" fontId="36" fillId="0" borderId="0" xfId="9"/>
    <xf numFmtId="0" fontId="39" fillId="0" borderId="33" xfId="9" applyFont="1" applyBorder="1" applyAlignment="1">
      <alignment horizontal="center"/>
    </xf>
    <xf numFmtId="171" fontId="46" fillId="2" borderId="9" xfId="11" applyFont="1" applyFill="1" applyBorder="1" applyAlignment="1">
      <alignment horizontal="center"/>
    </xf>
    <xf numFmtId="171" fontId="36" fillId="0" borderId="0" xfId="11" applyFont="1" applyFill="1" applyBorder="1" applyAlignment="1">
      <alignment horizontal="center"/>
    </xf>
    <xf numFmtId="10" fontId="47" fillId="2" borderId="9" xfId="9" applyNumberFormat="1" applyFont="1" applyFill="1" applyBorder="1" applyAlignment="1">
      <alignment horizontal="center"/>
    </xf>
    <xf numFmtId="10" fontId="39" fillId="0" borderId="0" xfId="9" applyNumberFormat="1" applyFont="1" applyAlignment="1">
      <alignment horizontal="center"/>
    </xf>
    <xf numFmtId="0" fontId="48" fillId="0" borderId="0" xfId="9" applyFont="1"/>
    <xf numFmtId="0" fontId="52" fillId="0" borderId="6" xfId="9" applyFont="1" applyBorder="1" applyAlignment="1">
      <alignment horizontal="center" wrapText="1"/>
    </xf>
    <xf numFmtId="0" fontId="53" fillId="2" borderId="34" xfId="9" applyFont="1" applyFill="1" applyBorder="1" applyAlignment="1">
      <alignment horizontal="center" wrapText="1"/>
    </xf>
    <xf numFmtId="0" fontId="52" fillId="0" borderId="8" xfId="9" applyFont="1" applyBorder="1" applyAlignment="1">
      <alignment horizontal="center" wrapText="1"/>
    </xf>
    <xf numFmtId="0" fontId="54" fillId="0" borderId="34" xfId="9" applyFont="1" applyBorder="1" applyAlignment="1">
      <alignment horizontal="center" wrapText="1"/>
    </xf>
    <xf numFmtId="0" fontId="52" fillId="0" borderId="11" xfId="9" applyFont="1" applyBorder="1" applyAlignment="1">
      <alignment horizontal="center" wrapText="1"/>
    </xf>
    <xf numFmtId="0" fontId="55" fillId="0" borderId="11" xfId="9" applyFont="1" applyBorder="1" applyAlignment="1">
      <alignment horizontal="center" wrapText="1"/>
    </xf>
    <xf numFmtId="0" fontId="55" fillId="0" borderId="6" xfId="9" applyFont="1" applyBorder="1" applyAlignment="1">
      <alignment horizontal="center" wrapText="1"/>
    </xf>
    <xf numFmtId="0" fontId="56" fillId="0" borderId="34" xfId="9" applyFont="1" applyBorder="1" applyAlignment="1">
      <alignment horizontal="center" wrapText="1"/>
    </xf>
    <xf numFmtId="0" fontId="57" fillId="0" borderId="11" xfId="9" applyFont="1" applyBorder="1" applyAlignment="1">
      <alignment horizontal="center" wrapText="1"/>
    </xf>
    <xf numFmtId="0" fontId="56" fillId="0" borderId="43" xfId="9" applyFont="1" applyBorder="1" applyAlignment="1">
      <alignment horizontal="center" wrapText="1"/>
    </xf>
    <xf numFmtId="0" fontId="39" fillId="0" borderId="11" xfId="9" applyFont="1" applyBorder="1" applyAlignment="1">
      <alignment horizontal="center" wrapText="1"/>
    </xf>
    <xf numFmtId="0" fontId="39" fillId="0" borderId="0" xfId="9" applyFont="1" applyAlignment="1">
      <alignment wrapText="1"/>
    </xf>
    <xf numFmtId="0" fontId="48" fillId="0" borderId="16" xfId="9" applyFont="1" applyBorder="1" applyAlignment="1">
      <alignment horizontal="center"/>
    </xf>
    <xf numFmtId="10" fontId="58" fillId="2" borderId="34" xfId="9" applyNumberFormat="1" applyFont="1" applyFill="1" applyBorder="1" applyAlignment="1">
      <alignment horizontal="center"/>
    </xf>
    <xf numFmtId="171" fontId="48" fillId="0" borderId="14" xfId="11" applyFont="1" applyBorder="1" applyAlignment="1">
      <alignment horizontal="center"/>
    </xf>
    <xf numFmtId="171" fontId="48" fillId="0" borderId="9" xfId="11" applyFont="1" applyBorder="1" applyAlignment="1">
      <alignment horizontal="center"/>
    </xf>
    <xf numFmtId="10" fontId="55" fillId="0" borderId="9" xfId="9" applyNumberFormat="1" applyFont="1" applyBorder="1" applyAlignment="1">
      <alignment horizontal="center"/>
    </xf>
    <xf numFmtId="10" fontId="55" fillId="0" borderId="16" xfId="9" applyNumberFormat="1" applyFont="1" applyBorder="1" applyAlignment="1">
      <alignment horizontal="center"/>
    </xf>
    <xf numFmtId="0" fontId="55" fillId="0" borderId="16" xfId="9" applyFont="1" applyBorder="1" applyAlignment="1">
      <alignment horizontal="center"/>
    </xf>
    <xf numFmtId="10" fontId="0" fillId="0" borderId="0" xfId="12" applyNumberFormat="1" applyFont="1" applyAlignment="1">
      <alignment horizontal="center"/>
    </xf>
    <xf numFmtId="10" fontId="39" fillId="0" borderId="9" xfId="12" applyNumberFormat="1" applyFont="1" applyBorder="1" applyAlignment="1">
      <alignment horizontal="center"/>
    </xf>
    <xf numFmtId="171" fontId="55" fillId="0" borderId="14" xfId="11" applyFont="1" applyBorder="1" applyAlignment="1">
      <alignment horizontal="center"/>
    </xf>
    <xf numFmtId="171" fontId="55" fillId="0" borderId="9" xfId="11" applyFont="1" applyBorder="1" applyAlignment="1">
      <alignment horizontal="center"/>
    </xf>
    <xf numFmtId="10" fontId="39" fillId="0" borderId="9" xfId="9" applyNumberFormat="1" applyFont="1" applyBorder="1" applyAlignment="1">
      <alignment horizontal="center"/>
    </xf>
    <xf numFmtId="171" fontId="48" fillId="0" borderId="3" xfId="11" applyFont="1" applyBorder="1" applyAlignment="1">
      <alignment horizontal="center"/>
    </xf>
    <xf numFmtId="171" fontId="55" fillId="0" borderId="3" xfId="11" applyFont="1" applyBorder="1" applyAlignment="1">
      <alignment horizontal="center"/>
    </xf>
    <xf numFmtId="171" fontId="48" fillId="0" borderId="44" xfId="11" applyFont="1" applyBorder="1" applyAlignment="1">
      <alignment horizontal="center"/>
    </xf>
    <xf numFmtId="171" fontId="55" fillId="0" borderId="45" xfId="11" applyFont="1" applyBorder="1" applyAlignment="1">
      <alignment horizontal="center"/>
    </xf>
    <xf numFmtId="0" fontId="48" fillId="0" borderId="0" xfId="9" applyFont="1" applyAlignment="1">
      <alignment horizontal="center"/>
    </xf>
    <xf numFmtId="0" fontId="48" fillId="0" borderId="1" xfId="9" applyFont="1" applyBorder="1" applyAlignment="1">
      <alignment horizontal="center"/>
    </xf>
    <xf numFmtId="10" fontId="55" fillId="0" borderId="1" xfId="9" applyNumberFormat="1" applyFont="1" applyBorder="1" applyAlignment="1">
      <alignment horizontal="center"/>
    </xf>
    <xf numFmtId="10" fontId="39" fillId="0" borderId="13" xfId="9" applyNumberFormat="1" applyFont="1" applyBorder="1" applyAlignment="1">
      <alignment horizontal="center"/>
    </xf>
    <xf numFmtId="171" fontId="48" fillId="0" borderId="13" xfId="11" applyFont="1" applyBorder="1" applyAlignment="1">
      <alignment horizontal="center"/>
    </xf>
    <xf numFmtId="171" fontId="55" fillId="0" borderId="13" xfId="11" applyFont="1" applyBorder="1" applyAlignment="1">
      <alignment horizontal="center"/>
    </xf>
    <xf numFmtId="0" fontId="48" fillId="0" borderId="13" xfId="9" applyFont="1" applyBorder="1" applyAlignment="1">
      <alignment horizontal="center"/>
    </xf>
    <xf numFmtId="10" fontId="58" fillId="2" borderId="46" xfId="9" applyNumberFormat="1" applyFont="1" applyFill="1" applyBorder="1" applyAlignment="1">
      <alignment horizontal="center"/>
    </xf>
    <xf numFmtId="0" fontId="55" fillId="0" borderId="13" xfId="9" applyFont="1" applyBorder="1" applyAlignment="1">
      <alignment horizontal="center"/>
    </xf>
    <xf numFmtId="10" fontId="2" fillId="0" borderId="46" xfId="9" applyNumberFormat="1" applyFont="1" applyBorder="1" applyAlignment="1">
      <alignment horizontal="center"/>
    </xf>
    <xf numFmtId="10" fontId="55" fillId="0" borderId="13" xfId="9" applyNumberFormat="1" applyFont="1" applyBorder="1" applyAlignment="1">
      <alignment horizontal="center"/>
    </xf>
    <xf numFmtId="171" fontId="55" fillId="0" borderId="3" xfId="9" applyNumberFormat="1" applyFont="1" applyBorder="1" applyAlignment="1">
      <alignment horizontal="center"/>
    </xf>
    <xf numFmtId="171" fontId="55" fillId="0" borderId="13" xfId="9" applyNumberFormat="1" applyFont="1" applyBorder="1" applyAlignment="1">
      <alignment horizontal="center"/>
    </xf>
    <xf numFmtId="0" fontId="50" fillId="0" borderId="0" xfId="9" applyFont="1" applyAlignment="1">
      <alignment horizontal="center"/>
    </xf>
    <xf numFmtId="0" fontId="39" fillId="0" borderId="11" xfId="9" applyFont="1" applyBorder="1" applyAlignment="1">
      <alignment horizontal="center"/>
    </xf>
    <xf numFmtId="10" fontId="36" fillId="0" borderId="11" xfId="9" applyNumberFormat="1" applyBorder="1" applyAlignment="1">
      <alignment horizontal="center"/>
    </xf>
    <xf numFmtId="10" fontId="36" fillId="0" borderId="0" xfId="9" applyNumberFormat="1" applyAlignment="1">
      <alignment horizontal="center"/>
    </xf>
    <xf numFmtId="0" fontId="39" fillId="0" borderId="36" xfId="9" applyFont="1" applyBorder="1" applyAlignment="1">
      <alignment horizontal="center" wrapText="1"/>
    </xf>
    <xf numFmtId="0" fontId="50" fillId="0" borderId="6" xfId="9" applyFont="1" applyBorder="1" applyAlignment="1">
      <alignment horizontal="center"/>
    </xf>
    <xf numFmtId="0" fontId="35" fillId="0" borderId="11" xfId="9" applyFont="1" applyBorder="1" applyAlignment="1">
      <alignment horizontal="center" wrapText="1"/>
    </xf>
    <xf numFmtId="0" fontId="39" fillId="0" borderId="9" xfId="9" applyFont="1" applyBorder="1" applyAlignment="1">
      <alignment horizontal="center"/>
    </xf>
    <xf numFmtId="10" fontId="36" fillId="0" borderId="9" xfId="9" applyNumberFormat="1" applyBorder="1" applyAlignment="1">
      <alignment horizontal="center"/>
    </xf>
    <xf numFmtId="10" fontId="39" fillId="0" borderId="36" xfId="9" applyNumberFormat="1" applyFont="1" applyBorder="1" applyAlignment="1">
      <alignment horizontal="center"/>
    </xf>
    <xf numFmtId="10" fontId="36" fillId="0" borderId="36" xfId="9" applyNumberFormat="1" applyBorder="1" applyAlignment="1">
      <alignment horizontal="center"/>
    </xf>
    <xf numFmtId="0" fontId="59" fillId="0" borderId="0" xfId="9" applyFont="1" applyAlignment="1">
      <alignment horizontal="center"/>
    </xf>
    <xf numFmtId="0" fontId="36" fillId="0" borderId="0" xfId="9" applyAlignment="1">
      <alignment horizontal="center"/>
    </xf>
    <xf numFmtId="10" fontId="39" fillId="0" borderId="11" xfId="12" applyNumberFormat="1" applyFont="1" applyBorder="1" applyAlignment="1">
      <alignment horizontal="center"/>
    </xf>
    <xf numFmtId="10" fontId="39" fillId="0" borderId="0" xfId="12" applyNumberFormat="1" applyFont="1" applyBorder="1" applyAlignment="1">
      <alignment horizontal="center"/>
    </xf>
    <xf numFmtId="0" fontId="39" fillId="0" borderId="0" xfId="9" applyFont="1" applyAlignment="1">
      <alignment horizontal="center" wrapText="1"/>
    </xf>
    <xf numFmtId="10" fontId="39" fillId="0" borderId="51" xfId="9" applyNumberFormat="1" applyFont="1" applyBorder="1" applyAlignment="1">
      <alignment horizontal="center"/>
    </xf>
    <xf numFmtId="10" fontId="39" fillId="0" borderId="52" xfId="9" applyNumberFormat="1" applyFont="1" applyBorder="1" applyAlignment="1">
      <alignment horizontal="center"/>
    </xf>
    <xf numFmtId="0" fontId="39" fillId="0" borderId="53" xfId="9" applyFont="1" applyBorder="1" applyAlignment="1">
      <alignment horizontal="center"/>
    </xf>
    <xf numFmtId="10" fontId="39" fillId="0" borderId="11" xfId="9" applyNumberFormat="1" applyFont="1" applyBorder="1" applyAlignment="1">
      <alignment horizontal="center"/>
    </xf>
    <xf numFmtId="0" fontId="34" fillId="18" borderId="16" xfId="8" applyFont="1" applyFill="1" applyBorder="1" applyAlignment="1">
      <alignment vertical="center" wrapText="1"/>
    </xf>
    <xf numFmtId="0" fontId="34" fillId="18" borderId="15" xfId="8" applyFont="1" applyFill="1" applyBorder="1" applyAlignment="1">
      <alignment vertical="center" wrapText="1"/>
    </xf>
    <xf numFmtId="0" fontId="34" fillId="18" borderId="14" xfId="8" applyFont="1" applyFill="1" applyBorder="1" applyAlignment="1">
      <alignment vertical="center" wrapText="1"/>
    </xf>
    <xf numFmtId="0" fontId="31" fillId="0" borderId="0" xfId="0" applyFont="1" applyAlignment="1">
      <alignment horizontal="left" vertical="center"/>
    </xf>
    <xf numFmtId="0" fontId="24" fillId="0" borderId="0" xfId="6" applyFont="1"/>
    <xf numFmtId="0" fontId="30" fillId="0" borderId="0" xfId="6" applyFont="1" applyAlignment="1">
      <alignment horizontal="left"/>
    </xf>
    <xf numFmtId="0" fontId="29" fillId="16" borderId="0" xfId="6" applyFont="1" applyFill="1"/>
    <xf numFmtId="0" fontId="40" fillId="19" borderId="16" xfId="10" applyFill="1" applyBorder="1" applyAlignment="1" applyProtection="1"/>
    <xf numFmtId="0" fontId="40" fillId="19" borderId="15" xfId="10" applyFill="1" applyBorder="1" applyAlignment="1" applyProtection="1"/>
    <xf numFmtId="0" fontId="40" fillId="19" borderId="22" xfId="10" applyFill="1" applyBorder="1" applyAlignment="1" applyProtection="1"/>
    <xf numFmtId="15" fontId="38" fillId="19" borderId="18" xfId="9" applyNumberFormat="1" applyFont="1" applyFill="1" applyBorder="1" applyAlignment="1">
      <alignment horizontal="left"/>
    </xf>
    <xf numFmtId="15" fontId="38" fillId="19" borderId="19" xfId="9" applyNumberFormat="1" applyFont="1" applyFill="1" applyBorder="1" applyAlignment="1">
      <alignment horizontal="left"/>
    </xf>
    <xf numFmtId="15" fontId="38" fillId="19" borderId="20" xfId="9" applyNumberFormat="1" applyFont="1" applyFill="1" applyBorder="1" applyAlignment="1">
      <alignment horizontal="left"/>
    </xf>
    <xf numFmtId="0" fontId="40" fillId="19" borderId="16" xfId="10" applyFill="1" applyBorder="1" applyAlignment="1" applyProtection="1">
      <alignment horizontal="left"/>
    </xf>
    <xf numFmtId="0" fontId="40" fillId="19" borderId="15" xfId="10" applyFill="1" applyBorder="1" applyAlignment="1" applyProtection="1">
      <alignment horizontal="left"/>
    </xf>
    <xf numFmtId="0" fontId="40" fillId="19" borderId="22" xfId="10" applyFill="1" applyBorder="1" applyAlignment="1" applyProtection="1">
      <alignment horizontal="left"/>
    </xf>
    <xf numFmtId="0" fontId="41" fillId="19" borderId="16" xfId="9" applyFont="1" applyFill="1" applyBorder="1" applyAlignment="1">
      <alignment horizontal="left"/>
    </xf>
    <xf numFmtId="0" fontId="41" fillId="19" borderId="15" xfId="9" applyFont="1" applyFill="1" applyBorder="1" applyAlignment="1">
      <alignment horizontal="left"/>
    </xf>
    <xf numFmtId="0" fontId="41" fillId="19" borderId="14" xfId="9" applyFont="1" applyFill="1" applyBorder="1" applyAlignment="1">
      <alignment horizontal="left"/>
    </xf>
    <xf numFmtId="0" fontId="41" fillId="19" borderId="16" xfId="9" applyFont="1" applyFill="1" applyBorder="1" applyAlignment="1">
      <alignment horizontal="center"/>
    </xf>
    <xf numFmtId="0" fontId="41" fillId="19" borderId="15" xfId="9" applyFont="1" applyFill="1" applyBorder="1" applyAlignment="1">
      <alignment horizontal="center"/>
    </xf>
    <xf numFmtId="0" fontId="41" fillId="19" borderId="22" xfId="9" applyFont="1" applyFill="1" applyBorder="1" applyAlignment="1">
      <alignment horizontal="center"/>
    </xf>
    <xf numFmtId="15" fontId="40" fillId="19" borderId="16" xfId="10" applyNumberFormat="1" applyFill="1" applyBorder="1" applyAlignment="1" applyProtection="1">
      <alignment horizontal="left"/>
    </xf>
    <xf numFmtId="15" fontId="40" fillId="19" borderId="15" xfId="10" applyNumberFormat="1" applyFill="1" applyBorder="1" applyAlignment="1" applyProtection="1">
      <alignment horizontal="left"/>
    </xf>
    <xf numFmtId="15" fontId="40" fillId="19" borderId="22" xfId="10" applyNumberFormat="1" applyFill="1" applyBorder="1" applyAlignment="1" applyProtection="1">
      <alignment horizontal="left"/>
    </xf>
    <xf numFmtId="0" fontId="40" fillId="19" borderId="24" xfId="10" applyFill="1" applyBorder="1" applyAlignment="1" applyProtection="1">
      <alignment horizontal="left"/>
    </xf>
    <xf numFmtId="0" fontId="40" fillId="19" borderId="25" xfId="10" applyFill="1" applyBorder="1" applyAlignment="1" applyProtection="1">
      <alignment horizontal="left"/>
    </xf>
    <xf numFmtId="0" fontId="40" fillId="19" borderId="26" xfId="10" applyFill="1" applyBorder="1" applyAlignment="1" applyProtection="1">
      <alignment horizontal="left"/>
    </xf>
    <xf numFmtId="0" fontId="45" fillId="21" borderId="27" xfId="9" applyFont="1" applyFill="1" applyBorder="1" applyAlignment="1">
      <alignment horizontal="center" wrapText="1"/>
    </xf>
    <xf numFmtId="0" fontId="45" fillId="21" borderId="28" xfId="9" applyFont="1" applyFill="1" applyBorder="1" applyAlignment="1">
      <alignment horizontal="center" wrapText="1"/>
    </xf>
    <xf numFmtId="0" fontId="45" fillId="21" borderId="29" xfId="9" applyFont="1" applyFill="1" applyBorder="1" applyAlignment="1">
      <alignment horizontal="center" wrapText="1"/>
    </xf>
    <xf numFmtId="0" fontId="45" fillId="21" borderId="30" xfId="9" applyFont="1" applyFill="1" applyBorder="1" applyAlignment="1">
      <alignment horizontal="center" wrapText="1"/>
    </xf>
    <xf numFmtId="0" fontId="45" fillId="21" borderId="31" xfId="9" applyFont="1" applyFill="1" applyBorder="1" applyAlignment="1">
      <alignment horizontal="center" wrapText="1"/>
    </xf>
    <xf numFmtId="0" fontId="45" fillId="21" borderId="32" xfId="9" applyFont="1" applyFill="1" applyBorder="1" applyAlignment="1">
      <alignment horizontal="center" wrapText="1"/>
    </xf>
    <xf numFmtId="0" fontId="49" fillId="2" borderId="34" xfId="9" applyFont="1" applyFill="1" applyBorder="1" applyAlignment="1">
      <alignment horizontal="center"/>
    </xf>
    <xf numFmtId="0" fontId="18" fillId="0" borderId="35" xfId="9" applyFont="1" applyBorder="1" applyAlignment="1">
      <alignment horizontal="center"/>
    </xf>
    <xf numFmtId="0" fontId="18" fillId="0" borderId="36" xfId="9" applyFont="1" applyBorder="1" applyAlignment="1">
      <alignment horizontal="center"/>
    </xf>
    <xf numFmtId="0" fontId="50" fillId="0" borderId="36" xfId="9" applyFont="1" applyBorder="1" applyAlignment="1">
      <alignment horizontal="center"/>
    </xf>
    <xf numFmtId="0" fontId="50" fillId="0" borderId="35" xfId="9" applyFont="1" applyBorder="1" applyAlignment="1">
      <alignment horizontal="center"/>
    </xf>
    <xf numFmtId="0" fontId="50" fillId="0" borderId="40" xfId="9" applyFont="1" applyBorder="1" applyAlignment="1">
      <alignment horizontal="center"/>
    </xf>
    <xf numFmtId="0" fontId="51" fillId="0" borderId="41" xfId="9" applyFont="1" applyBorder="1" applyAlignment="1">
      <alignment horizontal="center"/>
    </xf>
    <xf numFmtId="0" fontId="51" fillId="0" borderId="42" xfId="9" applyFont="1" applyBorder="1" applyAlignment="1">
      <alignment horizontal="center"/>
    </xf>
    <xf numFmtId="0" fontId="50" fillId="0" borderId="41" xfId="9" applyFont="1" applyBorder="1" applyAlignment="1">
      <alignment horizontal="center"/>
    </xf>
    <xf numFmtId="0" fontId="50" fillId="0" borderId="47" xfId="9" applyFont="1" applyBorder="1" applyAlignment="1">
      <alignment horizontal="center"/>
    </xf>
    <xf numFmtId="0" fontId="50" fillId="0" borderId="42" xfId="9" applyFont="1" applyBorder="1" applyAlignment="1">
      <alignment horizontal="center"/>
    </xf>
    <xf numFmtId="0" fontId="59" fillId="0" borderId="48" xfId="9" applyFont="1" applyBorder="1" applyAlignment="1">
      <alignment horizontal="center"/>
    </xf>
    <xf numFmtId="0" fontId="36" fillId="0" borderId="49" xfId="9" applyBorder="1" applyAlignment="1">
      <alignment horizontal="center"/>
    </xf>
    <xf numFmtId="0" fontId="59" fillId="0" borderId="49" xfId="9" applyFont="1" applyBorder="1" applyAlignment="1">
      <alignment horizontal="center"/>
    </xf>
    <xf numFmtId="0" fontId="59" fillId="0" borderId="50" xfId="9" applyFont="1" applyBorder="1" applyAlignment="1">
      <alignment horizontal="center"/>
    </xf>
    <xf numFmtId="0" fontId="60" fillId="0" borderId="40" xfId="9" applyFont="1" applyBorder="1" applyAlignment="1">
      <alignment horizontal="center"/>
    </xf>
    <xf numFmtId="0" fontId="60" fillId="0" borderId="35" xfId="9" applyFont="1" applyBorder="1" applyAlignment="1">
      <alignment horizontal="center"/>
    </xf>
    <xf numFmtId="0" fontId="50" fillId="0" borderId="37" xfId="9" applyFont="1" applyBorder="1" applyAlignment="1">
      <alignment horizontal="center"/>
    </xf>
    <xf numFmtId="0" fontId="50" fillId="0" borderId="38" xfId="9" applyFont="1" applyBorder="1" applyAlignment="1">
      <alignment horizontal="center"/>
    </xf>
    <xf numFmtId="0" fontId="50" fillId="0" borderId="39" xfId="9" applyFont="1" applyBorder="1" applyAlignment="1">
      <alignment horizontal="center"/>
    </xf>
    <xf numFmtId="0" fontId="59" fillId="0" borderId="36" xfId="9" applyFont="1" applyBorder="1" applyAlignment="1">
      <alignment horizontal="center"/>
    </xf>
    <xf numFmtId="0" fontId="15" fillId="0" borderId="0" xfId="5" applyFont="1"/>
    <xf numFmtId="0" fontId="14" fillId="0" borderId="0" xfId="5"/>
    <xf numFmtId="0" fontId="18" fillId="0" borderId="0" xfId="5" applyFont="1"/>
    <xf numFmtId="164" fontId="3" fillId="0" borderId="0" xfId="0" applyNumberFormat="1" applyFont="1"/>
    <xf numFmtId="0" fontId="5" fillId="0" borderId="0" xfId="0" applyFont="1" applyAlignment="1">
      <alignment wrapText="1"/>
    </xf>
  </cellXfs>
  <cellStyles count="13">
    <cellStyle name="Comma" xfId="1" builtinId="3"/>
    <cellStyle name="Comma 2" xfId="3" xr:uid="{E7774AD5-D7B9-8945-919F-2EBDC44D724A}"/>
    <cellStyle name="Currency 2" xfId="11" xr:uid="{E62F44E3-D44A-C34B-90D2-B3A7A538C12E}"/>
    <cellStyle name="Hyperlink" xfId="7" builtinId="8"/>
    <cellStyle name="Hyperlink 2" xfId="10" xr:uid="{F4678D09-4672-FB47-A9EA-8A03852D7CC8}"/>
    <cellStyle name="Normal" xfId="0" builtinId="0"/>
    <cellStyle name="Normal 2" xfId="5" xr:uid="{9FFFC570-FB60-CB4F-A65F-2C0764B9B016}"/>
    <cellStyle name="Normal 3" xfId="6" xr:uid="{F29C9537-9BE0-1B4C-AFCB-643FA7D9625A}"/>
    <cellStyle name="Normal 4" xfId="8" xr:uid="{3E2D3F55-54CD-5C46-AC4D-F8619018130F}"/>
    <cellStyle name="Normal 5" xfId="9" xr:uid="{781DFF10-83B4-104E-8D08-741785DC712D}"/>
    <cellStyle name="Per cent" xfId="2" builtinId="5"/>
    <cellStyle name="Per cent 2" xfId="4" xr:uid="{188C5B99-C15E-084C-BC97-46F67BFE3132}"/>
    <cellStyle name="Per cent 3" xfId="12" xr:uid="{E7080370-26B5-714B-B755-B7524D093F40}"/>
  </cellStyles>
  <dxfs count="59">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Aptos Narrow"/>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ptos Narrow"/>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ptos Narrow"/>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71"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numFmt numFmtId="171"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71"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numFmt numFmtId="171"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71"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71"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71"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71" formatCode="_(&quot;$&quot;* #,##0.00_);_(&quot;$&quot;* \(#,##0.00\);_(&quot;$&quot;* &quot;-&quot;??_);_(@_)"/>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numFmt numFmtId="171" formatCode="_(&quot;$&quot;* #,##0.00_);_(&quot;$&quot;* \(#,##0.00\);_(&quot;$&quot;* &quot;-&quot;??_);_(@_)"/>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0"/>
        <name val="Aptos Narrow"/>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2"/>
        <color auto="1"/>
        <name val="Aptos Narrow"/>
        <scheme val="minor"/>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A71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spcFirstLastPara="1" vertOverflow="ellipsis" vert="horz" wrap="square" anchor="ctr" anchorCtr="1"/>
          <a:lstStyle/>
          <a:p>
            <a:pPr>
              <a:defRPr sz="1800" b="0" i="0" strike="noStrike" kern="1200" spc="0" baseline="0">
                <a:solidFill>
                  <a:schemeClr val="tx1">
                    <a:lumMod val="65000"/>
                    <a:lumOff val="35000"/>
                  </a:schemeClr>
                </a:solidFill>
                <a:latin typeface="+mn-lt"/>
                <a:ea typeface="+mn-ea"/>
                <a:cs typeface="+mn-cs"/>
              </a:defRPr>
            </a:pPr>
            <a:r>
              <a:rPr lang="en-GB" sz="1800" b="0" i="0" strike="noStrike" kern="1200" spc="0" baseline="0">
                <a:solidFill>
                  <a:sysClr val="windowText" lastClr="000000">
                    <a:lumOff val="35000"/>
                    <a:lumMod val="65000"/>
                  </a:sysClr>
                </a:solidFill>
              </a:rPr>
              <a:t>Rent vs Buy Networth</a:t>
            </a:r>
          </a:p>
        </c:rich>
      </c:tx>
      <c:overlay val="0"/>
      <c:spPr>
        <a:noFill/>
        <a:ln>
          <a:noFill/>
          <a:prstDash val="solid"/>
        </a:ln>
      </c:spPr>
    </c:title>
    <c:autoTitleDeleted val="0"/>
    <c:plotArea>
      <c:layout/>
      <c:barChart>
        <c:barDir val="col"/>
        <c:grouping val="clustered"/>
        <c:varyColors val="0"/>
        <c:ser>
          <c:idx val="0"/>
          <c:order val="0"/>
          <c:tx>
            <c:strRef>
              <c:f>Results!$E$4</c:f>
              <c:strCache>
                <c:ptCount val="1"/>
                <c:pt idx="0">
                  <c:v>Buy Net worth CZK</c:v>
                </c:pt>
              </c:strCache>
            </c:strRef>
          </c:tx>
          <c:spPr>
            <a:solidFill>
              <a:schemeClr val="accent1"/>
            </a:solidFill>
            <a:ln>
              <a:noFill/>
              <a:prstDash val="solid"/>
            </a:ln>
          </c:spPr>
          <c:invertIfNegative val="0"/>
          <c:cat>
            <c:numRef>
              <c:f>Results!$D$5:$D$64</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Results!$E$5:$E$64</c:f>
              <c:numCache>
                <c:formatCode>_-* #\ ##0_-;\-* #\ ##0_-;_-* "-"??_-;_-@_-</c:formatCode>
                <c:ptCount val="60"/>
                <c:pt idx="0">
                  <c:v>1462000.6953533133</c:v>
                </c:pt>
                <c:pt idx="1">
                  <c:v>2065194.481019388</c:v>
                </c:pt>
                <c:pt idx="2">
                  <c:v>2697804.9377811719</c:v>
                </c:pt>
                <c:pt idx="3">
                  <c:v>3361269.7605822822</c:v>
                </c:pt>
                <c:pt idx="4">
                  <c:v>4057097.0511314552</c:v>
                </c:pt>
                <c:pt idx="5">
                  <c:v>4786868.7723228186</c:v>
                </c:pt>
                <c:pt idx="6">
                  <c:v>5552244.3724371986</c:v>
                </c:pt>
                <c:pt idx="7">
                  <c:v>6354964.5874824543</c:v>
                </c:pt>
                <c:pt idx="8">
                  <c:v>7196855.4304427868</c:v>
                </c:pt>
                <c:pt idx="9">
                  <c:v>8079832.3766394211</c:v>
                </c:pt>
                <c:pt idx="10">
                  <c:v>9005904.7548586987</c:v>
                </c:pt>
                <c:pt idx="11">
                  <c:v>9977180.3543799557</c:v>
                </c:pt>
                <c:pt idx="12">
                  <c:v>10995870.258534919</c:v>
                </c:pt>
                <c:pt idx="13">
                  <c:v>12064293.915955009</c:v>
                </c:pt>
                <c:pt idx="14">
                  <c:v>13184884.461212844</c:v>
                </c:pt>
                <c:pt idx="15">
                  <c:v>14360194.297141824</c:v>
                </c:pt>
                <c:pt idx="16">
                  <c:v>15592900.951723516</c:v>
                </c:pt>
                <c:pt idx="17">
                  <c:v>16890727.357567802</c:v>
                </c:pt>
                <c:pt idx="18">
                  <c:v>18247184.891941793</c:v>
                </c:pt>
                <c:pt idx="19">
                  <c:v>19669917.006393373</c:v>
                </c:pt>
                <c:pt idx="20">
                  <c:v>21162168.793401074</c:v>
                </c:pt>
                <c:pt idx="21">
                  <c:v>22747395.188280251</c:v>
                </c:pt>
                <c:pt idx="22">
                  <c:v>24421170.315934293</c:v>
                </c:pt>
                <c:pt idx="23">
                  <c:v>26204533.6648378</c:v>
                </c:pt>
                <c:pt idx="24">
                  <c:v>28105160.686019603</c:v>
                </c:pt>
                <c:pt idx="25">
                  <c:v>30131290.934625641</c:v>
                </c:pt>
                <c:pt idx="26">
                  <c:v>32308118.057054773</c:v>
                </c:pt>
                <c:pt idx="27">
                  <c:v>34613755.018046297</c:v>
                </c:pt>
                <c:pt idx="28">
                  <c:v>37073548.135311447</c:v>
                </c:pt>
                <c:pt idx="29">
                  <c:v>39698872.622215174</c:v>
                </c:pt>
                <c:pt idx="30">
                  <c:v>42568694.168133244</c:v>
                </c:pt>
                <c:pt idx="31">
                  <c:v>45636499.897565715</c:v>
                </c:pt>
                <c:pt idx="32">
                  <c:v>48935222.714871168</c:v>
                </c:pt>
                <c:pt idx="33">
                  <c:v>52482667.054644398</c:v>
                </c:pt>
                <c:pt idx="34">
                  <c:v>56317265.027403824</c:v>
                </c:pt>
                <c:pt idx="35">
                  <c:v>60422783.639649749</c:v>
                </c:pt>
                <c:pt idx="36">
                  <c:v>64839362.082838871</c:v>
                </c:pt>
                <c:pt idx="37">
                  <c:v>69591078.355427474</c:v>
                </c:pt>
                <c:pt idx="38">
                  <c:v>74703897.913719341</c:v>
                </c:pt>
                <c:pt idx="39">
                  <c:v>79496191.934496254</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0-AA27-2A4F-87D2-8B28D379742C}"/>
            </c:ext>
          </c:extLst>
        </c:ser>
        <c:ser>
          <c:idx val="1"/>
          <c:order val="1"/>
          <c:tx>
            <c:strRef>
              <c:f>Results!$F$4</c:f>
              <c:strCache>
                <c:ptCount val="1"/>
                <c:pt idx="0">
                  <c:v>Rent Net worth CZK</c:v>
                </c:pt>
              </c:strCache>
            </c:strRef>
          </c:tx>
          <c:spPr>
            <a:solidFill>
              <a:schemeClr val="accent2"/>
            </a:solidFill>
            <a:ln>
              <a:noFill/>
              <a:prstDash val="solid"/>
            </a:ln>
          </c:spPr>
          <c:invertIfNegative val="0"/>
          <c:cat>
            <c:numRef>
              <c:f>Results!$D$5:$D$64</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Results!$F$5:$F$64</c:f>
              <c:numCache>
                <c:formatCode>_-* #\ ##0_-;\-* #\ ##0_-;_-* "-"??_-;_-@_-</c:formatCode>
                <c:ptCount val="60"/>
                <c:pt idx="0">
                  <c:v>1341299.2186986001</c:v>
                </c:pt>
                <c:pt idx="1">
                  <c:v>1782976.9730356655</c:v>
                </c:pt>
                <c:pt idx="2">
                  <c:v>2249931.58951195</c:v>
                </c:pt>
                <c:pt idx="3">
                  <c:v>2743655.4436955699</c:v>
                </c:pt>
                <c:pt idx="4">
                  <c:v>3256401.6515789931</c:v>
                </c:pt>
                <c:pt idx="5">
                  <c:v>3807769.5071862042</c:v>
                </c:pt>
                <c:pt idx="6">
                  <c:v>4390901.8028876716</c:v>
                </c:pt>
                <c:pt idx="7">
                  <c:v>5007692.7458436238</c:v>
                </c:pt>
                <c:pt idx="8">
                  <c:v>5650032.6772522926</c:v>
                </c:pt>
                <c:pt idx="9">
                  <c:v>6339495.3406847315</c:v>
                </c:pt>
                <c:pt idx="10">
                  <c:v>7068976.9211025666</c:v>
                </c:pt>
                <c:pt idx="11">
                  <c:v>7840889.2453299863</c:v>
                </c:pt>
                <c:pt idx="12">
                  <c:v>8657796.7824671268</c:v>
                </c:pt>
                <c:pt idx="13">
                  <c:v>9510568.2492204588</c:v>
                </c:pt>
                <c:pt idx="14">
                  <c:v>10424873.093211334</c:v>
                </c:pt>
                <c:pt idx="15">
                  <c:v>11392811.883829165</c:v>
                </c:pt>
                <c:pt idx="16">
                  <c:v>12417662.725240743</c:v>
                </c:pt>
                <c:pt idx="17">
                  <c:v>13494964.98692424</c:v>
                </c:pt>
                <c:pt idx="18">
                  <c:v>14643695.304645611</c:v>
                </c:pt>
                <c:pt idx="19">
                  <c:v>15860443.278821902</c:v>
                </c:pt>
                <c:pt idx="20">
                  <c:v>17149416.66857893</c:v>
                </c:pt>
                <c:pt idx="21">
                  <c:v>18522415.755206764</c:v>
                </c:pt>
                <c:pt idx="22">
                  <c:v>20004209.015623294</c:v>
                </c:pt>
                <c:pt idx="23">
                  <c:v>21604545.736873154</c:v>
                </c:pt>
                <c:pt idx="24">
                  <c:v>23332909.395822994</c:v>
                </c:pt>
                <c:pt idx="25">
                  <c:v>25199542.147488825</c:v>
                </c:pt>
                <c:pt idx="26">
                  <c:v>27215505.519287929</c:v>
                </c:pt>
                <c:pt idx="27">
                  <c:v>29392745.960830953</c:v>
                </c:pt>
                <c:pt idx="28">
                  <c:v>31744165.637697417</c:v>
                </c:pt>
                <c:pt idx="29">
                  <c:v>34283698.888713196</c:v>
                </c:pt>
                <c:pt idx="30">
                  <c:v>37026394.799810238</c:v>
                </c:pt>
                <c:pt idx="31">
                  <c:v>39988506.383795045</c:v>
                </c:pt>
                <c:pt idx="32">
                  <c:v>43187586.894498631</c:v>
                </c:pt>
                <c:pt idx="33">
                  <c:v>46642593.846058518</c:v>
                </c:pt>
                <c:pt idx="34">
                  <c:v>50374001.353743173</c:v>
                </c:pt>
                <c:pt idx="35">
                  <c:v>54403921.462042607</c:v>
                </c:pt>
                <c:pt idx="36">
                  <c:v>58756235.179006003</c:v>
                </c:pt>
                <c:pt idx="37">
                  <c:v>63456733.99332647</c:v>
                </c:pt>
                <c:pt idx="38">
                  <c:v>68533272.71279256</c:v>
                </c:pt>
                <c:pt idx="39">
                  <c:v>74271374.293669149</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1-AA27-2A4F-87D2-8B28D379742C}"/>
            </c:ext>
          </c:extLst>
        </c:ser>
        <c:dLbls>
          <c:showLegendKey val="0"/>
          <c:showVal val="0"/>
          <c:showCatName val="0"/>
          <c:showSerName val="0"/>
          <c:showPercent val="0"/>
          <c:showBubbleSize val="0"/>
        </c:dLbls>
        <c:gapWidth val="219"/>
        <c:overlap val="-27"/>
        <c:axId val="1510580095"/>
        <c:axId val="1510572927"/>
      </c:barChart>
      <c:catAx>
        <c:axId val="151058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en-CZ"/>
          </a:p>
        </c:txPr>
        <c:crossAx val="1510572927"/>
        <c:crosses val="autoZero"/>
        <c:auto val="1"/>
        <c:lblAlgn val="ctr"/>
        <c:lblOffset val="100"/>
        <c:noMultiLvlLbl val="0"/>
      </c:catAx>
      <c:valAx>
        <c:axId val="1510572927"/>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quot;CZK&quot;" sourceLinked="0"/>
        <c:majorTickMark val="none"/>
        <c:minorTickMark val="none"/>
        <c:tickLblPos val="nextTo"/>
        <c:spPr>
          <a:noFill/>
          <a:ln>
            <a:noFill/>
            <a:prstDash val="solid"/>
          </a:ln>
        </c:spPr>
        <c:txPr>
          <a:bodyPr rot="-60000000" spcFirstLastPara="1" vertOverflow="ellipsis" vert="horz" wrap="square" anchor="ctr" anchorCtr="1"/>
          <a:lstStyle/>
          <a:p>
            <a:pPr>
              <a:defRPr sz="1400" b="0" i="0" strike="noStrike" kern="1200" baseline="0">
                <a:solidFill>
                  <a:schemeClr val="tx1">
                    <a:lumMod val="65000"/>
                    <a:lumOff val="35000"/>
                  </a:schemeClr>
                </a:solidFill>
                <a:latin typeface="+mn-lt"/>
                <a:ea typeface="+mn-ea"/>
                <a:cs typeface="+mn-cs"/>
              </a:defRPr>
            </a:pPr>
            <a:endParaRPr lang="en-CZ"/>
          </a:p>
        </c:txPr>
        <c:crossAx val="151058009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400" b="0" i="0" strike="noStrike" kern="1200" baseline="0">
              <a:solidFill>
                <a:schemeClr val="tx1">
                  <a:lumMod val="65000"/>
                  <a:lumOff val="35000"/>
                </a:schemeClr>
              </a:solidFill>
              <a:latin typeface="+mn-lt"/>
              <a:ea typeface="+mn-ea"/>
              <a:cs typeface="+mn-cs"/>
            </a:defRPr>
          </a:pPr>
          <a:endParaRPr lang="en-CZ"/>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sz="1400" b="0" i="0" strike="noStrike" kern="1200" spc="0" baseline="0">
                <a:solidFill>
                  <a:sysClr val="windowText" lastClr="000000">
                    <a:lumOff val="35000"/>
                    <a:lumMod val="65000"/>
                  </a:sysClr>
                </a:solidFill>
              </a:rPr>
              <a:t>Rent vs Buy Networth</a:t>
            </a:r>
          </a:p>
        </c:rich>
      </c:tx>
      <c:overlay val="0"/>
      <c:spPr>
        <a:noFill/>
        <a:ln>
          <a:noFill/>
          <a:prstDash val="solid"/>
        </a:ln>
      </c:spPr>
    </c:title>
    <c:autoTitleDeleted val="0"/>
    <c:plotArea>
      <c:layout/>
      <c:barChart>
        <c:barDir val="col"/>
        <c:grouping val="clustered"/>
        <c:varyColors val="0"/>
        <c:ser>
          <c:idx val="0"/>
          <c:order val="0"/>
          <c:tx>
            <c:strRef>
              <c:f>Results!$E$4</c:f>
              <c:strCache>
                <c:ptCount val="1"/>
                <c:pt idx="0">
                  <c:v>Buy Net worth CZK</c:v>
                </c:pt>
              </c:strCache>
            </c:strRef>
          </c:tx>
          <c:spPr>
            <a:solidFill>
              <a:schemeClr val="accent1"/>
            </a:solidFill>
            <a:ln>
              <a:noFill/>
              <a:prstDash val="solid"/>
            </a:ln>
          </c:spPr>
          <c:invertIfNegative val="0"/>
          <c:cat>
            <c:numRef>
              <c:f>Results!$D$5:$D$44</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Results!$E$5:$E$44</c:f>
              <c:numCache>
                <c:formatCode>_-* #\ ##0_-;\-* #\ ##0_-;_-* "-"??_-;_-@_-</c:formatCode>
                <c:ptCount val="40"/>
                <c:pt idx="0">
                  <c:v>1462000.6953533133</c:v>
                </c:pt>
                <c:pt idx="1">
                  <c:v>2065194.481019388</c:v>
                </c:pt>
                <c:pt idx="2">
                  <c:v>2697804.9377811719</c:v>
                </c:pt>
                <c:pt idx="3">
                  <c:v>3361269.7605822822</c:v>
                </c:pt>
                <c:pt idx="4">
                  <c:v>4057097.0511314552</c:v>
                </c:pt>
                <c:pt idx="5">
                  <c:v>4786868.7723228186</c:v>
                </c:pt>
                <c:pt idx="6">
                  <c:v>5552244.3724371986</c:v>
                </c:pt>
                <c:pt idx="7">
                  <c:v>6354964.5874824543</c:v>
                </c:pt>
                <c:pt idx="8">
                  <c:v>7196855.4304427868</c:v>
                </c:pt>
                <c:pt idx="9">
                  <c:v>8079832.3766394211</c:v>
                </c:pt>
                <c:pt idx="10">
                  <c:v>9005904.7548586987</c:v>
                </c:pt>
                <c:pt idx="11">
                  <c:v>9977180.3543799557</c:v>
                </c:pt>
                <c:pt idx="12">
                  <c:v>10995870.258534919</c:v>
                </c:pt>
                <c:pt idx="13">
                  <c:v>12064293.915955009</c:v>
                </c:pt>
                <c:pt idx="14">
                  <c:v>13184884.461212844</c:v>
                </c:pt>
                <c:pt idx="15">
                  <c:v>14360194.297141824</c:v>
                </c:pt>
                <c:pt idx="16">
                  <c:v>15592900.951723516</c:v>
                </c:pt>
                <c:pt idx="17">
                  <c:v>16890727.357567802</c:v>
                </c:pt>
                <c:pt idx="18">
                  <c:v>18247184.891941793</c:v>
                </c:pt>
                <c:pt idx="19">
                  <c:v>19669917.006393373</c:v>
                </c:pt>
                <c:pt idx="20">
                  <c:v>21162168.793401074</c:v>
                </c:pt>
                <c:pt idx="21">
                  <c:v>22747395.188280251</c:v>
                </c:pt>
                <c:pt idx="22">
                  <c:v>24421170.315934293</c:v>
                </c:pt>
                <c:pt idx="23">
                  <c:v>26204533.6648378</c:v>
                </c:pt>
                <c:pt idx="24">
                  <c:v>28105160.686019603</c:v>
                </c:pt>
                <c:pt idx="25">
                  <c:v>30131290.934625641</c:v>
                </c:pt>
                <c:pt idx="26">
                  <c:v>32308118.057054773</c:v>
                </c:pt>
                <c:pt idx="27">
                  <c:v>34613755.018046297</c:v>
                </c:pt>
                <c:pt idx="28">
                  <c:v>37073548.135311447</c:v>
                </c:pt>
                <c:pt idx="29">
                  <c:v>39698872.622215174</c:v>
                </c:pt>
                <c:pt idx="30">
                  <c:v>42568694.168133244</c:v>
                </c:pt>
                <c:pt idx="31">
                  <c:v>45636499.897565715</c:v>
                </c:pt>
                <c:pt idx="32">
                  <c:v>48935222.714871168</c:v>
                </c:pt>
                <c:pt idx="33">
                  <c:v>52482667.054644398</c:v>
                </c:pt>
                <c:pt idx="34">
                  <c:v>56317265.027403824</c:v>
                </c:pt>
                <c:pt idx="35">
                  <c:v>60422783.639649749</c:v>
                </c:pt>
                <c:pt idx="36">
                  <c:v>64839362.082838871</c:v>
                </c:pt>
                <c:pt idx="37">
                  <c:v>69591078.355427474</c:v>
                </c:pt>
                <c:pt idx="38">
                  <c:v>74703897.913719341</c:v>
                </c:pt>
                <c:pt idx="39">
                  <c:v>79496191.934496254</c:v>
                </c:pt>
              </c:numCache>
            </c:numRef>
          </c:val>
          <c:extLst>
            <c:ext xmlns:c16="http://schemas.microsoft.com/office/drawing/2014/chart" uri="{C3380CC4-5D6E-409C-BE32-E72D297353CC}">
              <c16:uniqueId val="{00000000-65B8-134B-88E6-02B96B66ADC0}"/>
            </c:ext>
          </c:extLst>
        </c:ser>
        <c:ser>
          <c:idx val="1"/>
          <c:order val="1"/>
          <c:tx>
            <c:strRef>
              <c:f>Results!$F$4</c:f>
              <c:strCache>
                <c:ptCount val="1"/>
                <c:pt idx="0">
                  <c:v>Rent Net worth CZK</c:v>
                </c:pt>
              </c:strCache>
            </c:strRef>
          </c:tx>
          <c:spPr>
            <a:solidFill>
              <a:schemeClr val="accent2"/>
            </a:solidFill>
            <a:ln>
              <a:noFill/>
              <a:prstDash val="solid"/>
            </a:ln>
          </c:spPr>
          <c:invertIfNegative val="0"/>
          <c:cat>
            <c:numRef>
              <c:f>Results!$D$5:$D$44</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Results!$F$5:$F$44</c:f>
              <c:numCache>
                <c:formatCode>_-* #\ ##0_-;\-* #\ ##0_-;_-* "-"??_-;_-@_-</c:formatCode>
                <c:ptCount val="40"/>
                <c:pt idx="0">
                  <c:v>1341299.2186986001</c:v>
                </c:pt>
                <c:pt idx="1">
                  <c:v>1782976.9730356655</c:v>
                </c:pt>
                <c:pt idx="2">
                  <c:v>2249931.58951195</c:v>
                </c:pt>
                <c:pt idx="3">
                  <c:v>2743655.4436955699</c:v>
                </c:pt>
                <c:pt idx="4">
                  <c:v>3256401.6515789931</c:v>
                </c:pt>
                <c:pt idx="5">
                  <c:v>3807769.5071862042</c:v>
                </c:pt>
                <c:pt idx="6">
                  <c:v>4390901.8028876716</c:v>
                </c:pt>
                <c:pt idx="7">
                  <c:v>5007692.7458436238</c:v>
                </c:pt>
                <c:pt idx="8">
                  <c:v>5650032.6772522926</c:v>
                </c:pt>
                <c:pt idx="9">
                  <c:v>6339495.3406847315</c:v>
                </c:pt>
                <c:pt idx="10">
                  <c:v>7068976.9211025666</c:v>
                </c:pt>
                <c:pt idx="11">
                  <c:v>7840889.2453299863</c:v>
                </c:pt>
                <c:pt idx="12">
                  <c:v>8657796.7824671268</c:v>
                </c:pt>
                <c:pt idx="13">
                  <c:v>9510568.2492204588</c:v>
                </c:pt>
                <c:pt idx="14">
                  <c:v>10424873.093211334</c:v>
                </c:pt>
                <c:pt idx="15">
                  <c:v>11392811.883829165</c:v>
                </c:pt>
                <c:pt idx="16">
                  <c:v>12417662.725240743</c:v>
                </c:pt>
                <c:pt idx="17">
                  <c:v>13494964.98692424</c:v>
                </c:pt>
                <c:pt idx="18">
                  <c:v>14643695.304645611</c:v>
                </c:pt>
                <c:pt idx="19">
                  <c:v>15860443.278821902</c:v>
                </c:pt>
                <c:pt idx="20">
                  <c:v>17149416.66857893</c:v>
                </c:pt>
                <c:pt idx="21">
                  <c:v>18522415.755206764</c:v>
                </c:pt>
                <c:pt idx="22">
                  <c:v>20004209.015623294</c:v>
                </c:pt>
                <c:pt idx="23">
                  <c:v>21604545.736873154</c:v>
                </c:pt>
                <c:pt idx="24">
                  <c:v>23332909.395822994</c:v>
                </c:pt>
                <c:pt idx="25">
                  <c:v>25199542.147488825</c:v>
                </c:pt>
                <c:pt idx="26">
                  <c:v>27215505.519287929</c:v>
                </c:pt>
                <c:pt idx="27">
                  <c:v>29392745.960830953</c:v>
                </c:pt>
                <c:pt idx="28">
                  <c:v>31744165.637697417</c:v>
                </c:pt>
                <c:pt idx="29">
                  <c:v>34283698.888713196</c:v>
                </c:pt>
                <c:pt idx="30">
                  <c:v>37026394.799810238</c:v>
                </c:pt>
                <c:pt idx="31">
                  <c:v>39988506.383795045</c:v>
                </c:pt>
                <c:pt idx="32">
                  <c:v>43187586.894498631</c:v>
                </c:pt>
                <c:pt idx="33">
                  <c:v>46642593.846058518</c:v>
                </c:pt>
                <c:pt idx="34">
                  <c:v>50374001.353743173</c:v>
                </c:pt>
                <c:pt idx="35">
                  <c:v>54403921.462042607</c:v>
                </c:pt>
                <c:pt idx="36">
                  <c:v>58756235.179006003</c:v>
                </c:pt>
                <c:pt idx="37">
                  <c:v>63456733.99332647</c:v>
                </c:pt>
                <c:pt idx="38">
                  <c:v>68533272.71279256</c:v>
                </c:pt>
                <c:pt idx="39">
                  <c:v>74271374.293669149</c:v>
                </c:pt>
              </c:numCache>
            </c:numRef>
          </c:val>
          <c:extLst>
            <c:ext xmlns:c16="http://schemas.microsoft.com/office/drawing/2014/chart" uri="{C3380CC4-5D6E-409C-BE32-E72D297353CC}">
              <c16:uniqueId val="{00000001-65B8-134B-88E6-02B96B66ADC0}"/>
            </c:ext>
          </c:extLst>
        </c:ser>
        <c:dLbls>
          <c:showLegendKey val="0"/>
          <c:showVal val="0"/>
          <c:showCatName val="0"/>
          <c:showSerName val="0"/>
          <c:showPercent val="0"/>
          <c:showBubbleSize val="0"/>
        </c:dLbls>
        <c:gapWidth val="219"/>
        <c:overlap val="-27"/>
        <c:axId val="1510580095"/>
        <c:axId val="1510572927"/>
      </c:barChart>
      <c:catAx>
        <c:axId val="1510580095"/>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en-CZ"/>
          </a:p>
        </c:txPr>
        <c:crossAx val="1510572927"/>
        <c:crosses val="autoZero"/>
        <c:auto val="1"/>
        <c:lblAlgn val="ctr"/>
        <c:lblOffset val="100"/>
        <c:noMultiLvlLbl val="0"/>
      </c:catAx>
      <c:valAx>
        <c:axId val="1510572927"/>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quot;CZK&quot;" sourceLinked="0"/>
        <c:majorTickMark val="none"/>
        <c:minorTickMark val="none"/>
        <c:tickLblPos val="nextTo"/>
        <c:spPr>
          <a:noFill/>
          <a:ln>
            <a:noFill/>
            <a:prstDash val="solid"/>
          </a:ln>
        </c:spPr>
        <c:txPr>
          <a:bodyPr rot="-6000000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en-CZ"/>
          </a:p>
        </c:txPr>
        <c:crossAx val="1510580095"/>
        <c:crosses val="autoZero"/>
        <c:crossBetween val="between"/>
        <c:dispUnits>
          <c:builtInUnit val="millions"/>
          <c:dispUnitsLbl>
            <c:spPr>
              <a:noFill/>
              <a:ln>
                <a:noFill/>
                <a:prstDash val="solid"/>
              </a:ln>
            </c:spPr>
            <c:txPr>
              <a:bodyPr rot="-540000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en-CZ"/>
              </a:p>
            </c:txPr>
          </c:dispUnitsLbl>
        </c:dispUnits>
      </c:valAx>
    </c:plotArea>
    <c:legend>
      <c:legendPos val="b"/>
      <c:overlay val="0"/>
      <c:spPr>
        <a:noFill/>
        <a:ln>
          <a:noFill/>
          <a:prstDash val="solid"/>
        </a:ln>
      </c:spPr>
      <c:txPr>
        <a:bodyPr rot="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en-CZ"/>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a:t>Rent vs Buy Annual costs</a:t>
            </a:r>
          </a:p>
        </c:rich>
      </c:tx>
      <c:overlay val="0"/>
      <c:spPr>
        <a:noFill/>
        <a:ln>
          <a:noFill/>
          <a:prstDash val="solid"/>
        </a:ln>
      </c:spPr>
    </c:title>
    <c:autoTitleDeleted val="0"/>
    <c:plotArea>
      <c:layout/>
      <c:lineChart>
        <c:grouping val="standard"/>
        <c:varyColors val="0"/>
        <c:ser>
          <c:idx val="0"/>
          <c:order val="0"/>
          <c:tx>
            <c:strRef>
              <c:f>Results!$G$4</c:f>
              <c:strCache>
                <c:ptCount val="1"/>
                <c:pt idx="0">
                  <c:v>Buy annaul cost </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numRef>
              <c:f>Results!$D$5:$D$44</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Results!$G$5:$G$44</c:f>
              <c:numCache>
                <c:formatCode>_-* #\ ##0_-;\-* #\ ##0_-;_-* "-"??_-;_-@_-</c:formatCode>
                <c:ptCount val="40"/>
                <c:pt idx="0">
                  <c:v>738474.93626311724</c:v>
                </c:pt>
                <c:pt idx="1">
                  <c:v>656462.60612116032</c:v>
                </c:pt>
                <c:pt idx="2">
                  <c:v>663443.88720756792</c:v>
                </c:pt>
                <c:pt idx="3">
                  <c:v>670748.26165214553</c:v>
                </c:pt>
                <c:pt idx="4">
                  <c:v>678391.23485539726</c:v>
                </c:pt>
                <c:pt idx="5">
                  <c:v>686389.07125616877</c:v>
                </c:pt>
                <c:pt idx="6">
                  <c:v>694758.83187776909</c:v>
                </c:pt>
                <c:pt idx="7">
                  <c:v>703518.41374125995</c:v>
                </c:pt>
                <c:pt idx="8">
                  <c:v>712686.59123900614</c:v>
                </c:pt>
                <c:pt idx="9">
                  <c:v>722283.05956624716</c:v>
                </c:pt>
                <c:pt idx="10">
                  <c:v>732328.48031332321</c:v>
                </c:pt>
                <c:pt idx="11">
                  <c:v>742844.52932631259</c:v>
                </c:pt>
                <c:pt idx="12">
                  <c:v>753853.94694922538</c:v>
                </c:pt>
                <c:pt idx="13">
                  <c:v>765380.5907665391</c:v>
                </c:pt>
                <c:pt idx="14">
                  <c:v>777449.49097080552</c:v>
                </c:pt>
                <c:pt idx="15">
                  <c:v>790086.90848627454</c:v>
                </c:pt>
                <c:pt idx="16">
                  <c:v>803320.39598603069</c:v>
                </c:pt>
                <c:pt idx="17">
                  <c:v>817178.86194700119</c:v>
                </c:pt>
                <c:pt idx="18">
                  <c:v>831692.63789440272</c:v>
                </c:pt>
                <c:pt idx="19">
                  <c:v>846893.54899476608</c:v>
                </c:pt>
                <c:pt idx="20">
                  <c:v>862816.31311109941</c:v>
                </c:pt>
                <c:pt idx="21">
                  <c:v>880688.97626613139</c:v>
                </c:pt>
                <c:pt idx="22">
                  <c:v>900406.08420614561</c:v>
                </c:pt>
                <c:pt idx="23">
                  <c:v>921054.35357544315</c:v>
                </c:pt>
                <c:pt idx="24">
                  <c:v>942678.73719231749</c:v>
                </c:pt>
                <c:pt idx="25">
                  <c:v>965326.384774131</c:v>
                </c:pt>
                <c:pt idx="26">
                  <c:v>989046.75104049081</c:v>
                </c:pt>
                <c:pt idx="27">
                  <c:v>1013891.7091569377</c:v>
                </c:pt>
                <c:pt idx="28">
                  <c:v>1039915.6697836086</c:v>
                </c:pt>
                <c:pt idx="29">
                  <c:v>1066773.3709794641</c:v>
                </c:pt>
                <c:pt idx="30">
                  <c:v>576543.46554994886</c:v>
                </c:pt>
                <c:pt idx="31">
                  <c:v>603129.27384201041</c:v>
                </c:pt>
                <c:pt idx="32">
                  <c:v>630991.22592403926</c:v>
                </c:pt>
                <c:pt idx="33">
                  <c:v>660191.80031991762</c:v>
                </c:pt>
                <c:pt idx="34">
                  <c:v>690796.56626308174</c:v>
                </c:pt>
                <c:pt idx="35">
                  <c:v>722874.33740158356</c:v>
                </c:pt>
                <c:pt idx="36">
                  <c:v>756497.33316764422</c:v>
                </c:pt>
                <c:pt idx="37">
                  <c:v>791741.34819440718</c:v>
                </c:pt>
                <c:pt idx="38">
                  <c:v>828685.93018171797</c:v>
                </c:pt>
                <c:pt idx="39">
                  <c:v>1491758.0775642497</c:v>
                </c:pt>
              </c:numCache>
            </c:numRef>
          </c:val>
          <c:smooth val="0"/>
          <c:extLst>
            <c:ext xmlns:c16="http://schemas.microsoft.com/office/drawing/2014/chart" uri="{C3380CC4-5D6E-409C-BE32-E72D297353CC}">
              <c16:uniqueId val="{00000000-B203-A44C-B94B-D4D714565BBA}"/>
            </c:ext>
          </c:extLst>
        </c:ser>
        <c:ser>
          <c:idx val="1"/>
          <c:order val="1"/>
          <c:tx>
            <c:strRef>
              <c:f>Results!$H$4</c:f>
              <c:strCache>
                <c:ptCount val="1"/>
                <c:pt idx="0">
                  <c:v>Rent annual cost</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numRef>
              <c:f>Results!$D$5:$D$44</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Results!$H$5:$H$44</c:f>
              <c:numCache>
                <c:formatCode>_-* #\ ##0_-;\-* #\ ##0_-;_-* "-"??_-;_-@_-</c:formatCode>
                <c:ptCount val="40"/>
                <c:pt idx="0">
                  <c:v>369731.12090421771</c:v>
                </c:pt>
                <c:pt idx="1">
                  <c:v>333817.17694942892</c:v>
                </c:pt>
                <c:pt idx="2">
                  <c:v>350508.0357969008</c:v>
                </c:pt>
                <c:pt idx="3">
                  <c:v>368033.43758674624</c:v>
                </c:pt>
                <c:pt idx="4">
                  <c:v>395356.93498839589</c:v>
                </c:pt>
                <c:pt idx="5">
                  <c:v>405756.86493938859</c:v>
                </c:pt>
                <c:pt idx="6">
                  <c:v>426044.70818635862</c:v>
                </c:pt>
                <c:pt idx="7">
                  <c:v>447346.94359567703</c:v>
                </c:pt>
                <c:pt idx="8">
                  <c:v>479643.70913071663</c:v>
                </c:pt>
                <c:pt idx="9">
                  <c:v>493200.00531423499</c:v>
                </c:pt>
                <c:pt idx="10">
                  <c:v>517860.00557994738</c:v>
                </c:pt>
                <c:pt idx="11">
                  <c:v>543753.00585894519</c:v>
                </c:pt>
                <c:pt idx="12">
                  <c:v>570940.6561518932</c:v>
                </c:pt>
                <c:pt idx="13">
                  <c:v>610538.49337469658</c:v>
                </c:pt>
                <c:pt idx="14">
                  <c:v>629462.07340746373</c:v>
                </c:pt>
                <c:pt idx="15">
                  <c:v>660935.17707783764</c:v>
                </c:pt>
                <c:pt idx="16">
                  <c:v>693981.9359317302</c:v>
                </c:pt>
                <c:pt idx="17">
                  <c:v>740979.86775107065</c:v>
                </c:pt>
                <c:pt idx="18">
                  <c:v>765115.08436473424</c:v>
                </c:pt>
                <c:pt idx="19">
                  <c:v>803370.83858297172</c:v>
                </c:pt>
                <c:pt idx="20">
                  <c:v>843539.38051212125</c:v>
                </c:pt>
                <c:pt idx="21">
                  <c:v>899404.16240940825</c:v>
                </c:pt>
                <c:pt idx="22">
                  <c:v>930002.16701461584</c:v>
                </c:pt>
                <c:pt idx="23">
                  <c:v>976502.27536534774</c:v>
                </c:pt>
                <c:pt idx="24">
                  <c:v>1025327.3891336164</c:v>
                </c:pt>
                <c:pt idx="25">
                  <c:v>1076593.7585902982</c:v>
                </c:pt>
                <c:pt idx="26">
                  <c:v>1145657.1024606826</c:v>
                </c:pt>
                <c:pt idx="27">
                  <c:v>1186944.6188458067</c:v>
                </c:pt>
                <c:pt idx="28">
                  <c:v>1246291.8497880981</c:v>
                </c:pt>
                <c:pt idx="29">
                  <c:v>1308606.4422775046</c:v>
                </c:pt>
                <c:pt idx="30">
                  <c:v>1390990.8443090648</c:v>
                </c:pt>
                <c:pt idx="31">
                  <c:v>1442738.6026109522</c:v>
                </c:pt>
                <c:pt idx="32">
                  <c:v>1514875.5327415015</c:v>
                </c:pt>
                <c:pt idx="33">
                  <c:v>1590619.3093785781</c:v>
                </c:pt>
                <c:pt idx="34">
                  <c:v>1689019.0760709925</c:v>
                </c:pt>
                <c:pt idx="35">
                  <c:v>1753657.7885898864</c:v>
                </c:pt>
                <c:pt idx="36">
                  <c:v>1841340.678019383</c:v>
                </c:pt>
                <c:pt idx="37">
                  <c:v>1933407.711920354</c:v>
                </c:pt>
                <c:pt idx="38">
                  <c:v>2030078.0975163742</c:v>
                </c:pt>
                <c:pt idx="39">
                  <c:v>1789319.9238929832</c:v>
                </c:pt>
              </c:numCache>
            </c:numRef>
          </c:val>
          <c:smooth val="0"/>
          <c:extLst>
            <c:ext xmlns:c16="http://schemas.microsoft.com/office/drawing/2014/chart" uri="{C3380CC4-5D6E-409C-BE32-E72D297353CC}">
              <c16:uniqueId val="{00000001-B203-A44C-B94B-D4D714565BBA}"/>
            </c:ext>
          </c:extLst>
        </c:ser>
        <c:dLbls>
          <c:showLegendKey val="0"/>
          <c:showVal val="0"/>
          <c:showCatName val="0"/>
          <c:showSerName val="0"/>
          <c:showPercent val="0"/>
          <c:showBubbleSize val="0"/>
        </c:dLbls>
        <c:marker val="1"/>
        <c:smooth val="0"/>
        <c:axId val="1511092927"/>
        <c:axId val="1510186879"/>
      </c:lineChart>
      <c:catAx>
        <c:axId val="1511092927"/>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CZ"/>
          </a:p>
        </c:txPr>
        <c:crossAx val="1510186879"/>
        <c:crosses val="autoZero"/>
        <c:auto val="1"/>
        <c:lblAlgn val="ctr"/>
        <c:lblOffset val="100"/>
        <c:noMultiLvlLbl val="0"/>
      </c:catAx>
      <c:valAx>
        <c:axId val="1510186879"/>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quot;CZK&quot;"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CZ"/>
          </a:p>
        </c:txPr>
        <c:crossAx val="1511092927"/>
        <c:crosses val="autoZero"/>
        <c:crossBetween val="between"/>
        <c:dispUnits>
          <c:builtInUnit val="thousands"/>
          <c:dispUnitsLbl>
            <c:spPr>
              <a:noFill/>
              <a:ln>
                <a:noFill/>
                <a:prstDash val="solid"/>
              </a:ln>
            </c:spPr>
            <c: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CZ"/>
              </a:p>
            </c:txPr>
          </c:dispUnitsLbl>
        </c:dispUnits>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CZ"/>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a:t>Annual buy side costs by component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Z"/>
        </a:p>
      </c:txPr>
    </c:title>
    <c:autoTitleDeleted val="0"/>
    <c:plotArea>
      <c:layout/>
      <c:barChart>
        <c:barDir val="col"/>
        <c:grouping val="stacked"/>
        <c:varyColors val="0"/>
        <c:ser>
          <c:idx val="0"/>
          <c:order val="0"/>
          <c:tx>
            <c:strRef>
              <c:f>'Annual cost matrix'!$A$6</c:f>
              <c:strCache>
                <c:ptCount val="1"/>
                <c:pt idx="0">
                  <c:v>Year</c:v>
                </c:pt>
              </c:strCache>
            </c:strRef>
          </c:tx>
          <c:spPr>
            <a:solidFill>
              <a:schemeClr val="accent1"/>
            </a:solidFill>
            <a:ln>
              <a:noFill/>
            </a:ln>
            <a:effectLst/>
          </c:spPr>
          <c:invertIfNegative val="0"/>
          <c:val>
            <c:numRef>
              <c:f>'Annual cost matrix'!$A$7:$A$66</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val>
          <c:extLst>
            <c:ext xmlns:c16="http://schemas.microsoft.com/office/drawing/2014/chart" uri="{C3380CC4-5D6E-409C-BE32-E72D297353CC}">
              <c16:uniqueId val="{00000000-C42A-304A-B62C-4E8F39D70BB0}"/>
            </c:ext>
          </c:extLst>
        </c:ser>
        <c:ser>
          <c:idx val="1"/>
          <c:order val="1"/>
          <c:tx>
            <c:strRef>
              <c:f>'Annual cost matrix'!$B$6</c:f>
              <c:strCache>
                <c:ptCount val="1"/>
                <c:pt idx="0">
                  <c:v>Mortgage interest</c:v>
                </c:pt>
              </c:strCache>
            </c:strRef>
          </c:tx>
          <c:spPr>
            <a:solidFill>
              <a:schemeClr val="accent2"/>
            </a:solidFill>
            <a:ln>
              <a:noFill/>
            </a:ln>
            <a:effectLst/>
          </c:spPr>
          <c:invertIfNegative val="0"/>
          <c:val>
            <c:numRef>
              <c:f>'Annual cost matrix'!$B$7:$B$66</c:f>
              <c:numCache>
                <c:formatCode>#\ ##0;\(#\ ##0\);\-</c:formatCode>
                <c:ptCount val="60"/>
                <c:pt idx="0">
                  <c:v>346288.45971380454</c:v>
                </c:pt>
                <c:pt idx="1">
                  <c:v>340413.69440104719</c:v>
                </c:pt>
                <c:pt idx="2">
                  <c:v>334276.91455534071</c:v>
                </c:pt>
                <c:pt idx="3">
                  <c:v>327866.43432851566</c:v>
                </c:pt>
                <c:pt idx="4">
                  <c:v>321170.04668357427</c:v>
                </c:pt>
                <c:pt idx="5">
                  <c:v>314175.00014966866</c:v>
                </c:pt>
                <c:pt idx="6">
                  <c:v>306867.97454035061</c:v>
                </c:pt>
                <c:pt idx="7">
                  <c:v>299235.05558885704</c:v>
                </c:pt>
                <c:pt idx="8">
                  <c:v>291261.70845212706</c:v>
                </c:pt>
                <c:pt idx="9">
                  <c:v>282932.75003309874</c:v>
                </c:pt>
                <c:pt idx="10">
                  <c:v>274232.32006858184</c:v>
                </c:pt>
                <c:pt idx="11">
                  <c:v>265143.85092764738</c:v>
                </c:pt>
                <c:pt idx="12">
                  <c:v>255650.03606302722</c:v>
                </c:pt>
                <c:pt idx="13">
                  <c:v>245732.797055445</c:v>
                </c:pt>
                <c:pt idx="14">
                  <c:v>235373.24918812473</c:v>
                </c:pt>
                <c:pt idx="15">
                  <c:v>224551.66548592178</c:v>
                </c:pt>
                <c:pt idx="16">
                  <c:v>213247.43915060078</c:v>
                </c:pt>
                <c:pt idx="17">
                  <c:v>201439.04432072444</c:v>
                </c:pt>
                <c:pt idx="18">
                  <c:v>189103.9950814356</c:v>
                </c:pt>
                <c:pt idx="19">
                  <c:v>176218.80264607441</c:v>
                </c:pt>
                <c:pt idx="20">
                  <c:v>162758.93062809616</c:v>
                </c:pt>
                <c:pt idx="21">
                  <c:v>148698.74831811604</c:v>
                </c:pt>
                <c:pt idx="22">
                  <c:v>134011.48187711078</c:v>
                </c:pt>
                <c:pt idx="23">
                  <c:v>118669.16335283671</c:v>
                </c:pt>
                <c:pt idx="24">
                  <c:v>102642.57742238003</c:v>
                </c:pt>
                <c:pt idx="25">
                  <c:v>85901.205759424935</c:v>
                </c:pt>
                <c:pt idx="26">
                  <c:v>68413.16892030208</c:v>
                </c:pt>
                <c:pt idx="27">
                  <c:v>50145.165638154322</c:v>
                </c:pt>
                <c:pt idx="28">
                  <c:v>31062.409409622782</c:v>
                </c:pt>
                <c:pt idx="29">
                  <c:v>11128.562253298725</c:v>
                </c:pt>
                <c:pt idx="30">
                  <c:v>9.2484697233886046E-11</c:v>
                </c:pt>
                <c:pt idx="31">
                  <c:v>9.6609514730517366E-11</c:v>
                </c:pt>
                <c:pt idx="32">
                  <c:v>1.0091829908749847E-10</c:v>
                </c:pt>
                <c:pt idx="33">
                  <c:v>1.0541925522680095E-10</c:v>
                </c:pt>
                <c:pt idx="34">
                  <c:v>1.101209540099163E-10</c:v>
                </c:pt>
                <c:pt idx="35">
                  <c:v>1.1503234855875859E-10</c:v>
                </c:pt>
                <c:pt idx="36">
                  <c:v>1.2016279130447925E-10</c:v>
                </c:pt>
                <c:pt idx="37">
                  <c:v>1.2552205179665904E-10</c:v>
                </c:pt>
                <c:pt idx="38">
                  <c:v>1.3112033530679007E-10</c:v>
                </c:pt>
                <c:pt idx="39">
                  <c:v>1.3696830226147294E-10</c:v>
                </c:pt>
                <c:pt idx="40">
                  <c:v>1.4307708854233467E-10</c:v>
                </c:pt>
                <c:pt idx="41">
                  <c:v>1.4945832669132286E-10</c:v>
                </c:pt>
                <c:pt idx="42">
                  <c:v>1.5612416806175588E-10</c:v>
                </c:pt>
                <c:pt idx="43">
                  <c:v>1.6308730595731023E-10</c:v>
                </c:pt>
                <c:pt idx="44">
                  <c:v>1.7036099980300629E-10</c:v>
                </c:pt>
                <c:pt idx="45">
                  <c:v>1.7795910039422045E-10</c:v>
                </c:pt>
                <c:pt idx="46">
                  <c:v>1.8589607627180274E-10</c:v>
                </c:pt>
                <c:pt idx="47">
                  <c:v>1.941870412735252E-10</c:v>
                </c:pt>
                <c:pt idx="48">
                  <c:v>2.0284778331432442E-10</c:v>
                </c:pt>
                <c:pt idx="49">
                  <c:v>2.1189479445014333E-10</c:v>
                </c:pt>
                <c:pt idx="50">
                  <c:v>2.2134530228261978E-10</c:v>
                </c:pt>
                <c:pt idx="51">
                  <c:v>2.3121730276442473E-10</c:v>
                </c:pt>
                <c:pt idx="52">
                  <c:v>2.4152959446771817E-10</c:v>
                </c:pt>
                <c:pt idx="53">
                  <c:v>2.5230181438097842E-10</c:v>
                </c:pt>
                <c:pt idx="54">
                  <c:v>2.6355447530237005E-10</c:v>
                </c:pt>
                <c:pt idx="55">
                  <c:v>2.7530900490085575E-10</c:v>
                </c:pt>
                <c:pt idx="56">
                  <c:v>2.87587786519434E-10</c:v>
                </c:pt>
                <c:pt idx="57">
                  <c:v>3.0041420179820079E-10</c:v>
                </c:pt>
                <c:pt idx="58">
                  <c:v>3.1381267519840072E-10</c:v>
                </c:pt>
                <c:pt idx="59">
                  <c:v>3.2780872051224944E-10</c:v>
                </c:pt>
              </c:numCache>
            </c:numRef>
          </c:val>
          <c:extLst>
            <c:ext xmlns:c16="http://schemas.microsoft.com/office/drawing/2014/chart" uri="{C3380CC4-5D6E-409C-BE32-E72D297353CC}">
              <c16:uniqueId val="{00000001-C42A-304A-B62C-4E8F39D70BB0}"/>
            </c:ext>
          </c:extLst>
        </c:ser>
        <c:ser>
          <c:idx val="2"/>
          <c:order val="2"/>
          <c:tx>
            <c:strRef>
              <c:f>'Annual cost matrix'!$C$6</c:f>
              <c:strCache>
                <c:ptCount val="1"/>
                <c:pt idx="0">
                  <c:v>Mortgage principal</c:v>
                </c:pt>
              </c:strCache>
            </c:strRef>
          </c:tx>
          <c:spPr>
            <a:solidFill>
              <a:schemeClr val="accent3"/>
            </a:solidFill>
            <a:ln>
              <a:noFill/>
            </a:ln>
            <a:effectLst/>
          </c:spPr>
          <c:invertIfNegative val="0"/>
          <c:val>
            <c:numRef>
              <c:f>'Annual cost matrix'!$C$7:$C$66</c:f>
              <c:numCache>
                <c:formatCode>#\ ##0;\(#\ ##0\);\-</c:formatCode>
                <c:ptCount val="60"/>
                <c:pt idx="0">
                  <c:v>131721.19535330578</c:v>
                </c:pt>
                <c:pt idx="1">
                  <c:v>137595.96066606315</c:v>
                </c:pt>
                <c:pt idx="2">
                  <c:v>143732.74051176963</c:v>
                </c:pt>
                <c:pt idx="3">
                  <c:v>150143.22073859462</c:v>
                </c:pt>
                <c:pt idx="4">
                  <c:v>156839.60838353602</c:v>
                </c:pt>
                <c:pt idx="5">
                  <c:v>163834.65491744175</c:v>
                </c:pt>
                <c:pt idx="6">
                  <c:v>171141.68052675965</c:v>
                </c:pt>
                <c:pt idx="7">
                  <c:v>178774.59947825322</c:v>
                </c:pt>
                <c:pt idx="8">
                  <c:v>186747.94661498332</c:v>
                </c:pt>
                <c:pt idx="9">
                  <c:v>195076.90503401158</c:v>
                </c:pt>
                <c:pt idx="10">
                  <c:v>203777.33499852847</c:v>
                </c:pt>
                <c:pt idx="11">
                  <c:v>212865.80413946294</c:v>
                </c:pt>
                <c:pt idx="12">
                  <c:v>222359.6190040831</c:v>
                </c:pt>
                <c:pt idx="13">
                  <c:v>232276.85801166529</c:v>
                </c:pt>
                <c:pt idx="14">
                  <c:v>242636.40587898559</c:v>
                </c:pt>
                <c:pt idx="15">
                  <c:v>253457.98958118854</c:v>
                </c:pt>
                <c:pt idx="16">
                  <c:v>264762.21591650951</c:v>
                </c:pt>
                <c:pt idx="17">
                  <c:v>276570.61074638588</c:v>
                </c:pt>
                <c:pt idx="18">
                  <c:v>288905.65998567478</c:v>
                </c:pt>
                <c:pt idx="19">
                  <c:v>301790.85242103587</c:v>
                </c:pt>
                <c:pt idx="20">
                  <c:v>315250.72443901416</c:v>
                </c:pt>
                <c:pt idx="21">
                  <c:v>329310.90674899425</c:v>
                </c:pt>
                <c:pt idx="22">
                  <c:v>343998.17318999954</c:v>
                </c:pt>
                <c:pt idx="23">
                  <c:v>359340.49171427364</c:v>
                </c:pt>
                <c:pt idx="24">
                  <c:v>375367.07764473028</c:v>
                </c:pt>
                <c:pt idx="25">
                  <c:v>392108.44930768537</c:v>
                </c:pt>
                <c:pt idx="26">
                  <c:v>409596.48614680831</c:v>
                </c:pt>
                <c:pt idx="27">
                  <c:v>427864.489428956</c:v>
                </c:pt>
                <c:pt idx="28">
                  <c:v>446947.24565748754</c:v>
                </c:pt>
                <c:pt idx="29">
                  <c:v>466881.09281381156</c:v>
                </c:pt>
                <c:pt idx="30">
                  <c:v>-9.2484697233886046E-11</c:v>
                </c:pt>
                <c:pt idx="31">
                  <c:v>-9.6609514730517366E-11</c:v>
                </c:pt>
                <c:pt idx="32">
                  <c:v>-1.0091829908749847E-10</c:v>
                </c:pt>
                <c:pt idx="33">
                  <c:v>-1.0541925522680095E-10</c:v>
                </c:pt>
                <c:pt idx="34">
                  <c:v>-1.101209540099163E-10</c:v>
                </c:pt>
                <c:pt idx="35">
                  <c:v>-1.1503234855875859E-10</c:v>
                </c:pt>
                <c:pt idx="36">
                  <c:v>-1.2016279130447925E-10</c:v>
                </c:pt>
                <c:pt idx="37">
                  <c:v>-1.2552205179665904E-10</c:v>
                </c:pt>
                <c:pt idx="38">
                  <c:v>-1.3112033530679007E-10</c:v>
                </c:pt>
                <c:pt idx="39">
                  <c:v>-1.3696830226147294E-10</c:v>
                </c:pt>
                <c:pt idx="40">
                  <c:v>-1.4307708854233467E-10</c:v>
                </c:pt>
                <c:pt idx="41">
                  <c:v>-1.4945832669132286E-10</c:v>
                </c:pt>
                <c:pt idx="42">
                  <c:v>-1.5612416806175588E-10</c:v>
                </c:pt>
                <c:pt idx="43">
                  <c:v>-1.6308730595731023E-10</c:v>
                </c:pt>
                <c:pt idx="44">
                  <c:v>-1.7036099980300629E-10</c:v>
                </c:pt>
                <c:pt idx="45">
                  <c:v>-1.7795910039422045E-10</c:v>
                </c:pt>
                <c:pt idx="46">
                  <c:v>-1.8589607627180274E-10</c:v>
                </c:pt>
                <c:pt idx="47">
                  <c:v>-1.941870412735252E-10</c:v>
                </c:pt>
                <c:pt idx="48">
                  <c:v>-2.0284778331432442E-10</c:v>
                </c:pt>
                <c:pt idx="49">
                  <c:v>-2.1189479445014333E-10</c:v>
                </c:pt>
                <c:pt idx="50">
                  <c:v>-2.2134530228261978E-10</c:v>
                </c:pt>
                <c:pt idx="51">
                  <c:v>-2.3121730276442473E-10</c:v>
                </c:pt>
                <c:pt idx="52">
                  <c:v>-2.4152959446771817E-10</c:v>
                </c:pt>
                <c:pt idx="53">
                  <c:v>-2.5230181438097842E-10</c:v>
                </c:pt>
                <c:pt idx="54">
                  <c:v>-2.6355447530237005E-10</c:v>
                </c:pt>
                <c:pt idx="55">
                  <c:v>-2.7530900490085575E-10</c:v>
                </c:pt>
                <c:pt idx="56">
                  <c:v>-2.87587786519434E-10</c:v>
                </c:pt>
                <c:pt idx="57">
                  <c:v>-3.0041420179820079E-10</c:v>
                </c:pt>
                <c:pt idx="58">
                  <c:v>-3.1381267519840072E-10</c:v>
                </c:pt>
                <c:pt idx="59">
                  <c:v>-3.2780872051224944E-10</c:v>
                </c:pt>
              </c:numCache>
            </c:numRef>
          </c:val>
          <c:extLst>
            <c:ext xmlns:c16="http://schemas.microsoft.com/office/drawing/2014/chart" uri="{C3380CC4-5D6E-409C-BE32-E72D297353CC}">
              <c16:uniqueId val="{00000002-C42A-304A-B62C-4E8F39D70BB0}"/>
            </c:ext>
          </c:extLst>
        </c:ser>
        <c:ser>
          <c:idx val="3"/>
          <c:order val="3"/>
          <c:tx>
            <c:strRef>
              <c:f>'Annual cost matrix'!$D$6</c:f>
              <c:strCache>
                <c:ptCount val="1"/>
                <c:pt idx="0">
                  <c:v>Payment protection ins</c:v>
                </c:pt>
              </c:strCache>
            </c:strRef>
          </c:tx>
          <c:spPr>
            <a:solidFill>
              <a:schemeClr val="accent4"/>
            </a:solidFill>
            <a:ln>
              <a:noFill/>
            </a:ln>
            <a:effectLst/>
          </c:spPr>
          <c:invertIfNegative val="0"/>
          <c:val>
            <c:numRef>
              <c:f>'Annual cost matrix'!$D$7:$D$66</c:f>
              <c:numCache>
                <c:formatCode>#\ ##0;\(#\ ##0\);\-</c:formatCode>
                <c:ptCount val="60"/>
                <c:pt idx="0">
                  <c:v>38240.772405368829</c:v>
                </c:pt>
                <c:pt idx="1">
                  <c:v>38240.772405368829</c:v>
                </c:pt>
                <c:pt idx="2">
                  <c:v>38240.772405368829</c:v>
                </c:pt>
                <c:pt idx="3">
                  <c:v>38240.772405368829</c:v>
                </c:pt>
                <c:pt idx="4">
                  <c:v>38240.772405368829</c:v>
                </c:pt>
                <c:pt idx="5">
                  <c:v>38240.772405368829</c:v>
                </c:pt>
                <c:pt idx="6">
                  <c:v>38240.772405368829</c:v>
                </c:pt>
                <c:pt idx="7">
                  <c:v>38240.772405368829</c:v>
                </c:pt>
                <c:pt idx="8">
                  <c:v>38240.772405368829</c:v>
                </c:pt>
                <c:pt idx="9">
                  <c:v>38240.772405368829</c:v>
                </c:pt>
                <c:pt idx="10">
                  <c:v>38240.772405368829</c:v>
                </c:pt>
                <c:pt idx="11">
                  <c:v>38240.772405368829</c:v>
                </c:pt>
                <c:pt idx="12">
                  <c:v>38240.772405368829</c:v>
                </c:pt>
                <c:pt idx="13">
                  <c:v>38240.772405368829</c:v>
                </c:pt>
                <c:pt idx="14">
                  <c:v>38240.772405368829</c:v>
                </c:pt>
                <c:pt idx="15">
                  <c:v>38240.772405368829</c:v>
                </c:pt>
                <c:pt idx="16">
                  <c:v>38240.772405368829</c:v>
                </c:pt>
                <c:pt idx="17">
                  <c:v>38240.772405368829</c:v>
                </c:pt>
                <c:pt idx="18">
                  <c:v>38240.772405368829</c:v>
                </c:pt>
                <c:pt idx="19">
                  <c:v>38240.772405368829</c:v>
                </c:pt>
                <c:pt idx="20">
                  <c:v>38240.772405368829</c:v>
                </c:pt>
                <c:pt idx="21">
                  <c:v>38240.772405368829</c:v>
                </c:pt>
                <c:pt idx="22">
                  <c:v>38240.772405368829</c:v>
                </c:pt>
                <c:pt idx="23">
                  <c:v>38240.772405368829</c:v>
                </c:pt>
                <c:pt idx="24">
                  <c:v>38240.772405368829</c:v>
                </c:pt>
                <c:pt idx="25">
                  <c:v>38240.772405368829</c:v>
                </c:pt>
                <c:pt idx="26">
                  <c:v>38240.772405368829</c:v>
                </c:pt>
                <c:pt idx="27">
                  <c:v>38240.772405368829</c:v>
                </c:pt>
                <c:pt idx="28">
                  <c:v>38240.772405368829</c:v>
                </c:pt>
                <c:pt idx="29">
                  <c:v>38240.772405368829</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3-C42A-304A-B62C-4E8F39D70BB0}"/>
            </c:ext>
          </c:extLst>
        </c:ser>
        <c:ser>
          <c:idx val="4"/>
          <c:order val="4"/>
          <c:tx>
            <c:strRef>
              <c:f>'Annual cost matrix'!$E$6</c:f>
              <c:strCache>
                <c:ptCount val="1"/>
                <c:pt idx="0">
                  <c:v>Property insurance</c:v>
                </c:pt>
              </c:strCache>
            </c:strRef>
          </c:tx>
          <c:spPr>
            <a:solidFill>
              <a:schemeClr val="accent5"/>
            </a:solidFill>
            <a:ln>
              <a:noFill/>
            </a:ln>
            <a:effectLst/>
          </c:spPr>
          <c:invertIfNegative val="0"/>
          <c:val>
            <c:numRef>
              <c:f>'Annual cost matrix'!$E$7:$E$66</c:f>
              <c:numCache>
                <c:formatCode>#\ ##0;\(#\ ##0\);\-</c:formatCode>
                <c:ptCount val="60"/>
                <c:pt idx="0">
                  <c:v>4053.9623259566524</c:v>
                </c:pt>
                <c:pt idx="1">
                  <c:v>4155.3113841055629</c:v>
                </c:pt>
                <c:pt idx="2">
                  <c:v>4259.1941687081962</c:v>
                </c:pt>
                <c:pt idx="3">
                  <c:v>4365.674022925894</c:v>
                </c:pt>
                <c:pt idx="4">
                  <c:v>4474.8158734990357</c:v>
                </c:pt>
                <c:pt idx="5">
                  <c:v>4586.6862703365041</c:v>
                </c:pt>
                <c:pt idx="6">
                  <c:v>4701.3534270949112</c:v>
                </c:pt>
                <c:pt idx="7">
                  <c:v>4818.8872627722767</c:v>
                </c:pt>
                <c:pt idx="8">
                  <c:v>4939.3594443415768</c:v>
                </c:pt>
                <c:pt idx="9">
                  <c:v>5062.8434304501079</c:v>
                </c:pt>
                <c:pt idx="10">
                  <c:v>5189.4145162113537</c:v>
                </c:pt>
                <c:pt idx="11">
                  <c:v>5319.1498791166305</c:v>
                </c:pt>
                <c:pt idx="12">
                  <c:v>5452.128626094539</c:v>
                </c:pt>
                <c:pt idx="13">
                  <c:v>5588.4318417468958</c:v>
                </c:pt>
                <c:pt idx="14">
                  <c:v>5728.1426377905591</c:v>
                </c:pt>
                <c:pt idx="15">
                  <c:v>5871.3462037353138</c:v>
                </c:pt>
                <c:pt idx="16">
                  <c:v>6018.1298588286891</c:v>
                </c:pt>
                <c:pt idx="17">
                  <c:v>6168.5831052993981</c:v>
                </c:pt>
                <c:pt idx="18">
                  <c:v>6322.7976829318732</c:v>
                </c:pt>
                <c:pt idx="19">
                  <c:v>6480.8676250051603</c:v>
                </c:pt>
                <c:pt idx="20">
                  <c:v>6642.8893156302811</c:v>
                </c:pt>
                <c:pt idx="21">
                  <c:v>6808.961548521027</c:v>
                </c:pt>
                <c:pt idx="22">
                  <c:v>6979.1855872340448</c:v>
                </c:pt>
                <c:pt idx="23">
                  <c:v>7153.6652269148844</c:v>
                </c:pt>
                <c:pt idx="24">
                  <c:v>7332.5068575877467</c:v>
                </c:pt>
                <c:pt idx="25">
                  <c:v>7515.8195290274298</c:v>
                </c:pt>
                <c:pt idx="26">
                  <c:v>7703.7150172531037</c:v>
                </c:pt>
                <c:pt idx="27">
                  <c:v>7896.3078926844228</c:v>
                </c:pt>
                <c:pt idx="28">
                  <c:v>8093.7155900015214</c:v>
                </c:pt>
                <c:pt idx="29">
                  <c:v>8296.0584797515476</c:v>
                </c:pt>
                <c:pt idx="30">
                  <c:v>8503.4599417453246</c:v>
                </c:pt>
                <c:pt idx="31">
                  <c:v>8716.0464402889447</c:v>
                </c:pt>
                <c:pt idx="32">
                  <c:v>8933.9476012961568</c:v>
                </c:pt>
                <c:pt idx="33">
                  <c:v>9157.2962913285464</c:v>
                </c:pt>
                <c:pt idx="34">
                  <c:v>9386.2286986117488</c:v>
                </c:pt>
                <c:pt idx="35">
                  <c:v>9620.8844160770277</c:v>
                </c:pt>
                <c:pt idx="36">
                  <c:v>9861.4065264789369</c:v>
                </c:pt>
                <c:pt idx="37">
                  <c:v>10107.941689640898</c:v>
                </c:pt>
                <c:pt idx="38">
                  <c:v>10360.640231881907</c:v>
                </c:pt>
                <c:pt idx="39">
                  <c:v>10619.656237678939</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4-C42A-304A-B62C-4E8F39D70BB0}"/>
            </c:ext>
          </c:extLst>
        </c:ser>
        <c:ser>
          <c:idx val="5"/>
          <c:order val="5"/>
          <c:tx>
            <c:strRef>
              <c:f>'Annual cost matrix'!$F$6</c:f>
              <c:strCache>
                <c:ptCount val="1"/>
                <c:pt idx="0">
                  <c:v>Repairs</c:v>
                </c:pt>
              </c:strCache>
            </c:strRef>
          </c:tx>
          <c:spPr>
            <a:solidFill>
              <a:schemeClr val="accent6"/>
            </a:solidFill>
            <a:ln>
              <a:noFill/>
            </a:ln>
            <a:effectLst/>
          </c:spPr>
          <c:invertIfNegative val="0"/>
          <c:val>
            <c:numRef>
              <c:f>'Annual cost matrix'!$F$7:$F$66</c:f>
              <c:numCache>
                <c:formatCode>#\ ##0;\(#\ ##0\);\-</c:formatCode>
                <c:ptCount val="60"/>
                <c:pt idx="0">
                  <c:v>113189.58553107175</c:v>
                </c:pt>
                <c:pt idx="1">
                  <c:v>118849.06480762549</c:v>
                </c:pt>
                <c:pt idx="2">
                  <c:v>124791.51804800687</c:v>
                </c:pt>
                <c:pt idx="3">
                  <c:v>131031.09395040739</c:v>
                </c:pt>
                <c:pt idx="4">
                  <c:v>137582.64864792791</c:v>
                </c:pt>
                <c:pt idx="5">
                  <c:v>144461.78108032446</c:v>
                </c:pt>
                <c:pt idx="6">
                  <c:v>151684.87013434083</c:v>
                </c:pt>
                <c:pt idx="7">
                  <c:v>159269.11364105807</c:v>
                </c:pt>
                <c:pt idx="8">
                  <c:v>167232.56932311118</c:v>
                </c:pt>
                <c:pt idx="9">
                  <c:v>175594.19778926691</c:v>
                </c:pt>
                <c:pt idx="10">
                  <c:v>184373.90767873047</c:v>
                </c:pt>
                <c:pt idx="11">
                  <c:v>193592.60306266721</c:v>
                </c:pt>
                <c:pt idx="12">
                  <c:v>203272.23321580078</c:v>
                </c:pt>
                <c:pt idx="13">
                  <c:v>213435.84487659106</c:v>
                </c:pt>
                <c:pt idx="14">
                  <c:v>224107.63712042087</c:v>
                </c:pt>
                <c:pt idx="15">
                  <c:v>235313.0189764422</c:v>
                </c:pt>
                <c:pt idx="16">
                  <c:v>247078.66992526455</c:v>
                </c:pt>
                <c:pt idx="17">
                  <c:v>259432.60342152804</c:v>
                </c:pt>
                <c:pt idx="18">
                  <c:v>272404.23359260475</c:v>
                </c:pt>
                <c:pt idx="19">
                  <c:v>286024.44527223537</c:v>
                </c:pt>
                <c:pt idx="20">
                  <c:v>300325.6675358474</c:v>
                </c:pt>
                <c:pt idx="21">
                  <c:v>315341.95091264014</c:v>
                </c:pt>
                <c:pt idx="22">
                  <c:v>331109.04845827247</c:v>
                </c:pt>
                <c:pt idx="23">
                  <c:v>347664.50088118651</c:v>
                </c:pt>
                <c:pt idx="24">
                  <c:v>365047.72592524625</c:v>
                </c:pt>
                <c:pt idx="25">
                  <c:v>383300.11222150904</c:v>
                </c:pt>
                <c:pt idx="26">
                  <c:v>402465.11783258489</c:v>
                </c:pt>
                <c:pt idx="27">
                  <c:v>422588.37372421462</c:v>
                </c:pt>
                <c:pt idx="28">
                  <c:v>443717.79241042596</c:v>
                </c:pt>
                <c:pt idx="29">
                  <c:v>465903.68203094765</c:v>
                </c:pt>
                <c:pt idx="30">
                  <c:v>489198.86613249558</c:v>
                </c:pt>
                <c:pt idx="31">
                  <c:v>513658.80943912099</c:v>
                </c:pt>
                <c:pt idx="32">
                  <c:v>539341.74991107755</c:v>
                </c:pt>
                <c:pt idx="33">
                  <c:v>566308.83740663202</c:v>
                </c:pt>
                <c:pt idx="34">
                  <c:v>594624.27927696437</c:v>
                </c:pt>
                <c:pt idx="35">
                  <c:v>624355.49324081338</c:v>
                </c:pt>
                <c:pt idx="36">
                  <c:v>655573.26790285483</c:v>
                </c:pt>
                <c:pt idx="37">
                  <c:v>688351.93129799818</c:v>
                </c:pt>
                <c:pt idx="38">
                  <c:v>722769.52786289889</c:v>
                </c:pt>
                <c:pt idx="39">
                  <c:v>758908.00425604475</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5-C42A-304A-B62C-4E8F39D70BB0}"/>
            </c:ext>
          </c:extLst>
        </c:ser>
        <c:ser>
          <c:idx val="6"/>
          <c:order val="6"/>
          <c:tx>
            <c:strRef>
              <c:f>'Annual cost matrix'!$G$6</c:f>
              <c:strCache>
                <c:ptCount val="1"/>
                <c:pt idx="0">
                  <c:v>Admin/SVJ fees</c:v>
                </c:pt>
              </c:strCache>
            </c:strRef>
          </c:tx>
          <c:spPr>
            <a:solidFill>
              <a:schemeClr val="accent1">
                <a:lumMod val="60000"/>
              </a:schemeClr>
            </a:solidFill>
            <a:ln>
              <a:noFill/>
            </a:ln>
            <a:effectLst/>
          </c:spPr>
          <c:invertIfNegative val="0"/>
          <c:val>
            <c:numRef>
              <c:f>'Annual cost matrix'!$G$7:$G$66</c:f>
              <c:numCache>
                <c:formatCode>#\ ##0;\(#\ ##0\);\-</c:formatCode>
                <c:ptCount val="60"/>
                <c:pt idx="0">
                  <c:v>36485.66093360987</c:v>
                </c:pt>
                <c:pt idx="1">
                  <c:v>37397.80245695007</c:v>
                </c:pt>
                <c:pt idx="2">
                  <c:v>38332.747518373762</c:v>
                </c:pt>
                <c:pt idx="3">
                  <c:v>39291.066206333053</c:v>
                </c:pt>
                <c:pt idx="4">
                  <c:v>40273.342861491321</c:v>
                </c:pt>
                <c:pt idx="5">
                  <c:v>41280.176433028544</c:v>
                </c:pt>
                <c:pt idx="6">
                  <c:v>42312.180843854207</c:v>
                </c:pt>
                <c:pt idx="7">
                  <c:v>43369.985364950488</c:v>
                </c:pt>
                <c:pt idx="8">
                  <c:v>44454.2349990742</c:v>
                </c:pt>
                <c:pt idx="9">
                  <c:v>45565.590874050991</c:v>
                </c:pt>
                <c:pt idx="10">
                  <c:v>46704.730645902193</c:v>
                </c:pt>
                <c:pt idx="11">
                  <c:v>47872.348912049682</c:v>
                </c:pt>
                <c:pt idx="12">
                  <c:v>49069.157634850861</c:v>
                </c:pt>
                <c:pt idx="13">
                  <c:v>50295.886575722048</c:v>
                </c:pt>
                <c:pt idx="14">
                  <c:v>51553.283740115032</c:v>
                </c:pt>
                <c:pt idx="15">
                  <c:v>52842.115833617834</c:v>
                </c:pt>
                <c:pt idx="16">
                  <c:v>54163.168729458201</c:v>
                </c:pt>
                <c:pt idx="17">
                  <c:v>55517.247947694574</c:v>
                </c:pt>
                <c:pt idx="18">
                  <c:v>56905.179146386865</c:v>
                </c:pt>
                <c:pt idx="19">
                  <c:v>58327.808625046455</c:v>
                </c:pt>
                <c:pt idx="20">
                  <c:v>59786.003840672536</c:v>
                </c:pt>
                <c:pt idx="21">
                  <c:v>61280.653936689276</c:v>
                </c:pt>
                <c:pt idx="22">
                  <c:v>62812.670285106396</c:v>
                </c:pt>
                <c:pt idx="23">
                  <c:v>64382.987042233966</c:v>
                </c:pt>
                <c:pt idx="24">
                  <c:v>65992.561718289726</c:v>
                </c:pt>
                <c:pt idx="25">
                  <c:v>67642.375761246862</c:v>
                </c:pt>
                <c:pt idx="26">
                  <c:v>69333.435155277955</c:v>
                </c:pt>
                <c:pt idx="27">
                  <c:v>71066.771034159814</c:v>
                </c:pt>
                <c:pt idx="28">
                  <c:v>72843.440310013684</c:v>
                </c:pt>
                <c:pt idx="29">
                  <c:v>74664.526317763928</c:v>
                </c:pt>
                <c:pt idx="30">
                  <c:v>76531.139475707911</c:v>
                </c:pt>
                <c:pt idx="31">
                  <c:v>78444.417962600521</c:v>
                </c:pt>
                <c:pt idx="32">
                  <c:v>80405.528411665407</c:v>
                </c:pt>
                <c:pt idx="33">
                  <c:v>82415.666621956931</c:v>
                </c:pt>
                <c:pt idx="34">
                  <c:v>84476.058287505715</c:v>
                </c:pt>
                <c:pt idx="35">
                  <c:v>86587.959744693246</c:v>
                </c:pt>
                <c:pt idx="36">
                  <c:v>88752.658738310449</c:v>
                </c:pt>
                <c:pt idx="37">
                  <c:v>90971.475206768097</c:v>
                </c:pt>
                <c:pt idx="38">
                  <c:v>93245.762086937175</c:v>
                </c:pt>
                <c:pt idx="39">
                  <c:v>95576.906139110462</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6-C42A-304A-B62C-4E8F39D70BB0}"/>
            </c:ext>
          </c:extLst>
        </c:ser>
        <c:ser>
          <c:idx val="7"/>
          <c:order val="7"/>
          <c:tx>
            <c:strRef>
              <c:f>'Annual cost matrix'!$H$6</c:f>
              <c:strCache>
                <c:ptCount val="1"/>
                <c:pt idx="0">
                  <c:v>Real estate tax</c:v>
                </c:pt>
              </c:strCache>
            </c:strRef>
          </c:tx>
          <c:spPr>
            <a:solidFill>
              <a:schemeClr val="accent2">
                <a:lumMod val="60000"/>
              </a:schemeClr>
            </a:solidFill>
            <a:ln>
              <a:noFill/>
            </a:ln>
            <a:effectLst/>
          </c:spPr>
          <c:invertIfNegative val="0"/>
          <c:val>
            <c:numRef>
              <c:f>'Annual cost matrix'!$H$7:$H$66</c:f>
              <c:numCache>
                <c:formatCode>#\ ##0;\(#\ ##0\);\-</c:formatCode>
                <c:ptCount val="60"/>
                <c:pt idx="0">
                  <c:v>2310</c:v>
                </c:pt>
                <c:pt idx="1">
                  <c:v>2310</c:v>
                </c:pt>
                <c:pt idx="2">
                  <c:v>2310</c:v>
                </c:pt>
                <c:pt idx="3">
                  <c:v>2310</c:v>
                </c:pt>
                <c:pt idx="4">
                  <c:v>2310</c:v>
                </c:pt>
                <c:pt idx="5">
                  <c:v>2310</c:v>
                </c:pt>
                <c:pt idx="6">
                  <c:v>2310</c:v>
                </c:pt>
                <c:pt idx="7">
                  <c:v>2310</c:v>
                </c:pt>
                <c:pt idx="8">
                  <c:v>2310</c:v>
                </c:pt>
                <c:pt idx="9">
                  <c:v>2310</c:v>
                </c:pt>
                <c:pt idx="10">
                  <c:v>2310</c:v>
                </c:pt>
                <c:pt idx="11">
                  <c:v>2310</c:v>
                </c:pt>
                <c:pt idx="12">
                  <c:v>2310</c:v>
                </c:pt>
                <c:pt idx="13">
                  <c:v>2310</c:v>
                </c:pt>
                <c:pt idx="14">
                  <c:v>2310</c:v>
                </c:pt>
                <c:pt idx="15">
                  <c:v>2310</c:v>
                </c:pt>
                <c:pt idx="16">
                  <c:v>2310</c:v>
                </c:pt>
                <c:pt idx="17">
                  <c:v>2310</c:v>
                </c:pt>
                <c:pt idx="18">
                  <c:v>2310</c:v>
                </c:pt>
                <c:pt idx="19">
                  <c:v>2310</c:v>
                </c:pt>
                <c:pt idx="20">
                  <c:v>2310</c:v>
                </c:pt>
                <c:pt idx="21">
                  <c:v>2310</c:v>
                </c:pt>
                <c:pt idx="22">
                  <c:v>2310</c:v>
                </c:pt>
                <c:pt idx="23">
                  <c:v>2310</c:v>
                </c:pt>
                <c:pt idx="24">
                  <c:v>2310</c:v>
                </c:pt>
                <c:pt idx="25">
                  <c:v>2310</c:v>
                </c:pt>
                <c:pt idx="26">
                  <c:v>2310</c:v>
                </c:pt>
                <c:pt idx="27">
                  <c:v>2310</c:v>
                </c:pt>
                <c:pt idx="28">
                  <c:v>2310</c:v>
                </c:pt>
                <c:pt idx="29">
                  <c:v>2310</c:v>
                </c:pt>
                <c:pt idx="30">
                  <c:v>2310</c:v>
                </c:pt>
                <c:pt idx="31">
                  <c:v>2310</c:v>
                </c:pt>
                <c:pt idx="32">
                  <c:v>2310</c:v>
                </c:pt>
                <c:pt idx="33">
                  <c:v>2310</c:v>
                </c:pt>
                <c:pt idx="34">
                  <c:v>2310</c:v>
                </c:pt>
                <c:pt idx="35">
                  <c:v>2310</c:v>
                </c:pt>
                <c:pt idx="36">
                  <c:v>2310</c:v>
                </c:pt>
                <c:pt idx="37">
                  <c:v>2310</c:v>
                </c:pt>
                <c:pt idx="38">
                  <c:v>2310</c:v>
                </c:pt>
                <c:pt idx="39">
                  <c:v>2310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7-C42A-304A-B62C-4E8F39D70BB0}"/>
            </c:ext>
          </c:extLst>
        </c:ser>
        <c:ser>
          <c:idx val="8"/>
          <c:order val="8"/>
          <c:tx>
            <c:strRef>
              <c:f>'Annual cost matrix'!$I$6</c:f>
              <c:strCache>
                <c:ptCount val="1"/>
                <c:pt idx="0">
                  <c:v>Tax benefit (negative)</c:v>
                </c:pt>
              </c:strCache>
            </c:strRef>
          </c:tx>
          <c:spPr>
            <a:solidFill>
              <a:schemeClr val="accent3">
                <a:lumMod val="60000"/>
              </a:schemeClr>
            </a:solidFill>
            <a:ln>
              <a:noFill/>
            </a:ln>
            <a:effectLst/>
          </c:spPr>
          <c:invertIfNegative val="0"/>
          <c:val>
            <c:numRef>
              <c:f>'Annual cost matrix'!$I$7:$I$66</c:f>
              <c:numCache>
                <c:formatCode>#\ ##0;\(#\ ##0\);\-</c:formatCode>
                <c:ptCount val="60"/>
                <c:pt idx="0">
                  <c:v>-22500</c:v>
                </c:pt>
                <c:pt idx="1">
                  <c:v>-22500</c:v>
                </c:pt>
                <c:pt idx="2">
                  <c:v>-22500</c:v>
                </c:pt>
                <c:pt idx="3">
                  <c:v>-22500</c:v>
                </c:pt>
                <c:pt idx="4">
                  <c:v>-22500</c:v>
                </c:pt>
                <c:pt idx="5">
                  <c:v>-22500</c:v>
                </c:pt>
                <c:pt idx="6">
                  <c:v>-22500</c:v>
                </c:pt>
                <c:pt idx="7">
                  <c:v>-22500</c:v>
                </c:pt>
                <c:pt idx="8">
                  <c:v>-22500</c:v>
                </c:pt>
                <c:pt idx="9">
                  <c:v>-22500</c:v>
                </c:pt>
                <c:pt idx="10">
                  <c:v>-22500</c:v>
                </c:pt>
                <c:pt idx="11">
                  <c:v>-22500</c:v>
                </c:pt>
                <c:pt idx="12">
                  <c:v>-22500</c:v>
                </c:pt>
                <c:pt idx="13">
                  <c:v>-22500</c:v>
                </c:pt>
                <c:pt idx="14">
                  <c:v>-22500</c:v>
                </c:pt>
                <c:pt idx="15">
                  <c:v>-22500</c:v>
                </c:pt>
                <c:pt idx="16">
                  <c:v>-22500</c:v>
                </c:pt>
                <c:pt idx="17">
                  <c:v>-22500</c:v>
                </c:pt>
                <c:pt idx="18">
                  <c:v>-22500</c:v>
                </c:pt>
                <c:pt idx="19">
                  <c:v>-22500</c:v>
                </c:pt>
                <c:pt idx="20">
                  <c:v>-22498.67505352994</c:v>
                </c:pt>
                <c:pt idx="21">
                  <c:v>-21303.017604198267</c:v>
                </c:pt>
                <c:pt idx="22">
                  <c:v>-19055.247596946527</c:v>
                </c:pt>
                <c:pt idx="23">
                  <c:v>-16707.227047371362</c:v>
                </c:pt>
                <c:pt idx="24">
                  <c:v>-14254.48478128514</c:v>
                </c:pt>
                <c:pt idx="25">
                  <c:v>-11692.350210131472</c:v>
                </c:pt>
                <c:pt idx="26">
                  <c:v>-9015.9444371043555</c:v>
                </c:pt>
                <c:pt idx="27">
                  <c:v>-6220.1709666002262</c:v>
                </c:pt>
                <c:pt idx="28">
                  <c:v>-3299.7059993116113</c:v>
                </c:pt>
                <c:pt idx="29">
                  <c:v>-651.32332147797342</c:v>
                </c:pt>
                <c:pt idx="30">
                  <c:v>-1.4154051702343783E-11</c:v>
                </c:pt>
                <c:pt idx="31">
                  <c:v>-1.4785322408268319E-11</c:v>
                </c:pt>
                <c:pt idx="32">
                  <c:v>-1.5444747787677094E-11</c:v>
                </c:pt>
                <c:pt idx="33">
                  <c:v>-1.6133583539007499E-11</c:v>
                </c:pt>
                <c:pt idx="34">
                  <c:v>-1.685314136484724E-11</c:v>
                </c:pt>
                <c:pt idx="35">
                  <c:v>-1.7604791469719425E-11</c:v>
                </c:pt>
                <c:pt idx="36">
                  <c:v>-1.8389965169268912E-11</c:v>
                </c:pt>
                <c:pt idx="37">
                  <c:v>-1.9210157615818315E-11</c:v>
                </c:pt>
                <c:pt idx="38">
                  <c:v>-2.0066930645483816E-11</c:v>
                </c:pt>
                <c:pt idx="39">
                  <c:v>-2.0961915752272398E-11</c:v>
                </c:pt>
                <c:pt idx="40">
                  <c:v>-2.1896817194823754E-11</c:v>
                </c:pt>
                <c:pt idx="41">
                  <c:v>-2.2873415241712897E-11</c:v>
                </c:pt>
                <c:pt idx="42">
                  <c:v>-2.3893569561493301E-11</c:v>
                </c:pt>
                <c:pt idx="43">
                  <c:v>-2.4959222763935899E-11</c:v>
                </c:pt>
                <c:pt idx="44">
                  <c:v>-2.6072404099207453E-11</c:v>
                </c:pt>
                <c:pt idx="45">
                  <c:v>-2.7235233322032123E-11</c:v>
                </c:pt>
                <c:pt idx="46">
                  <c:v>-2.8449924728194759E-11</c:v>
                </c:pt>
                <c:pt idx="47">
                  <c:v>-2.9718791371072255E-11</c:v>
                </c:pt>
                <c:pt idx="48">
                  <c:v>-3.1044249466222077E-11</c:v>
                </c:pt>
                <c:pt idx="49">
                  <c:v>-3.2428822992415585E-11</c:v>
                </c:pt>
                <c:pt idx="50">
                  <c:v>-3.3875148497877336E-11</c:v>
                </c:pt>
                <c:pt idx="51">
                  <c:v>-3.5385980120882675E-11</c:v>
                </c:pt>
                <c:pt idx="52">
                  <c:v>-3.6964194834274053E-11</c:v>
                </c:pt>
                <c:pt idx="53">
                  <c:v>-3.8612797923882681E-11</c:v>
                </c:pt>
                <c:pt idx="54">
                  <c:v>-4.0334928711287858E-11</c:v>
                </c:pt>
                <c:pt idx="55">
                  <c:v>-4.2133866531811286E-11</c:v>
                </c:pt>
                <c:pt idx="56">
                  <c:v>-4.4013036979130085E-11</c:v>
                </c:pt>
                <c:pt idx="57">
                  <c:v>-4.5976018428399302E-11</c:v>
                </c:pt>
                <c:pt idx="58">
                  <c:v>-4.8026548850305919E-11</c:v>
                </c:pt>
                <c:pt idx="59">
                  <c:v>-2.681200645817919E-11</c:v>
                </c:pt>
              </c:numCache>
            </c:numRef>
          </c:val>
          <c:extLst>
            <c:ext xmlns:c16="http://schemas.microsoft.com/office/drawing/2014/chart" uri="{C3380CC4-5D6E-409C-BE32-E72D297353CC}">
              <c16:uniqueId val="{00000008-C42A-304A-B62C-4E8F39D70BB0}"/>
            </c:ext>
          </c:extLst>
        </c:ser>
        <c:ser>
          <c:idx val="9"/>
          <c:order val="9"/>
          <c:tx>
            <c:strRef>
              <c:f>'Annual cost matrix'!$J$6</c:f>
              <c:strCache>
                <c:ptCount val="1"/>
                <c:pt idx="0">
                  <c:v>purchase cost</c:v>
                </c:pt>
              </c:strCache>
            </c:strRef>
          </c:tx>
          <c:spPr>
            <a:solidFill>
              <a:schemeClr val="accent4">
                <a:lumMod val="60000"/>
              </a:schemeClr>
            </a:solidFill>
            <a:ln>
              <a:noFill/>
            </a:ln>
            <a:effectLst/>
          </c:spPr>
          <c:invertIfNegative val="0"/>
          <c:val>
            <c:numRef>
              <c:f>'Annual cost matrix'!$J$7:$J$66</c:f>
              <c:numCache>
                <c:formatCode>#\ ##0;\(#\ ##0\);\-</c:formatCode>
                <c:ptCount val="60"/>
                <c:pt idx="0">
                  <c:v>88685.3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0-5459-6C4B-A44B-6974FDDF04A1}"/>
            </c:ext>
          </c:extLst>
        </c:ser>
        <c:ser>
          <c:idx val="10"/>
          <c:order val="10"/>
          <c:tx>
            <c:strRef>
              <c:f>'Annual cost matrix'!$K$6</c:f>
              <c:strCache>
                <c:ptCount val="1"/>
                <c:pt idx="0">
                  <c:v>selling cost</c:v>
                </c:pt>
              </c:strCache>
            </c:strRef>
          </c:tx>
          <c:spPr>
            <a:solidFill>
              <a:schemeClr val="accent5">
                <a:lumMod val="60000"/>
              </a:schemeClr>
            </a:solidFill>
            <a:ln>
              <a:noFill/>
            </a:ln>
            <a:effectLst/>
          </c:spPr>
          <c:invertIfNegative val="0"/>
          <c:val>
            <c:numRef>
              <c:f>'Annual cost matrix'!$K$7:$K$66</c:f>
              <c:numCache>
                <c:formatCode>#\ ##0;\(#\ ##0\);\-</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624343.51093141572</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1-5459-6C4B-A44B-6974FDDF04A1}"/>
            </c:ext>
          </c:extLst>
        </c:ser>
        <c:dLbls>
          <c:showLegendKey val="0"/>
          <c:showVal val="0"/>
          <c:showCatName val="0"/>
          <c:showSerName val="0"/>
          <c:showPercent val="0"/>
          <c:showBubbleSize val="0"/>
        </c:dLbls>
        <c:gapWidth val="150"/>
        <c:overlap val="100"/>
        <c:axId val="2146252352"/>
        <c:axId val="2146244288"/>
      </c:barChart>
      <c:catAx>
        <c:axId val="21462523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Z"/>
          </a:p>
        </c:txPr>
        <c:crossAx val="2146244288"/>
        <c:crosses val="autoZero"/>
        <c:auto val="1"/>
        <c:lblAlgn val="ctr"/>
        <c:lblOffset val="100"/>
        <c:noMultiLvlLbl val="0"/>
      </c:catAx>
      <c:valAx>
        <c:axId val="214624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Z"/>
          </a:p>
        </c:txPr>
        <c:crossAx val="2146252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Z"/>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a:t>Annual rent side costs</a:t>
            </a:r>
            <a:r>
              <a:rPr lang="en-GB" sz="1400" b="0" i="0" u="none" strike="noStrike" kern="1200" spc="0" baseline="0">
                <a:solidFill>
                  <a:sysClr val="windowText" lastClr="000000">
                    <a:lumMod val="65000"/>
                    <a:lumOff val="35000"/>
                  </a:sysClr>
                </a:solidFill>
              </a:rPr>
              <a:t> by component</a:t>
            </a:r>
            <a:endParaRPr lang="en-GB"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stacked"/>
        <c:varyColors val="0"/>
        <c:ser>
          <c:idx val="0"/>
          <c:order val="0"/>
          <c:tx>
            <c:strRef>
              <c:f>'Annual cost matrix'!$B$74</c:f>
              <c:strCache>
                <c:ptCount val="1"/>
                <c:pt idx="0">
                  <c:v>Rent</c:v>
                </c:pt>
              </c:strCache>
            </c:strRef>
          </c:tx>
          <c:spPr>
            <a:solidFill>
              <a:schemeClr val="accent1"/>
            </a:solidFill>
            <a:ln>
              <a:noFill/>
            </a:ln>
            <a:effectLst/>
          </c:spPr>
          <c:invertIfNegative val="0"/>
          <c:val>
            <c:numRef>
              <c:f>'Annual cost matrix'!$B$75:$B$134</c:f>
              <c:numCache>
                <c:formatCode>#\ ##0;\(#\ ##0\);\-</c:formatCode>
                <c:ptCount val="60"/>
                <c:pt idx="0">
                  <c:v>317921.12090421771</c:v>
                </c:pt>
                <c:pt idx="1">
                  <c:v>333817.17694942892</c:v>
                </c:pt>
                <c:pt idx="2">
                  <c:v>350508.0357969008</c:v>
                </c:pt>
                <c:pt idx="3">
                  <c:v>368033.43758674624</c:v>
                </c:pt>
                <c:pt idx="4">
                  <c:v>386435.10946608405</c:v>
                </c:pt>
                <c:pt idx="5">
                  <c:v>405756.86493938859</c:v>
                </c:pt>
                <c:pt idx="6">
                  <c:v>426044.70818635862</c:v>
                </c:pt>
                <c:pt idx="7">
                  <c:v>447346.94359567703</c:v>
                </c:pt>
                <c:pt idx="8">
                  <c:v>469714.29077546136</c:v>
                </c:pt>
                <c:pt idx="9">
                  <c:v>493200.00531423499</c:v>
                </c:pt>
                <c:pt idx="10">
                  <c:v>517860.00557994738</c:v>
                </c:pt>
                <c:pt idx="11">
                  <c:v>543753.00585894519</c:v>
                </c:pt>
                <c:pt idx="12">
                  <c:v>570940.6561518932</c:v>
                </c:pt>
                <c:pt idx="13">
                  <c:v>599487.68895948853</c:v>
                </c:pt>
                <c:pt idx="14">
                  <c:v>629462.07340746373</c:v>
                </c:pt>
                <c:pt idx="15">
                  <c:v>660935.17707783764</c:v>
                </c:pt>
                <c:pt idx="16">
                  <c:v>693981.9359317302</c:v>
                </c:pt>
                <c:pt idx="17">
                  <c:v>728681.03272831743</c:v>
                </c:pt>
                <c:pt idx="18">
                  <c:v>765115.08436473424</c:v>
                </c:pt>
                <c:pt idx="19">
                  <c:v>803370.83858297172</c:v>
                </c:pt>
                <c:pt idx="20">
                  <c:v>843539.38051212125</c:v>
                </c:pt>
                <c:pt idx="21">
                  <c:v>885716.34953772835</c:v>
                </c:pt>
                <c:pt idx="22">
                  <c:v>930002.16701461584</c:v>
                </c:pt>
                <c:pt idx="23">
                  <c:v>976502.27536534774</c:v>
                </c:pt>
                <c:pt idx="24">
                  <c:v>1025327.3891336164</c:v>
                </c:pt>
                <c:pt idx="25">
                  <c:v>1076593.7585902982</c:v>
                </c:pt>
                <c:pt idx="26">
                  <c:v>1130423.4465198144</c:v>
                </c:pt>
                <c:pt idx="27">
                  <c:v>1186944.6188458067</c:v>
                </c:pt>
                <c:pt idx="28">
                  <c:v>1246291.8497880981</c:v>
                </c:pt>
                <c:pt idx="29">
                  <c:v>1308606.4422775046</c:v>
                </c:pt>
                <c:pt idx="30">
                  <c:v>1374036.7643913815</c:v>
                </c:pt>
                <c:pt idx="31">
                  <c:v>1442738.6026109522</c:v>
                </c:pt>
                <c:pt idx="32">
                  <c:v>1514875.5327415015</c:v>
                </c:pt>
                <c:pt idx="33">
                  <c:v>1590619.3093785781</c:v>
                </c:pt>
                <c:pt idx="34">
                  <c:v>1670150.2748475089</c:v>
                </c:pt>
                <c:pt idx="35">
                  <c:v>1753657.7885898864</c:v>
                </c:pt>
                <c:pt idx="36">
                  <c:v>1841340.678019383</c:v>
                </c:pt>
                <c:pt idx="37">
                  <c:v>1933407.711920354</c:v>
                </c:pt>
                <c:pt idx="38">
                  <c:v>2030078.0975163742</c:v>
                </c:pt>
                <c:pt idx="39">
                  <c:v>2131582.0023921956</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0-45F6-1245-84F5-B7220CE8DE3E}"/>
            </c:ext>
          </c:extLst>
        </c:ser>
        <c:ser>
          <c:idx val="1"/>
          <c:order val="1"/>
          <c:tx>
            <c:strRef>
              <c:f>'Annual cost matrix'!$C$74</c:f>
              <c:strCache>
                <c:ptCount val="1"/>
                <c:pt idx="0">
                  <c:v>Moving cost</c:v>
                </c:pt>
              </c:strCache>
            </c:strRef>
          </c:tx>
          <c:spPr>
            <a:solidFill>
              <a:schemeClr val="accent2"/>
            </a:solidFill>
            <a:ln>
              <a:noFill/>
            </a:ln>
            <a:effectLst/>
          </c:spPr>
          <c:invertIfNegative val="0"/>
          <c:val>
            <c:numRef>
              <c:f>'Annual cost matrix'!$C$75:$C$134</c:f>
              <c:numCache>
                <c:formatCode>#\ ##0;\(#\ ##0\);\-</c:formatCode>
                <c:ptCount val="60"/>
                <c:pt idx="0">
                  <c:v>0</c:v>
                </c:pt>
                <c:pt idx="1">
                  <c:v>0</c:v>
                </c:pt>
                <c:pt idx="2">
                  <c:v>0</c:v>
                </c:pt>
                <c:pt idx="3">
                  <c:v>0</c:v>
                </c:pt>
                <c:pt idx="4">
                  <c:v>8921.8255223117958</c:v>
                </c:pt>
                <c:pt idx="5">
                  <c:v>0</c:v>
                </c:pt>
                <c:pt idx="6">
                  <c:v>0</c:v>
                </c:pt>
                <c:pt idx="7">
                  <c:v>0</c:v>
                </c:pt>
                <c:pt idx="8">
                  <c:v>9929.4183552551767</c:v>
                </c:pt>
                <c:pt idx="9">
                  <c:v>0</c:v>
                </c:pt>
                <c:pt idx="10">
                  <c:v>0</c:v>
                </c:pt>
                <c:pt idx="11">
                  <c:v>0</c:v>
                </c:pt>
                <c:pt idx="12">
                  <c:v>0</c:v>
                </c:pt>
                <c:pt idx="13">
                  <c:v>11050.804415207973</c:v>
                </c:pt>
                <c:pt idx="14">
                  <c:v>0</c:v>
                </c:pt>
                <c:pt idx="15">
                  <c:v>0</c:v>
                </c:pt>
                <c:pt idx="16">
                  <c:v>0</c:v>
                </c:pt>
                <c:pt idx="17">
                  <c:v>12298.835022753119</c:v>
                </c:pt>
                <c:pt idx="18">
                  <c:v>0</c:v>
                </c:pt>
                <c:pt idx="19">
                  <c:v>0</c:v>
                </c:pt>
                <c:pt idx="20">
                  <c:v>0</c:v>
                </c:pt>
                <c:pt idx="21">
                  <c:v>13687.812871679715</c:v>
                </c:pt>
                <c:pt idx="22">
                  <c:v>0</c:v>
                </c:pt>
                <c:pt idx="23">
                  <c:v>0</c:v>
                </c:pt>
                <c:pt idx="24">
                  <c:v>0</c:v>
                </c:pt>
                <c:pt idx="25">
                  <c:v>0</c:v>
                </c:pt>
                <c:pt idx="26">
                  <c:v>15233.655940868199</c:v>
                </c:pt>
                <c:pt idx="27">
                  <c:v>0</c:v>
                </c:pt>
                <c:pt idx="28">
                  <c:v>0</c:v>
                </c:pt>
                <c:pt idx="29">
                  <c:v>0</c:v>
                </c:pt>
                <c:pt idx="30">
                  <c:v>16954.079917683066</c:v>
                </c:pt>
                <c:pt idx="31">
                  <c:v>0</c:v>
                </c:pt>
                <c:pt idx="32">
                  <c:v>0</c:v>
                </c:pt>
                <c:pt idx="33">
                  <c:v>0</c:v>
                </c:pt>
                <c:pt idx="34">
                  <c:v>18868.801223483752</c:v>
                </c:pt>
                <c:pt idx="35">
                  <c:v>0</c:v>
                </c:pt>
                <c:pt idx="36">
                  <c:v>0</c:v>
                </c:pt>
                <c:pt idx="37">
                  <c:v>0</c:v>
                </c:pt>
                <c:pt idx="38">
                  <c:v>0</c:v>
                </c:pt>
                <c:pt idx="39">
                  <c:v>20999.762967968654</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1-45F6-1245-84F5-B7220CE8DE3E}"/>
            </c:ext>
          </c:extLst>
        </c:ser>
        <c:ser>
          <c:idx val="2"/>
          <c:order val="2"/>
          <c:tx>
            <c:strRef>
              <c:f>'Annual cost matrix'!$D$74</c:f>
              <c:strCache>
                <c:ptCount val="1"/>
                <c:pt idx="0">
                  <c:v>Deposit flows (net)</c:v>
                </c:pt>
              </c:strCache>
            </c:strRef>
          </c:tx>
          <c:spPr>
            <a:solidFill>
              <a:schemeClr val="accent3"/>
            </a:solidFill>
            <a:ln>
              <a:noFill/>
            </a:ln>
            <a:effectLst/>
          </c:spPr>
          <c:invertIfNegative val="0"/>
          <c:val>
            <c:numRef>
              <c:f>'Annual cost matrix'!$D$75:$D$134</c:f>
              <c:numCache>
                <c:formatCode>#\ ##0;\(#\ ##0\);\-</c:formatCode>
                <c:ptCount val="60"/>
                <c:pt idx="0">
                  <c:v>51810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-363261.84146718087</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2-45F6-1245-84F5-B7220CE8DE3E}"/>
            </c:ext>
          </c:extLst>
        </c:ser>
        <c:dLbls>
          <c:showLegendKey val="0"/>
          <c:showVal val="0"/>
          <c:showCatName val="0"/>
          <c:showSerName val="0"/>
          <c:showPercent val="0"/>
          <c:showBubbleSize val="0"/>
        </c:dLbls>
        <c:gapWidth val="150"/>
        <c:overlap val="100"/>
        <c:axId val="2122401984"/>
        <c:axId val="2122406464"/>
      </c:barChart>
      <c:catAx>
        <c:axId val="21224019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Z"/>
          </a:p>
        </c:txPr>
        <c:crossAx val="2122406464"/>
        <c:crosses val="autoZero"/>
        <c:auto val="1"/>
        <c:lblAlgn val="ctr"/>
        <c:lblOffset val="100"/>
        <c:noMultiLvlLbl val="0"/>
      </c:catAx>
      <c:valAx>
        <c:axId val="2122406464"/>
        <c:scaling>
          <c:orientation val="minMax"/>
        </c:scaling>
        <c:delete val="0"/>
        <c:axPos val="l"/>
        <c:majorGridlines>
          <c:spPr>
            <a:ln w="9525" cap="flat" cmpd="sng" algn="ctr">
              <a:solidFill>
                <a:schemeClr val="tx1">
                  <a:lumMod val="15000"/>
                  <a:lumOff val="85000"/>
                </a:schemeClr>
              </a:solidFill>
              <a:round/>
            </a:ln>
            <a:effectLst/>
          </c:spPr>
        </c:majorGridlines>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Z"/>
          </a:p>
        </c:txPr>
        <c:crossAx val="2122401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Z"/>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CE"/>
                <a:ea typeface="Arial CE"/>
                <a:cs typeface="Arial CE"/>
              </a:defRPr>
            </a:pPr>
            <a:r>
              <a:rPr lang="cs-CZ"/>
              <a:t>Nabídkové ceny bytů (index, 2010 = 100)</a:t>
            </a:r>
          </a:p>
        </c:rich>
      </c:tx>
      <c:layout>
        <c:manualLayout>
          <c:xMode val="edge"/>
          <c:yMode val="edge"/>
          <c:x val="0.33781810905924087"/>
          <c:y val="2.9106029106029111E-2"/>
        </c:manualLayout>
      </c:layout>
      <c:overlay val="0"/>
      <c:spPr>
        <a:noFill/>
        <a:ln w="25400">
          <a:noFill/>
        </a:ln>
      </c:spPr>
    </c:title>
    <c:autoTitleDeleted val="0"/>
    <c:plotArea>
      <c:layout>
        <c:manualLayout>
          <c:layoutTarget val="inner"/>
          <c:xMode val="edge"/>
          <c:yMode val="edge"/>
          <c:x val="7.772806562976696E-2"/>
          <c:y val="9.5634192715974065E-2"/>
          <c:w val="0.90134660720672066"/>
          <c:h val="0.72349345793823283"/>
        </c:manualLayout>
      </c:layout>
      <c:lineChart>
        <c:grouping val="standard"/>
        <c:varyColors val="0"/>
        <c:ser>
          <c:idx val="0"/>
          <c:order val="0"/>
          <c:tx>
            <c:strRef>
              <c:f>'flat price index'!$B$2</c:f>
              <c:strCache>
                <c:ptCount val="1"/>
                <c:pt idx="0">
                  <c:v>ČR </c:v>
                </c:pt>
              </c:strCache>
            </c:strRef>
          </c:tx>
          <c:spPr>
            <a:ln w="25400">
              <a:solidFill>
                <a:srgbClr val="000080"/>
              </a:solidFill>
              <a:prstDash val="solid"/>
            </a:ln>
          </c:spPr>
          <c:marker>
            <c:symbol val="none"/>
          </c:marker>
          <c:cat>
            <c:numRef>
              <c:f>'flat price index'!$E$3:$E$87</c:f>
              <c:numCache>
                <c:formatCode>General</c:formatCode>
                <c:ptCount val="85"/>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numCache>
            </c:numRef>
          </c:cat>
          <c:val>
            <c:numRef>
              <c:f>'flat price index'!$B$3:$B$87</c:f>
              <c:numCache>
                <c:formatCode>General</c:formatCode>
                <c:ptCount val="85"/>
                <c:pt idx="0">
                  <c:v>66.3</c:v>
                </c:pt>
                <c:pt idx="1">
                  <c:v>65.8</c:v>
                </c:pt>
                <c:pt idx="2">
                  <c:v>66.5</c:v>
                </c:pt>
                <c:pt idx="3">
                  <c:v>67.5</c:v>
                </c:pt>
                <c:pt idx="4">
                  <c:v>69</c:v>
                </c:pt>
                <c:pt idx="5">
                  <c:v>70.7</c:v>
                </c:pt>
                <c:pt idx="6">
                  <c:v>73.3</c:v>
                </c:pt>
                <c:pt idx="7">
                  <c:v>76.5</c:v>
                </c:pt>
                <c:pt idx="8">
                  <c:v>80.3</c:v>
                </c:pt>
                <c:pt idx="9">
                  <c:v>84.9</c:v>
                </c:pt>
                <c:pt idx="10">
                  <c:v>89.7</c:v>
                </c:pt>
                <c:pt idx="11">
                  <c:v>93.9</c:v>
                </c:pt>
                <c:pt idx="12">
                  <c:v>99.1</c:v>
                </c:pt>
                <c:pt idx="13">
                  <c:v>106.1</c:v>
                </c:pt>
                <c:pt idx="14">
                  <c:v>111.8</c:v>
                </c:pt>
                <c:pt idx="15">
                  <c:v>111.9</c:v>
                </c:pt>
                <c:pt idx="16" formatCode="0.0">
                  <c:v>108.8</c:v>
                </c:pt>
                <c:pt idx="17" formatCode="0.0">
                  <c:v>103</c:v>
                </c:pt>
                <c:pt idx="18" formatCode="0.0">
                  <c:v>103.3</c:v>
                </c:pt>
                <c:pt idx="19" formatCode="0.0">
                  <c:v>102.1</c:v>
                </c:pt>
                <c:pt idx="20">
                  <c:v>100.8</c:v>
                </c:pt>
                <c:pt idx="21">
                  <c:v>100.4</c:v>
                </c:pt>
                <c:pt idx="22">
                  <c:v>99.9</c:v>
                </c:pt>
                <c:pt idx="23" formatCode="0.0">
                  <c:v>98.9</c:v>
                </c:pt>
                <c:pt idx="24">
                  <c:v>97.1</c:v>
                </c:pt>
                <c:pt idx="25">
                  <c:v>95.1</c:v>
                </c:pt>
                <c:pt idx="26">
                  <c:v>94.5</c:v>
                </c:pt>
                <c:pt idx="27">
                  <c:v>93.7</c:v>
                </c:pt>
                <c:pt idx="28">
                  <c:v>94.9</c:v>
                </c:pt>
                <c:pt idx="29">
                  <c:v>96.8</c:v>
                </c:pt>
                <c:pt idx="30">
                  <c:v>96</c:v>
                </c:pt>
                <c:pt idx="31">
                  <c:v>96.6</c:v>
                </c:pt>
                <c:pt idx="32">
                  <c:v>96.4</c:v>
                </c:pt>
                <c:pt idx="33">
                  <c:v>96.6</c:v>
                </c:pt>
                <c:pt idx="34">
                  <c:v>97.4</c:v>
                </c:pt>
                <c:pt idx="35">
                  <c:v>98.5</c:v>
                </c:pt>
                <c:pt idx="36">
                  <c:v>99.3</c:v>
                </c:pt>
                <c:pt idx="37">
                  <c:v>100.6</c:v>
                </c:pt>
                <c:pt idx="38">
                  <c:v>101.9</c:v>
                </c:pt>
                <c:pt idx="39">
                  <c:v>101.2</c:v>
                </c:pt>
                <c:pt idx="40">
                  <c:v>102.9</c:v>
                </c:pt>
                <c:pt idx="41">
                  <c:v>105.6</c:v>
                </c:pt>
                <c:pt idx="42">
                  <c:v>108.1</c:v>
                </c:pt>
                <c:pt idx="43">
                  <c:v>110.9</c:v>
                </c:pt>
                <c:pt idx="44">
                  <c:v>113.4</c:v>
                </c:pt>
                <c:pt idx="45">
                  <c:v>116.5</c:v>
                </c:pt>
                <c:pt idx="46">
                  <c:v>118.8</c:v>
                </c:pt>
                <c:pt idx="47">
                  <c:v>121.9</c:v>
                </c:pt>
                <c:pt idx="48">
                  <c:v>124.2</c:v>
                </c:pt>
                <c:pt idx="49">
                  <c:v>127.6</c:v>
                </c:pt>
                <c:pt idx="50">
                  <c:v>133.69999999999999</c:v>
                </c:pt>
                <c:pt idx="51">
                  <c:v>137.1</c:v>
                </c:pt>
                <c:pt idx="52">
                  <c:v>140.1</c:v>
                </c:pt>
                <c:pt idx="53">
                  <c:v>143.19999999999999</c:v>
                </c:pt>
                <c:pt idx="54">
                  <c:v>146.4</c:v>
                </c:pt>
                <c:pt idx="55">
                  <c:v>148.69999999999999</c:v>
                </c:pt>
                <c:pt idx="56">
                  <c:v>150.5</c:v>
                </c:pt>
                <c:pt idx="57">
                  <c:v>151.4</c:v>
                </c:pt>
                <c:pt idx="58">
                  <c:v>154</c:v>
                </c:pt>
                <c:pt idx="59">
                  <c:v>156.9</c:v>
                </c:pt>
                <c:pt idx="60">
                  <c:v>159.6</c:v>
                </c:pt>
                <c:pt idx="61">
                  <c:v>162.19999999999999</c:v>
                </c:pt>
                <c:pt idx="62">
                  <c:v>166.3</c:v>
                </c:pt>
                <c:pt idx="63">
                  <c:v>168.9</c:v>
                </c:pt>
                <c:pt idx="64">
                  <c:v>171.8</c:v>
                </c:pt>
                <c:pt idx="65">
                  <c:v>175.1</c:v>
                </c:pt>
                <c:pt idx="66">
                  <c:v>181.8</c:v>
                </c:pt>
                <c:pt idx="67">
                  <c:v>189.9</c:v>
                </c:pt>
                <c:pt idx="68">
                  <c:v>200.8</c:v>
                </c:pt>
                <c:pt idx="69">
                  <c:v>218.3</c:v>
                </c:pt>
                <c:pt idx="70">
                  <c:v>223.5</c:v>
                </c:pt>
                <c:pt idx="71">
                  <c:v>224.7</c:v>
                </c:pt>
                <c:pt idx="72">
                  <c:v>220.5</c:v>
                </c:pt>
                <c:pt idx="73">
                  <c:v>216.7</c:v>
                </c:pt>
                <c:pt idx="74">
                  <c:v>216.1</c:v>
                </c:pt>
                <c:pt idx="75">
                  <c:v>215.3</c:v>
                </c:pt>
                <c:pt idx="76">
                  <c:v>219</c:v>
                </c:pt>
                <c:pt idx="77">
                  <c:v>224</c:v>
                </c:pt>
                <c:pt idx="78">
                  <c:v>231.1</c:v>
                </c:pt>
                <c:pt idx="79">
                  <c:v>238.3</c:v>
                </c:pt>
                <c:pt idx="80">
                  <c:v>253.3</c:v>
                </c:pt>
                <c:pt idx="81">
                  <c:v>262.10000000000002</c:v>
                </c:pt>
                <c:pt idx="82">
                  <c:v>271.89999999999998</c:v>
                </c:pt>
                <c:pt idx="83">
                  <c:v>278.5</c:v>
                </c:pt>
                <c:pt idx="84">
                  <c:v>286.10000000000002</c:v>
                </c:pt>
              </c:numCache>
            </c:numRef>
          </c:val>
          <c:smooth val="0"/>
          <c:extLst>
            <c:ext xmlns:c16="http://schemas.microsoft.com/office/drawing/2014/chart" uri="{C3380CC4-5D6E-409C-BE32-E72D297353CC}">
              <c16:uniqueId val="{00000000-FF8C-3A43-BEF7-602A2654349F}"/>
            </c:ext>
          </c:extLst>
        </c:ser>
        <c:ser>
          <c:idx val="1"/>
          <c:order val="1"/>
          <c:tx>
            <c:strRef>
              <c:f>'flat price index'!$D$2</c:f>
              <c:strCache>
                <c:ptCount val="1"/>
                <c:pt idx="0">
                  <c:v>Praha</c:v>
                </c:pt>
              </c:strCache>
            </c:strRef>
          </c:tx>
          <c:spPr>
            <a:ln w="25400">
              <a:solidFill>
                <a:srgbClr val="FFCC00"/>
              </a:solidFill>
              <a:prstDash val="solid"/>
            </a:ln>
          </c:spPr>
          <c:marker>
            <c:symbol val="none"/>
          </c:marker>
          <c:cat>
            <c:numRef>
              <c:f>'flat price index'!$E$3:$E$87</c:f>
              <c:numCache>
                <c:formatCode>General</c:formatCode>
                <c:ptCount val="85"/>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numCache>
            </c:numRef>
          </c:cat>
          <c:val>
            <c:numRef>
              <c:f>'flat price index'!$D$3:$D$87</c:f>
              <c:numCache>
                <c:formatCode>General</c:formatCode>
                <c:ptCount val="85"/>
                <c:pt idx="0">
                  <c:v>73</c:v>
                </c:pt>
                <c:pt idx="1">
                  <c:v>72.099999999999994</c:v>
                </c:pt>
                <c:pt idx="2">
                  <c:v>72.5</c:v>
                </c:pt>
                <c:pt idx="3">
                  <c:v>73.099999999999994</c:v>
                </c:pt>
                <c:pt idx="4" formatCode="0.0">
                  <c:v>74.8</c:v>
                </c:pt>
                <c:pt idx="5">
                  <c:v>76.599999999999994</c:v>
                </c:pt>
                <c:pt idx="6">
                  <c:v>78.8</c:v>
                </c:pt>
                <c:pt idx="7">
                  <c:v>81.400000000000006</c:v>
                </c:pt>
                <c:pt idx="8">
                  <c:v>84.8</c:v>
                </c:pt>
                <c:pt idx="9">
                  <c:v>89.7</c:v>
                </c:pt>
                <c:pt idx="10">
                  <c:v>93.7</c:v>
                </c:pt>
                <c:pt idx="11">
                  <c:v>97.6</c:v>
                </c:pt>
                <c:pt idx="12">
                  <c:v>101.5</c:v>
                </c:pt>
                <c:pt idx="13">
                  <c:v>107</c:v>
                </c:pt>
                <c:pt idx="14">
                  <c:v>113.5</c:v>
                </c:pt>
                <c:pt idx="15">
                  <c:v>111.5</c:v>
                </c:pt>
                <c:pt idx="16" formatCode="0.0">
                  <c:v>110.5</c:v>
                </c:pt>
                <c:pt idx="17">
                  <c:v>105.5</c:v>
                </c:pt>
                <c:pt idx="18">
                  <c:v>104</c:v>
                </c:pt>
                <c:pt idx="19">
                  <c:v>102.5</c:v>
                </c:pt>
                <c:pt idx="20">
                  <c:v>101.8</c:v>
                </c:pt>
                <c:pt idx="21">
                  <c:v>100.7</c:v>
                </c:pt>
                <c:pt idx="22">
                  <c:v>99.8</c:v>
                </c:pt>
                <c:pt idx="23">
                  <c:v>97.7</c:v>
                </c:pt>
                <c:pt idx="24">
                  <c:v>96.2</c:v>
                </c:pt>
                <c:pt idx="25">
                  <c:v>93.1</c:v>
                </c:pt>
                <c:pt idx="26">
                  <c:v>92.7</c:v>
                </c:pt>
                <c:pt idx="27">
                  <c:v>92.5</c:v>
                </c:pt>
                <c:pt idx="28">
                  <c:v>95.9</c:v>
                </c:pt>
                <c:pt idx="29">
                  <c:v>100.4</c:v>
                </c:pt>
                <c:pt idx="30">
                  <c:v>100.7</c:v>
                </c:pt>
                <c:pt idx="31">
                  <c:v>101.5</c:v>
                </c:pt>
                <c:pt idx="32">
                  <c:v>101.8</c:v>
                </c:pt>
                <c:pt idx="33">
                  <c:v>102.3</c:v>
                </c:pt>
                <c:pt idx="34">
                  <c:v>103.4</c:v>
                </c:pt>
                <c:pt idx="35">
                  <c:v>105</c:v>
                </c:pt>
                <c:pt idx="36">
                  <c:v>105.7</c:v>
                </c:pt>
                <c:pt idx="37">
                  <c:v>107.7</c:v>
                </c:pt>
                <c:pt idx="38">
                  <c:v>110.3</c:v>
                </c:pt>
                <c:pt idx="39">
                  <c:v>110.4</c:v>
                </c:pt>
                <c:pt idx="40">
                  <c:v>111.8</c:v>
                </c:pt>
                <c:pt idx="41">
                  <c:v>114.7</c:v>
                </c:pt>
                <c:pt idx="42">
                  <c:v>117.7</c:v>
                </c:pt>
                <c:pt idx="43">
                  <c:v>120.1</c:v>
                </c:pt>
                <c:pt idx="44">
                  <c:v>123.2</c:v>
                </c:pt>
                <c:pt idx="45">
                  <c:v>126.8</c:v>
                </c:pt>
                <c:pt idx="46">
                  <c:v>129.19999999999999</c:v>
                </c:pt>
                <c:pt idx="47">
                  <c:v>133.69999999999999</c:v>
                </c:pt>
                <c:pt idx="48">
                  <c:v>140</c:v>
                </c:pt>
                <c:pt idx="49">
                  <c:v>145.30000000000001</c:v>
                </c:pt>
                <c:pt idx="50">
                  <c:v>152.80000000000001</c:v>
                </c:pt>
                <c:pt idx="51">
                  <c:v>158.80000000000001</c:v>
                </c:pt>
                <c:pt idx="52">
                  <c:v>161.1</c:v>
                </c:pt>
                <c:pt idx="53">
                  <c:v>166</c:v>
                </c:pt>
                <c:pt idx="54">
                  <c:v>169.2</c:v>
                </c:pt>
                <c:pt idx="55">
                  <c:v>172.7</c:v>
                </c:pt>
                <c:pt idx="56">
                  <c:v>174.5</c:v>
                </c:pt>
                <c:pt idx="57">
                  <c:v>174.2</c:v>
                </c:pt>
                <c:pt idx="58">
                  <c:v>174.8</c:v>
                </c:pt>
                <c:pt idx="59">
                  <c:v>177.8</c:v>
                </c:pt>
                <c:pt idx="60">
                  <c:v>180.7</c:v>
                </c:pt>
                <c:pt idx="61">
                  <c:v>183.4</c:v>
                </c:pt>
                <c:pt idx="62">
                  <c:v>185.7</c:v>
                </c:pt>
                <c:pt idx="63">
                  <c:v>187</c:v>
                </c:pt>
                <c:pt idx="64">
                  <c:v>189.3</c:v>
                </c:pt>
                <c:pt idx="65">
                  <c:v>191.7</c:v>
                </c:pt>
                <c:pt idx="66">
                  <c:v>197.3</c:v>
                </c:pt>
                <c:pt idx="67">
                  <c:v>204.1</c:v>
                </c:pt>
                <c:pt idx="68">
                  <c:v>212.5</c:v>
                </c:pt>
                <c:pt idx="69">
                  <c:v>229.5</c:v>
                </c:pt>
                <c:pt idx="70">
                  <c:v>233.8</c:v>
                </c:pt>
                <c:pt idx="71">
                  <c:v>238.6</c:v>
                </c:pt>
                <c:pt idx="72">
                  <c:v>234.4</c:v>
                </c:pt>
                <c:pt idx="73">
                  <c:v>230.2</c:v>
                </c:pt>
                <c:pt idx="74">
                  <c:v>230.1</c:v>
                </c:pt>
                <c:pt idx="75">
                  <c:v>230.1</c:v>
                </c:pt>
                <c:pt idx="76">
                  <c:v>235.2</c:v>
                </c:pt>
                <c:pt idx="77">
                  <c:v>239.4</c:v>
                </c:pt>
                <c:pt idx="78">
                  <c:v>245.7</c:v>
                </c:pt>
                <c:pt idx="79">
                  <c:v>254</c:v>
                </c:pt>
                <c:pt idx="80">
                  <c:v>274</c:v>
                </c:pt>
                <c:pt idx="81">
                  <c:v>278.2</c:v>
                </c:pt>
                <c:pt idx="82">
                  <c:v>285.2</c:v>
                </c:pt>
                <c:pt idx="83">
                  <c:v>291.5</c:v>
                </c:pt>
                <c:pt idx="84">
                  <c:v>298.39999999999998</c:v>
                </c:pt>
              </c:numCache>
            </c:numRef>
          </c:val>
          <c:smooth val="0"/>
          <c:extLst>
            <c:ext xmlns:c16="http://schemas.microsoft.com/office/drawing/2014/chart" uri="{C3380CC4-5D6E-409C-BE32-E72D297353CC}">
              <c16:uniqueId val="{00000001-FF8C-3A43-BEF7-602A2654349F}"/>
            </c:ext>
          </c:extLst>
        </c:ser>
        <c:ser>
          <c:idx val="2"/>
          <c:order val="2"/>
          <c:tx>
            <c:strRef>
              <c:f>'flat price index'!$C$2</c:f>
              <c:strCache>
                <c:ptCount val="1"/>
                <c:pt idx="0">
                  <c:v>ČR bez Prahy </c:v>
                </c:pt>
              </c:strCache>
            </c:strRef>
          </c:tx>
          <c:spPr>
            <a:ln w="25400">
              <a:solidFill>
                <a:srgbClr val="99CC00"/>
              </a:solidFill>
              <a:prstDash val="solid"/>
            </a:ln>
          </c:spPr>
          <c:marker>
            <c:symbol val="none"/>
          </c:marker>
          <c:cat>
            <c:numRef>
              <c:f>'flat price index'!$E$3:$E$87</c:f>
              <c:numCache>
                <c:formatCode>General</c:formatCode>
                <c:ptCount val="85"/>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numCache>
            </c:numRef>
          </c:cat>
          <c:val>
            <c:numRef>
              <c:f>'flat price index'!$C$3:$C$87</c:f>
              <c:numCache>
                <c:formatCode>General</c:formatCode>
                <c:ptCount val="85"/>
                <c:pt idx="0">
                  <c:v>59.7</c:v>
                </c:pt>
                <c:pt idx="1">
                  <c:v>59.5</c:v>
                </c:pt>
                <c:pt idx="2">
                  <c:v>60.4</c:v>
                </c:pt>
                <c:pt idx="3">
                  <c:v>62</c:v>
                </c:pt>
                <c:pt idx="4">
                  <c:v>63.1</c:v>
                </c:pt>
                <c:pt idx="5">
                  <c:v>64.8</c:v>
                </c:pt>
                <c:pt idx="6">
                  <c:v>67.8</c:v>
                </c:pt>
                <c:pt idx="7">
                  <c:v>71.5</c:v>
                </c:pt>
                <c:pt idx="8">
                  <c:v>75.8</c:v>
                </c:pt>
                <c:pt idx="9">
                  <c:v>80.2</c:v>
                </c:pt>
                <c:pt idx="10">
                  <c:v>85.7</c:v>
                </c:pt>
                <c:pt idx="11">
                  <c:v>90.3</c:v>
                </c:pt>
                <c:pt idx="12">
                  <c:v>96.8</c:v>
                </c:pt>
                <c:pt idx="13">
                  <c:v>105.2</c:v>
                </c:pt>
                <c:pt idx="14">
                  <c:v>110.2</c:v>
                </c:pt>
                <c:pt idx="15">
                  <c:v>112.3</c:v>
                </c:pt>
                <c:pt idx="16" formatCode="0.0">
                  <c:v>107.2</c:v>
                </c:pt>
                <c:pt idx="17">
                  <c:v>100.4</c:v>
                </c:pt>
                <c:pt idx="18">
                  <c:v>102.6</c:v>
                </c:pt>
                <c:pt idx="19">
                  <c:v>101.7</c:v>
                </c:pt>
                <c:pt idx="20">
                  <c:v>99.9</c:v>
                </c:pt>
                <c:pt idx="21">
                  <c:v>100.2</c:v>
                </c:pt>
                <c:pt idx="22">
                  <c:v>99.9</c:v>
                </c:pt>
                <c:pt idx="23">
                  <c:v>100</c:v>
                </c:pt>
                <c:pt idx="24">
                  <c:v>98</c:v>
                </c:pt>
                <c:pt idx="25">
                  <c:v>97.1</c:v>
                </c:pt>
                <c:pt idx="26">
                  <c:v>96.4</c:v>
                </c:pt>
                <c:pt idx="27">
                  <c:v>94.9</c:v>
                </c:pt>
                <c:pt idx="28">
                  <c:v>93.9</c:v>
                </c:pt>
                <c:pt idx="29">
                  <c:v>93.1</c:v>
                </c:pt>
                <c:pt idx="30">
                  <c:v>91.3</c:v>
                </c:pt>
                <c:pt idx="31">
                  <c:v>91.7</c:v>
                </c:pt>
                <c:pt idx="32">
                  <c:v>90.9</c:v>
                </c:pt>
                <c:pt idx="33">
                  <c:v>91</c:v>
                </c:pt>
                <c:pt idx="34">
                  <c:v>91.3</c:v>
                </c:pt>
                <c:pt idx="35">
                  <c:v>91.9</c:v>
                </c:pt>
                <c:pt idx="36">
                  <c:v>92.9</c:v>
                </c:pt>
                <c:pt idx="37">
                  <c:v>93.4</c:v>
                </c:pt>
                <c:pt idx="38">
                  <c:v>93.5</c:v>
                </c:pt>
                <c:pt idx="39">
                  <c:v>92.1</c:v>
                </c:pt>
                <c:pt idx="40">
                  <c:v>94</c:v>
                </c:pt>
                <c:pt idx="41">
                  <c:v>96.5</c:v>
                </c:pt>
                <c:pt idx="42">
                  <c:v>98.5</c:v>
                </c:pt>
                <c:pt idx="43">
                  <c:v>101.6</c:v>
                </c:pt>
                <c:pt idx="44">
                  <c:v>103.5</c:v>
                </c:pt>
                <c:pt idx="45">
                  <c:v>106.1</c:v>
                </c:pt>
                <c:pt idx="46">
                  <c:v>108.4</c:v>
                </c:pt>
                <c:pt idx="47">
                  <c:v>110.2</c:v>
                </c:pt>
                <c:pt idx="48">
                  <c:v>108.3</c:v>
                </c:pt>
                <c:pt idx="49">
                  <c:v>109.9</c:v>
                </c:pt>
                <c:pt idx="50">
                  <c:v>114.6</c:v>
                </c:pt>
                <c:pt idx="51">
                  <c:v>115.4</c:v>
                </c:pt>
                <c:pt idx="52">
                  <c:v>119.1</c:v>
                </c:pt>
                <c:pt idx="53">
                  <c:v>120.3</c:v>
                </c:pt>
                <c:pt idx="54">
                  <c:v>123.5</c:v>
                </c:pt>
                <c:pt idx="55">
                  <c:v>124.8</c:v>
                </c:pt>
                <c:pt idx="56">
                  <c:v>126.5</c:v>
                </c:pt>
                <c:pt idx="57">
                  <c:v>128.6</c:v>
                </c:pt>
                <c:pt idx="58">
                  <c:v>133.1</c:v>
                </c:pt>
                <c:pt idx="59">
                  <c:v>135.9</c:v>
                </c:pt>
                <c:pt idx="60">
                  <c:v>138.5</c:v>
                </c:pt>
                <c:pt idx="61">
                  <c:v>141.1</c:v>
                </c:pt>
                <c:pt idx="62">
                  <c:v>146.9</c:v>
                </c:pt>
                <c:pt idx="63">
                  <c:v>150.80000000000001</c:v>
                </c:pt>
                <c:pt idx="64">
                  <c:v>154.30000000000001</c:v>
                </c:pt>
                <c:pt idx="65">
                  <c:v>158.6</c:v>
                </c:pt>
                <c:pt idx="66">
                  <c:v>166.4</c:v>
                </c:pt>
                <c:pt idx="67">
                  <c:v>175.7</c:v>
                </c:pt>
                <c:pt idx="68">
                  <c:v>189.1</c:v>
                </c:pt>
                <c:pt idx="69">
                  <c:v>207.1</c:v>
                </c:pt>
                <c:pt idx="70">
                  <c:v>213.2</c:v>
                </c:pt>
                <c:pt idx="71">
                  <c:v>210.7</c:v>
                </c:pt>
                <c:pt idx="72">
                  <c:v>206.6</c:v>
                </c:pt>
                <c:pt idx="73">
                  <c:v>203.3</c:v>
                </c:pt>
                <c:pt idx="74">
                  <c:v>202.1</c:v>
                </c:pt>
                <c:pt idx="75">
                  <c:v>200.4</c:v>
                </c:pt>
                <c:pt idx="76">
                  <c:v>202.8</c:v>
                </c:pt>
                <c:pt idx="77">
                  <c:v>208.7</c:v>
                </c:pt>
                <c:pt idx="78">
                  <c:v>216.5</c:v>
                </c:pt>
                <c:pt idx="79">
                  <c:v>222.7</c:v>
                </c:pt>
                <c:pt idx="80">
                  <c:v>232.5</c:v>
                </c:pt>
                <c:pt idx="81">
                  <c:v>246</c:v>
                </c:pt>
                <c:pt idx="82">
                  <c:v>258.7</c:v>
                </c:pt>
                <c:pt idx="83">
                  <c:v>265.5</c:v>
                </c:pt>
                <c:pt idx="84">
                  <c:v>273.7</c:v>
                </c:pt>
              </c:numCache>
            </c:numRef>
          </c:val>
          <c:smooth val="0"/>
          <c:extLst>
            <c:ext xmlns:c16="http://schemas.microsoft.com/office/drawing/2014/chart" uri="{C3380CC4-5D6E-409C-BE32-E72D297353CC}">
              <c16:uniqueId val="{00000002-FF8C-3A43-BEF7-602A2654349F}"/>
            </c:ext>
          </c:extLst>
        </c:ser>
        <c:dLbls>
          <c:showLegendKey val="0"/>
          <c:showVal val="0"/>
          <c:showCatName val="0"/>
          <c:showSerName val="0"/>
          <c:showPercent val="0"/>
          <c:showBubbleSize val="0"/>
        </c:dLbls>
        <c:smooth val="0"/>
        <c:axId val="69436544"/>
        <c:axId val="69438848"/>
      </c:lineChart>
      <c:catAx>
        <c:axId val="69436544"/>
        <c:scaling>
          <c:orientation val="minMax"/>
        </c:scaling>
        <c:delete val="0"/>
        <c:axPos val="b"/>
        <c:majorGridlines>
          <c:spPr>
            <a:ln w="3175">
              <a:solidFill>
                <a:srgbClr val="000000"/>
              </a:solidFill>
              <a:prstDash val="sysDash"/>
            </a:ln>
          </c:spPr>
        </c:majorGridlines>
        <c:title>
          <c:tx>
            <c:rich>
              <a:bodyPr/>
              <a:lstStyle/>
              <a:p>
                <a:pPr>
                  <a:defRPr sz="800" b="1" i="0" u="none" strike="noStrike" baseline="0">
                    <a:solidFill>
                      <a:srgbClr val="000000"/>
                    </a:solidFill>
                    <a:latin typeface="Arial CE"/>
                    <a:ea typeface="Arial CE"/>
                    <a:cs typeface="Arial CE"/>
                  </a:defRPr>
                </a:pPr>
                <a:r>
                  <a:rPr lang="cs-CZ"/>
                  <a:t>čtvrtletí/rok</a:t>
                </a:r>
              </a:p>
            </c:rich>
          </c:tx>
          <c:layout>
            <c:manualLayout>
              <c:xMode val="edge"/>
              <c:yMode val="edge"/>
              <c:x val="0.47683171890509202"/>
              <c:y val="0.9002087732796393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700" b="0" i="0" u="none" strike="noStrike" baseline="0">
                <a:solidFill>
                  <a:srgbClr val="000000"/>
                </a:solidFill>
                <a:latin typeface="Arial CE"/>
                <a:ea typeface="Arial CE"/>
                <a:cs typeface="Arial CE"/>
              </a:defRPr>
            </a:pPr>
            <a:endParaRPr lang="cs-CZ"/>
          </a:p>
        </c:txPr>
        <c:crossAx val="69438848"/>
        <c:crosses val="autoZero"/>
        <c:auto val="1"/>
        <c:lblAlgn val="ctr"/>
        <c:lblOffset val="100"/>
        <c:tickLblSkip val="1"/>
        <c:tickMarkSkip val="4"/>
        <c:noMultiLvlLbl val="0"/>
      </c:catAx>
      <c:valAx>
        <c:axId val="69438848"/>
        <c:scaling>
          <c:orientation val="minMax"/>
          <c:max val="300"/>
          <c:min val="50"/>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CE"/>
                    <a:ea typeface="Arial CE"/>
                    <a:cs typeface="Arial CE"/>
                  </a:defRPr>
                </a:pPr>
                <a:r>
                  <a:rPr lang="cs-CZ"/>
                  <a:t>index (2010 = 100)</a:t>
                </a:r>
              </a:p>
            </c:rich>
          </c:tx>
          <c:layout>
            <c:manualLayout>
              <c:xMode val="edge"/>
              <c:yMode val="edge"/>
              <c:x val="8.9686098654708727E-3"/>
              <c:y val="0.355509792045225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CE"/>
                <a:ea typeface="Arial CE"/>
                <a:cs typeface="Arial CE"/>
              </a:defRPr>
            </a:pPr>
            <a:endParaRPr lang="cs-CZ"/>
          </a:p>
        </c:txPr>
        <c:crossAx val="69436544"/>
        <c:crosses val="autoZero"/>
        <c:crossBetween val="between"/>
        <c:majorUnit val="5"/>
      </c:valAx>
      <c:spPr>
        <a:solidFill>
          <a:srgbClr val="FFFFFF"/>
        </a:solidFill>
        <a:ln w="12700">
          <a:solidFill>
            <a:srgbClr val="808080"/>
          </a:solidFill>
          <a:prstDash val="solid"/>
        </a:ln>
      </c:spPr>
    </c:plotArea>
    <c:legend>
      <c:legendPos val="b"/>
      <c:layout>
        <c:manualLayout>
          <c:xMode val="edge"/>
          <c:yMode val="edge"/>
          <c:x val="0.36322917034473956"/>
          <c:y val="0.94594681901768563"/>
          <c:w val="0.30941751115191463"/>
          <c:h val="4.1580041580041575E-2"/>
        </c:manualLayout>
      </c:layout>
      <c:overlay val="0"/>
      <c:spPr>
        <a:solidFill>
          <a:srgbClr val="FFFFFF"/>
        </a:solidFill>
        <a:ln w="3175">
          <a:solidFill>
            <a:srgbClr val="000000"/>
          </a:solidFill>
          <a:prstDash val="solid"/>
        </a:ln>
      </c:spPr>
      <c:txPr>
        <a:bodyPr/>
        <a:lstStyle/>
        <a:p>
          <a:pPr>
            <a:defRPr sz="640" b="0" i="0" u="none" strike="noStrike" baseline="0">
              <a:solidFill>
                <a:srgbClr val="000000"/>
              </a:solidFill>
              <a:latin typeface="Arial CE"/>
              <a:ea typeface="Arial CE"/>
              <a:cs typeface="Arial CE"/>
            </a:defRPr>
          </a:pPr>
          <a:endParaRPr lang="cs-CZ"/>
        </a:p>
      </c:txPr>
    </c:legend>
    <c:plotVisOnly val="1"/>
    <c:dispBlanksAs val="gap"/>
    <c:showDLblsOverMax val="0"/>
  </c:chart>
  <c:spPr>
    <a:solidFill>
      <a:srgbClr val="FFFFFF"/>
    </a:solidFill>
    <a:ln w="3175">
      <a:solidFill>
        <a:srgbClr val="000000"/>
      </a:solidFill>
      <a:prstDash val="solid"/>
    </a:ln>
  </c:spPr>
  <c:txPr>
    <a:bodyPr/>
    <a:lstStyle/>
    <a:p>
      <a:pPr>
        <a:defRPr sz="700" b="0" i="0" u="none" strike="noStrike" baseline="0">
          <a:solidFill>
            <a:srgbClr val="000000"/>
          </a:solidFill>
          <a:latin typeface="Arial CE"/>
          <a:ea typeface="Arial CE"/>
          <a:cs typeface="Arial CE"/>
        </a:defRPr>
      </a:pPr>
      <a:endParaRPr lang="cs-CZ"/>
    </a:p>
  </c:txPr>
  <c:printSettings>
    <c:headerFooter alignWithMargins="0"/>
    <c:pageMargins b="0.98425196899999956" l="0.78740157499999996" r="0.78740157499999996" t="0.98425196899999956" header="0.49212598450000117" footer="0.49212598450000117"/>
    <c:pageSetup paperSize="9" orientation="landscape" horizontalDpi="1200" verticalDpi="120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Z"/>
        </a:p>
      </c:txPr>
    </c:title>
    <c:autoTitleDeleted val="0"/>
    <c:plotArea>
      <c:layout/>
      <c:barChart>
        <c:barDir val="bar"/>
        <c:grouping val="clustered"/>
        <c:varyColors val="0"/>
        <c:ser>
          <c:idx val="0"/>
          <c:order val="0"/>
          <c:tx>
            <c:strRef>
              <c:f>'Tornado Chart Data'!$G$1:$G$3</c:f>
              <c:strCache>
                <c:ptCount val="3"/>
                <c:pt idx="0">
                  <c:v>Tornado Chart: Impact of each variable on the Buy-Rent net worth difference</c:v>
                </c:pt>
                <c:pt idx="2">
                  <c:v>Range (CZK)</c:v>
                </c:pt>
              </c:strCache>
            </c:strRef>
          </c:tx>
          <c:spPr>
            <a:solidFill>
              <a:schemeClr val="accent1"/>
            </a:solidFill>
            <a:ln>
              <a:noFill/>
            </a:ln>
            <a:effectLst/>
          </c:spPr>
          <c:invertIfNegative val="0"/>
          <c:cat>
            <c:strRef>
              <c:f>'Tornado Chart Data'!$A$4:$A$12</c:f>
              <c:strCache>
                <c:ptCount val="9"/>
                <c:pt idx="0">
                  <c:v>Rent growth</c:v>
                </c:pt>
                <c:pt idx="1">
                  <c:v>Investment return</c:v>
                </c:pt>
                <c:pt idx="2">
                  <c:v>RE price growth</c:v>
                </c:pt>
                <c:pt idx="3">
                  <c:v>Mortgage rate</c:v>
                </c:pt>
                <c:pt idx="4">
                  <c:v>Repairs</c:v>
                </c:pt>
                <c:pt idx="5">
                  <c:v>SVJ fees</c:v>
                </c:pt>
                <c:pt idx="7">
                  <c:v>Note: "Diff at low" = Buy NW minus Rent NW when the variable is at its low test value. Negative values mean renting wins.</c:v>
                </c:pt>
                <c:pt idx="8">
                  <c:v>The Range column shows the total swing in the buy-rent difference across the tested range of each variable.</c:v>
                </c:pt>
              </c:strCache>
            </c:strRef>
          </c:cat>
          <c:val>
            <c:numRef>
              <c:f>'Tornado Chart Data'!$G$4:$G$12</c:f>
              <c:numCache>
                <c:formatCode>#,##0</c:formatCode>
                <c:ptCount val="9"/>
                <c:pt idx="0">
                  <c:v>103673939</c:v>
                </c:pt>
                <c:pt idx="1">
                  <c:v>83591852</c:v>
                </c:pt>
                <c:pt idx="2">
                  <c:v>65727816</c:v>
                </c:pt>
                <c:pt idx="3">
                  <c:v>42784325</c:v>
                </c:pt>
                <c:pt idx="4">
                  <c:v>22825845</c:v>
                </c:pt>
                <c:pt idx="5">
                  <c:v>8723287</c:v>
                </c:pt>
              </c:numCache>
            </c:numRef>
          </c:val>
          <c:extLst>
            <c:ext xmlns:c16="http://schemas.microsoft.com/office/drawing/2014/chart" uri="{C3380CC4-5D6E-409C-BE32-E72D297353CC}">
              <c16:uniqueId val="{00000000-9C42-B140-9D4E-234B04B35E87}"/>
            </c:ext>
          </c:extLst>
        </c:ser>
        <c:dLbls>
          <c:showLegendKey val="0"/>
          <c:showVal val="0"/>
          <c:showCatName val="0"/>
          <c:showSerName val="0"/>
          <c:showPercent val="0"/>
          <c:showBubbleSize val="0"/>
        </c:dLbls>
        <c:gapWidth val="182"/>
        <c:axId val="1086510784"/>
        <c:axId val="1086517952"/>
      </c:barChart>
      <c:catAx>
        <c:axId val="108651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Z"/>
          </a:p>
        </c:txPr>
        <c:crossAx val="1086517952"/>
        <c:crosses val="autoZero"/>
        <c:auto val="1"/>
        <c:lblAlgn val="ctr"/>
        <c:lblOffset val="100"/>
        <c:noMultiLvlLbl val="0"/>
      </c:catAx>
      <c:valAx>
        <c:axId val="10865179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Z"/>
          </a:p>
        </c:txPr>
        <c:crossAx val="1086510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Z"/>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575732</xdr:colOff>
      <xdr:row>4</xdr:row>
      <xdr:rowOff>149412</xdr:rowOff>
    </xdr:from>
    <xdr:to>
      <xdr:col>15</xdr:col>
      <xdr:colOff>457200</xdr:colOff>
      <xdr:row>32</xdr:row>
      <xdr:rowOff>131671</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132383</xdr:colOff>
      <xdr:row>2</xdr:row>
      <xdr:rowOff>151823</xdr:rowOff>
    </xdr:from>
    <xdr:to>
      <xdr:col>32</xdr:col>
      <xdr:colOff>174284</xdr:colOff>
      <xdr:row>27</xdr:row>
      <xdr:rowOff>143067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168037</xdr:colOff>
      <xdr:row>28</xdr:row>
      <xdr:rowOff>125465</xdr:rowOff>
    </xdr:from>
    <xdr:to>
      <xdr:col>23</xdr:col>
      <xdr:colOff>754853</xdr:colOff>
      <xdr:row>46</xdr:row>
      <xdr:rowOff>4380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501649</xdr:colOff>
      <xdr:row>66</xdr:row>
      <xdr:rowOff>156549</xdr:rowOff>
    </xdr:from>
    <xdr:to>
      <xdr:col>27</xdr:col>
      <xdr:colOff>169333</xdr:colOff>
      <xdr:row>101</xdr:row>
      <xdr:rowOff>173483</xdr:rowOff>
    </xdr:to>
    <xdr:graphicFrame macro="">
      <xdr:nvGraphicFramePr>
        <xdr:cNvPr id="2" name="Chart 1">
          <a:extLst>
            <a:ext uri="{FF2B5EF4-FFF2-40B4-BE49-F238E27FC236}">
              <a16:creationId xmlns:a16="http://schemas.microsoft.com/office/drawing/2014/main" id="{28D651A8-F670-8E92-FA6F-B2F7F9AFA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457201</xdr:colOff>
      <xdr:row>100</xdr:row>
      <xdr:rowOff>101600</xdr:rowOff>
    </xdr:from>
    <xdr:to>
      <xdr:col>27</xdr:col>
      <xdr:colOff>186267</xdr:colOff>
      <xdr:row>130</xdr:row>
      <xdr:rowOff>50800</xdr:rowOff>
    </xdr:to>
    <xdr:graphicFrame macro="">
      <xdr:nvGraphicFramePr>
        <xdr:cNvPr id="3" name="Chart 2">
          <a:extLst>
            <a:ext uri="{FF2B5EF4-FFF2-40B4-BE49-F238E27FC236}">
              <a16:creationId xmlns:a16="http://schemas.microsoft.com/office/drawing/2014/main" id="{EA6B3401-8A8F-5065-34DE-AC8362043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1061424</xdr:colOff>
      <xdr:row>18</xdr:row>
      <xdr:rowOff>28809</xdr:rowOff>
    </xdr:from>
    <xdr:to>
      <xdr:col>6</xdr:col>
      <xdr:colOff>1648690</xdr:colOff>
      <xdr:row>31</xdr:row>
      <xdr:rowOff>170210</xdr:rowOff>
    </xdr:to>
    <xdr:pic>
      <xdr:nvPicPr>
        <xdr:cNvPr id="2" name="Picture 1">
          <a:extLst>
            <a:ext uri="{FF2B5EF4-FFF2-40B4-BE49-F238E27FC236}">
              <a16:creationId xmlns:a16="http://schemas.microsoft.com/office/drawing/2014/main" id="{DE8053E1-FA35-00A4-036B-B651DA2B08FB}"/>
            </a:ext>
          </a:extLst>
        </xdr:cNvPr>
        <xdr:cNvPicPr>
          <a:picLocks noChangeAspect="1"/>
        </xdr:cNvPicPr>
      </xdr:nvPicPr>
      <xdr:blipFill>
        <a:blip xmlns:r="http://schemas.openxmlformats.org/officeDocument/2006/relationships" r:embed="rId1"/>
        <a:stretch>
          <a:fillRect/>
        </a:stretch>
      </xdr:blipFill>
      <xdr:spPr>
        <a:xfrm>
          <a:off x="6019014" y="3609291"/>
          <a:ext cx="5162327" cy="27273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257175</xdr:colOff>
      <xdr:row>0</xdr:row>
      <xdr:rowOff>133350</xdr:rowOff>
    </xdr:from>
    <xdr:to>
      <xdr:col>12</xdr:col>
      <xdr:colOff>228600</xdr:colOff>
      <xdr:row>33</xdr:row>
      <xdr:rowOff>0</xdr:rowOff>
    </xdr:to>
    <xdr:graphicFrame macro="">
      <xdr:nvGraphicFramePr>
        <xdr:cNvPr id="2" name="Chart 1">
          <a:extLst>
            <a:ext uri="{FF2B5EF4-FFF2-40B4-BE49-F238E27FC236}">
              <a16:creationId xmlns:a16="http://schemas.microsoft.com/office/drawing/2014/main" id="{054E7455-54D8-7A4E-867F-BBCF41A03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565150</xdr:colOff>
      <xdr:row>3</xdr:row>
      <xdr:rowOff>25400</xdr:rowOff>
    </xdr:from>
    <xdr:to>
      <xdr:col>14</xdr:col>
      <xdr:colOff>425450</xdr:colOff>
      <xdr:row>17</xdr:row>
      <xdr:rowOff>101600</xdr:rowOff>
    </xdr:to>
    <xdr:graphicFrame macro="">
      <xdr:nvGraphicFramePr>
        <xdr:cNvPr id="2" name="Chart 1">
          <a:extLst>
            <a:ext uri="{FF2B5EF4-FFF2-40B4-BE49-F238E27FC236}">
              <a16:creationId xmlns:a16="http://schemas.microsoft.com/office/drawing/2014/main" id="{7A042DB7-1409-ED45-B309-23915E582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vse-my.sharepoint.com/Users/davidb/Downloads/histretSP.xls" TargetMode="External"/><Relationship Id="rId1" Type="http://schemas.openxmlformats.org/officeDocument/2006/relationships/externalLinkPath" Target="https://vse-my.sharepoint.com/Users/davidb/Downloads/histret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lanations and FAQ"/>
      <sheetName val="Returns by year"/>
      <sheetName val="S&amp;P 500"/>
      <sheetName val="S&amp;P 500 &amp; Raw Data"/>
      <sheetName val="Small Cap"/>
      <sheetName val="T Bond Rate historical chart"/>
      <sheetName val="T. Bond yield &amp; return"/>
      <sheetName val="T. Bill rates"/>
      <sheetName val="Inflation Rate"/>
      <sheetName val="Summary for ppt"/>
      <sheetName val="Home Prices (Raw Data)"/>
      <sheetName val="Moody's Rates"/>
      <sheetName val="Home Prices"/>
      <sheetName val="Gold Prices"/>
      <sheetName val="Return Chart"/>
      <sheetName val="NominalvsReal"/>
      <sheetName val="NominalvsRealValue"/>
      <sheetName val="Nominal vs Real Data"/>
      <sheetName val="Sheet11"/>
      <sheetName val="Sheet12"/>
      <sheetName val="Sheet13"/>
      <sheetName val="Sheet14"/>
      <sheetName val="Sheet15"/>
      <sheetName val="Sheet16"/>
    </sheetNames>
    <sheetDataSet>
      <sheetData sheetId="0" refreshError="1"/>
      <sheetData sheetId="1" refreshError="1"/>
      <sheetData sheetId="2" refreshError="1"/>
      <sheetData sheetId="3">
        <row r="3">
          <cell r="B3">
            <v>17.66</v>
          </cell>
        </row>
        <row r="4">
          <cell r="B4">
            <v>24.35</v>
          </cell>
          <cell r="C4">
            <v>1.04705</v>
          </cell>
          <cell r="F4">
            <v>8.354708589799302E-3</v>
          </cell>
          <cell r="J4">
            <v>3.2195514702324381E-2</v>
          </cell>
        </row>
        <row r="5">
          <cell r="B5">
            <v>21.45</v>
          </cell>
          <cell r="C5">
            <v>0.87944999999999995</v>
          </cell>
          <cell r="F5">
            <v>4.2038041563204259E-2</v>
          </cell>
          <cell r="J5">
            <v>3.0178562399040432E-2</v>
          </cell>
        </row>
        <row r="6">
          <cell r="B6">
            <v>15.34</v>
          </cell>
          <cell r="C6">
            <v>0.72097999999999995</v>
          </cell>
          <cell r="F6">
            <v>4.5409314348970366E-2</v>
          </cell>
          <cell r="J6">
            <v>5.3978094648238287E-3</v>
          </cell>
        </row>
        <row r="7">
          <cell r="B7">
            <v>8.1199999999999992</v>
          </cell>
          <cell r="C7">
            <v>0.49531999999999993</v>
          </cell>
          <cell r="F7">
            <v>-2.5588559619422531E-2</v>
          </cell>
          <cell r="J7">
            <v>-0.15680775082667592</v>
          </cell>
        </row>
        <row r="8">
          <cell r="B8">
            <v>6.92</v>
          </cell>
          <cell r="C8">
            <v>0.49823999999999996</v>
          </cell>
          <cell r="F8">
            <v>8.7903069904773257E-2</v>
          </cell>
          <cell r="J8">
            <v>0.23589601675740196</v>
          </cell>
        </row>
        <row r="9">
          <cell r="B9">
            <v>9.9700000000000006</v>
          </cell>
          <cell r="C9">
            <v>0.40877000000000002</v>
          </cell>
          <cell r="F9">
            <v>1.8552720891857361E-2</v>
          </cell>
          <cell r="J9">
            <v>0.1296689369754826</v>
          </cell>
        </row>
        <row r="10">
          <cell r="B10">
            <v>9.5</v>
          </cell>
          <cell r="C10">
            <v>0.35149999999999998</v>
          </cell>
          <cell r="F10">
            <v>7.9634426179656104E-2</v>
          </cell>
          <cell r="J10">
            <v>0.18816429268482648</v>
          </cell>
        </row>
        <row r="11">
          <cell r="B11">
            <v>13.43</v>
          </cell>
          <cell r="C11">
            <v>0.51034000000000002</v>
          </cell>
          <cell r="F11">
            <v>4.4720477296566127E-2</v>
          </cell>
          <cell r="J11">
            <v>0.1330773186567917</v>
          </cell>
        </row>
        <row r="12">
          <cell r="B12">
            <v>17.18</v>
          </cell>
          <cell r="C12">
            <v>0.54</v>
          </cell>
          <cell r="F12">
            <v>5.0178754045450601E-2</v>
          </cell>
          <cell r="J12">
            <v>0.11383815871922703</v>
          </cell>
        </row>
        <row r="13">
          <cell r="B13">
            <v>10.55</v>
          </cell>
          <cell r="C13">
            <v>0.55915000000000004</v>
          </cell>
          <cell r="F13">
            <v>1.379146059646038E-2</v>
          </cell>
          <cell r="J13">
            <v>-4.4161916839982614E-2</v>
          </cell>
        </row>
        <row r="14">
          <cell r="B14">
            <v>13.14</v>
          </cell>
          <cell r="C14">
            <v>0.49931999999999999</v>
          </cell>
          <cell r="F14">
            <v>4.2132485322046068E-2</v>
          </cell>
          <cell r="J14">
            <v>9.2358817136874202E-2</v>
          </cell>
        </row>
        <row r="15">
          <cell r="B15">
            <v>12.46</v>
          </cell>
          <cell r="C15">
            <v>0.53578000000000003</v>
          </cell>
          <cell r="F15">
            <v>4.4122613942060671E-2</v>
          </cell>
          <cell r="J15">
            <v>7.9831377653461405E-2</v>
          </cell>
        </row>
        <row r="16">
          <cell r="B16">
            <v>10.58</v>
          </cell>
          <cell r="C16">
            <v>0.55015999999999998</v>
          </cell>
          <cell r="F16">
            <v>5.4024815962845509E-2</v>
          </cell>
          <cell r="J16">
            <v>8.6481371775829569E-2</v>
          </cell>
        </row>
        <row r="17">
          <cell r="B17">
            <v>8.69</v>
          </cell>
          <cell r="C17">
            <v>0.53877999999999993</v>
          </cell>
          <cell r="F17">
            <v>-2.0221975848580105E-2</v>
          </cell>
          <cell r="J17">
            <v>5.0071728572759232E-2</v>
          </cell>
        </row>
        <row r="18">
          <cell r="B18">
            <v>9.77</v>
          </cell>
          <cell r="C18">
            <v>0.58619999999999994</v>
          </cell>
          <cell r="F18">
            <v>2.2948682374484164E-2</v>
          </cell>
          <cell r="J18">
            <v>5.1799010426587015E-2</v>
          </cell>
        </row>
        <row r="19">
          <cell r="B19">
            <v>11.67</v>
          </cell>
          <cell r="C19">
            <v>0.54849000000000003</v>
          </cell>
          <cell r="F19">
            <v>2.4899999999999999E-2</v>
          </cell>
          <cell r="J19">
            <v>8.044670060105924E-2</v>
          </cell>
        </row>
        <row r="20">
          <cell r="B20">
            <v>13.28</v>
          </cell>
          <cell r="C20">
            <v>0.61087999999999998</v>
          </cell>
          <cell r="F20">
            <v>2.5776111579070303E-2</v>
          </cell>
          <cell r="J20">
            <v>6.5658635882561697E-2</v>
          </cell>
        </row>
        <row r="21">
          <cell r="B21">
            <v>17.36</v>
          </cell>
          <cell r="C21">
            <v>0.67703999999999998</v>
          </cell>
          <cell r="F21">
            <v>3.8044173419237229E-2</v>
          </cell>
          <cell r="J21">
            <v>6.799865477817886E-2</v>
          </cell>
        </row>
        <row r="22">
          <cell r="B22">
            <v>15.3</v>
          </cell>
          <cell r="C22">
            <v>0.59670000000000001</v>
          </cell>
          <cell r="F22">
            <v>3.1283745375695685E-2</v>
          </cell>
          <cell r="J22">
            <v>2.5080329773195936E-2</v>
          </cell>
        </row>
        <row r="23">
          <cell r="B23">
            <v>15.3</v>
          </cell>
          <cell r="C23">
            <v>0.79559999999999997</v>
          </cell>
          <cell r="F23">
            <v>9.1969680628322358E-3</v>
          </cell>
          <cell r="J23">
            <v>2.6212022665691934E-3</v>
          </cell>
        </row>
        <row r="24">
          <cell r="B24">
            <v>15.2</v>
          </cell>
          <cell r="C24">
            <v>0.9728</v>
          </cell>
          <cell r="F24">
            <v>1.9510369413175046E-2</v>
          </cell>
          <cell r="J24">
            <v>3.4369595605103213E-2</v>
          </cell>
        </row>
        <row r="25">
          <cell r="B25">
            <v>16.79</v>
          </cell>
          <cell r="C25">
            <v>1.1920899999999999</v>
          </cell>
          <cell r="F25">
            <v>4.6634851827973139E-2</v>
          </cell>
          <cell r="J25">
            <v>5.3773011179658936E-2</v>
          </cell>
        </row>
        <row r="26">
          <cell r="B26">
            <v>20.43</v>
          </cell>
          <cell r="C26">
            <v>1.5322499999999999</v>
          </cell>
          <cell r="F26">
            <v>4.2959574171096103E-3</v>
          </cell>
          <cell r="J26">
            <v>4.2388173056720914E-2</v>
          </cell>
        </row>
        <row r="27">
          <cell r="B27">
            <v>23.77</v>
          </cell>
          <cell r="C27">
            <v>1.4975099999999999</v>
          </cell>
          <cell r="F27">
            <v>-2.9531392208319886E-3</v>
          </cell>
          <cell r="J27">
            <v>-1.9098091301369691E-3</v>
          </cell>
        </row>
        <row r="28">
          <cell r="B28">
            <v>26.57</v>
          </cell>
          <cell r="C28">
            <v>1.5144900000000001</v>
          </cell>
          <cell r="F28">
            <v>2.2679961918305656E-2</v>
          </cell>
          <cell r="J28">
            <v>4.4412415047400768E-2</v>
          </cell>
        </row>
        <row r="29">
          <cell r="B29">
            <v>24.81</v>
          </cell>
          <cell r="C29">
            <v>1.4389799999999999</v>
          </cell>
          <cell r="F29">
            <v>4.1438402589088513E-2</v>
          </cell>
          <cell r="J29">
            <v>1.6201123818443276E-2</v>
          </cell>
        </row>
        <row r="30">
          <cell r="B30">
            <v>35.979999999999997</v>
          </cell>
          <cell r="C30">
            <v>1.8709599999999997</v>
          </cell>
          <cell r="F30">
            <v>3.2898034558095555E-2</v>
          </cell>
          <cell r="J30">
            <v>6.1579051817707856E-2</v>
          </cell>
        </row>
        <row r="31">
          <cell r="B31">
            <v>45.48</v>
          </cell>
          <cell r="C31">
            <v>2.2285200000000001</v>
          </cell>
          <cell r="F31">
            <v>-1.3364391288618781E-2</v>
          </cell>
          <cell r="J31">
            <v>2.044690004344954E-2</v>
          </cell>
        </row>
        <row r="32">
          <cell r="B32">
            <v>46.67</v>
          </cell>
          <cell r="C32">
            <v>2.1934900000000002</v>
          </cell>
          <cell r="F32">
            <v>-2.2557738173154165E-2</v>
          </cell>
          <cell r="J32">
            <v>-2.3526541979620903E-2</v>
          </cell>
        </row>
        <row r="33">
          <cell r="B33">
            <v>39.99</v>
          </cell>
          <cell r="C33">
            <v>1.79955</v>
          </cell>
          <cell r="F33">
            <v>6.7970128466249904E-2</v>
          </cell>
          <cell r="J33">
            <v>-7.1892844025423647E-3</v>
          </cell>
        </row>
        <row r="34">
          <cell r="B34">
            <v>55.21</v>
          </cell>
          <cell r="C34">
            <v>2.2636100000000003</v>
          </cell>
          <cell r="F34">
            <v>-2.0990181755274694E-2</v>
          </cell>
          <cell r="J34">
            <v>6.4300928973360261E-2</v>
          </cell>
        </row>
        <row r="35">
          <cell r="B35">
            <v>59.89</v>
          </cell>
          <cell r="C35">
            <v>1.9763700000000002</v>
          </cell>
          <cell r="F35">
            <v>-2.6466312591385065E-2</v>
          </cell>
          <cell r="J35">
            <v>1.5743430895022732E-2</v>
          </cell>
        </row>
        <row r="36">
          <cell r="B36">
            <v>58.11</v>
          </cell>
          <cell r="C36">
            <v>1.9815510000000001</v>
          </cell>
          <cell r="F36">
            <v>0.11639503690963365</v>
          </cell>
          <cell r="J36">
            <v>6.6631871633034342E-2</v>
          </cell>
        </row>
        <row r="37">
          <cell r="B37">
            <v>71.55</v>
          </cell>
          <cell r="C37">
            <v>2.0391750000000002</v>
          </cell>
          <cell r="F37">
            <v>2.0609208076323167E-2</v>
          </cell>
          <cell r="J37">
            <v>5.0999999999999997E-2</v>
          </cell>
        </row>
        <row r="38">
          <cell r="B38">
            <v>63.1</v>
          </cell>
          <cell r="C38">
            <v>2.1454</v>
          </cell>
          <cell r="F38">
            <v>5.693544054008462E-2</v>
          </cell>
          <cell r="J38">
            <v>6.4953279936065755E-2</v>
          </cell>
        </row>
        <row r="39">
          <cell r="B39">
            <v>75.02</v>
          </cell>
          <cell r="C39">
            <v>2.3481260000000002</v>
          </cell>
          <cell r="F39">
            <v>1.6841620739546127E-2</v>
          </cell>
          <cell r="J39">
            <v>5.4644805711862345E-2</v>
          </cell>
        </row>
        <row r="40">
          <cell r="B40">
            <v>84.75</v>
          </cell>
          <cell r="C40">
            <v>2.5848749999999998</v>
          </cell>
          <cell r="F40">
            <v>3.7280648911540815E-2</v>
          </cell>
          <cell r="J40">
            <v>5.1617392722850271E-2</v>
          </cell>
        </row>
        <row r="41">
          <cell r="B41">
            <v>92.43</v>
          </cell>
          <cell r="C41">
            <v>2.8283580000000001</v>
          </cell>
          <cell r="F41">
            <v>7.1885509359262342E-3</v>
          </cell>
          <cell r="J41">
            <v>3.1900094622538809E-2</v>
          </cell>
        </row>
        <row r="42">
          <cell r="B42">
            <v>80.33</v>
          </cell>
          <cell r="C42">
            <v>2.8838469999999998</v>
          </cell>
          <cell r="F42">
            <v>2.9079409324299622E-2</v>
          </cell>
          <cell r="J42">
            <v>-3.4453615975776369E-2</v>
          </cell>
        </row>
        <row r="43">
          <cell r="B43">
            <v>96.47</v>
          </cell>
          <cell r="C43">
            <v>2.9809230000000002</v>
          </cell>
          <cell r="F43">
            <v>-1.5806209932824666E-2</v>
          </cell>
          <cell r="J43">
            <v>8.9522661484468247E-3</v>
          </cell>
        </row>
        <row r="44">
          <cell r="B44">
            <v>103.86</v>
          </cell>
          <cell r="C44">
            <v>3.0430980000000001</v>
          </cell>
          <cell r="F44">
            <v>3.2746196950768365E-2</v>
          </cell>
          <cell r="J44">
            <v>4.845146224309746E-2</v>
          </cell>
        </row>
        <row r="45">
          <cell r="B45">
            <v>92.06</v>
          </cell>
          <cell r="C45">
            <v>3.2405119999999998</v>
          </cell>
          <cell r="F45">
            <v>-5.0140493209926106E-2</v>
          </cell>
          <cell r="J45">
            <v>-2.0251642507921469E-2</v>
          </cell>
        </row>
        <row r="46">
          <cell r="B46">
            <v>92.15</v>
          </cell>
          <cell r="C46">
            <v>3.1883900000000001</v>
          </cell>
          <cell r="F46">
            <v>0.16754737183412338</v>
          </cell>
          <cell r="J46">
            <v>5.6495676569888728E-2</v>
          </cell>
        </row>
        <row r="47">
          <cell r="B47">
            <v>102.09</v>
          </cell>
          <cell r="C47">
            <v>3.16479</v>
          </cell>
          <cell r="F47">
            <v>9.7868966197122972E-2</v>
          </cell>
          <cell r="J47">
            <v>0.1400146617421994</v>
          </cell>
        </row>
        <row r="48">
          <cell r="B48">
            <v>118.05</v>
          </cell>
          <cell r="C48">
            <v>3.1873499999999999</v>
          </cell>
          <cell r="F48">
            <v>2.818449050444969E-2</v>
          </cell>
          <cell r="J48">
            <v>0.11409093579389698</v>
          </cell>
        </row>
        <row r="49">
          <cell r="B49">
            <v>97.55</v>
          </cell>
          <cell r="C49">
            <v>3.6093500000000001</v>
          </cell>
          <cell r="F49">
            <v>3.6586646024150085E-2</v>
          </cell>
          <cell r="J49">
            <v>4.3180404854323576E-2</v>
          </cell>
        </row>
        <row r="50">
          <cell r="B50">
            <v>68.56</v>
          </cell>
          <cell r="C50">
            <v>3.7228080000000001</v>
          </cell>
          <cell r="F50">
            <v>1.9886086932378574E-2</v>
          </cell>
          <cell r="J50">
            <v>-4.3807197977191667E-2</v>
          </cell>
        </row>
        <row r="51">
          <cell r="B51">
            <v>90.19</v>
          </cell>
          <cell r="C51">
            <v>3.7338659999999999</v>
          </cell>
          <cell r="F51">
            <v>3.6052536026033838E-2</v>
          </cell>
          <cell r="J51">
            <v>0.11049964074144952</v>
          </cell>
        </row>
        <row r="52">
          <cell r="B52">
            <v>107.46</v>
          </cell>
          <cell r="C52">
            <v>4.2231779999999999</v>
          </cell>
          <cell r="F52">
            <v>0.1598456074290921</v>
          </cell>
          <cell r="J52">
            <v>0.19752813987098014</v>
          </cell>
        </row>
        <row r="53">
          <cell r="B53">
            <v>95.1</v>
          </cell>
          <cell r="C53">
            <v>4.85961</v>
          </cell>
          <cell r="F53">
            <v>1.2899606071070449E-2</v>
          </cell>
          <cell r="J53">
            <v>9.9546628520906386E-2</v>
          </cell>
        </row>
        <row r="54">
          <cell r="B54">
            <v>96.11</v>
          </cell>
          <cell r="C54">
            <v>5.1803290000000004</v>
          </cell>
          <cell r="F54">
            <v>-7.7758069075086478E-3</v>
          </cell>
          <cell r="J54">
            <v>3.1375849771690861E-2</v>
          </cell>
        </row>
        <row r="55">
          <cell r="B55">
            <v>107.94</v>
          </cell>
          <cell r="C55">
            <v>5.9690820000000002</v>
          </cell>
          <cell r="F55">
            <v>6.7072031247235459E-3</v>
          </cell>
          <cell r="J55">
            <v>-2.0091101436615355E-2</v>
          </cell>
        </row>
        <row r="56">
          <cell r="B56">
            <v>135.76</v>
          </cell>
          <cell r="C56">
            <v>6.4350240000000003</v>
          </cell>
          <cell r="F56">
            <v>-2.989744251999403E-2</v>
          </cell>
          <cell r="J56">
            <v>-3.3156783371910456E-2</v>
          </cell>
        </row>
        <row r="57">
          <cell r="B57">
            <v>122.55</v>
          </cell>
          <cell r="C57">
            <v>6.8260350000000001</v>
          </cell>
          <cell r="F57">
            <v>8.1992153358923542E-2</v>
          </cell>
          <cell r="J57">
            <v>8.4623994808912056E-2</v>
          </cell>
        </row>
        <row r="58">
          <cell r="B58">
            <v>140.63999999999999</v>
          </cell>
          <cell r="C58">
            <v>6.9335519999999997</v>
          </cell>
          <cell r="F58">
            <v>0.32814549486295586</v>
          </cell>
          <cell r="J58">
            <v>0.2905245565590866</v>
          </cell>
        </row>
        <row r="59">
          <cell r="B59">
            <v>164.93</v>
          </cell>
          <cell r="C59">
            <v>7.1249760000000002</v>
          </cell>
          <cell r="F59">
            <v>3.2002094451429264E-2</v>
          </cell>
          <cell r="J59">
            <v>0.16194289622798344</v>
          </cell>
        </row>
        <row r="60">
          <cell r="B60">
            <v>167.24</v>
          </cell>
          <cell r="C60">
            <v>7.8268319999999996</v>
          </cell>
          <cell r="F60">
            <v>0.13733364344102345</v>
          </cell>
          <cell r="J60">
            <v>0.15619207332454216</v>
          </cell>
        </row>
        <row r="61">
          <cell r="B61">
            <v>211.28</v>
          </cell>
          <cell r="C61">
            <v>8.1976639999999996</v>
          </cell>
          <cell r="F61">
            <v>0.2571248821260641</v>
          </cell>
          <cell r="J61">
            <v>0.23862641849916477</v>
          </cell>
        </row>
        <row r="62">
          <cell r="B62">
            <v>242.17</v>
          </cell>
          <cell r="C62">
            <v>8.1853459999999991</v>
          </cell>
          <cell r="F62">
            <v>0.24284215141767618</v>
          </cell>
          <cell r="J62">
            <v>0.2214614600547623</v>
          </cell>
        </row>
        <row r="63">
          <cell r="B63">
            <v>247.08</v>
          </cell>
          <cell r="C63">
            <v>9.1666679999999996</v>
          </cell>
          <cell r="F63">
            <v>-4.9605089379262279E-2</v>
          </cell>
          <cell r="J63">
            <v>1.1171968043818023E-2</v>
          </cell>
        </row>
        <row r="64">
          <cell r="B64">
            <v>277.72000000000003</v>
          </cell>
          <cell r="C64">
            <v>10.220096</v>
          </cell>
          <cell r="F64">
            <v>8.2235958434841674E-2</v>
          </cell>
          <cell r="J64">
            <v>0.15681384703221346</v>
          </cell>
        </row>
        <row r="65">
          <cell r="B65">
            <v>353.4</v>
          </cell>
          <cell r="C65">
            <v>11.73288</v>
          </cell>
          <cell r="F65">
            <v>0.17693647159446219</v>
          </cell>
          <cell r="J65">
            <v>0.16312115752422615</v>
          </cell>
        </row>
        <row r="66">
          <cell r="B66">
            <v>330.22</v>
          </cell>
          <cell r="C66">
            <v>12.350228</v>
          </cell>
          <cell r="F66">
            <v>6.2353753335533363E-2</v>
          </cell>
          <cell r="J66">
            <v>5.6477750205500804E-2</v>
          </cell>
        </row>
        <row r="67">
          <cell r="B67">
            <v>417.09</v>
          </cell>
          <cell r="C67">
            <v>12.971499</v>
          </cell>
          <cell r="F67">
            <v>0.15004510019517303</v>
          </cell>
          <cell r="J67">
            <v>0.16400049125760602</v>
          </cell>
        </row>
        <row r="68">
          <cell r="B68">
            <v>435.71</v>
          </cell>
          <cell r="C68">
            <v>12.635590000000001</v>
          </cell>
          <cell r="F68">
            <v>9.3616373162079422E-2</v>
          </cell>
          <cell r="J68">
            <v>0.13682874000406886</v>
          </cell>
        </row>
        <row r="69">
          <cell r="B69">
            <v>466.45</v>
          </cell>
          <cell r="C69">
            <v>12.68744</v>
          </cell>
          <cell r="F69">
            <v>0.14210957589263107</v>
          </cell>
          <cell r="J69">
            <v>0.16444594316692779</v>
          </cell>
        </row>
        <row r="70">
          <cell r="B70">
            <v>459.27</v>
          </cell>
          <cell r="C70">
            <v>13.364757000000001</v>
          </cell>
          <cell r="F70">
            <v>-8.0366555509985921E-2</v>
          </cell>
          <cell r="J70">
            <v>-1.2313818260180243E-2</v>
          </cell>
        </row>
        <row r="71">
          <cell r="B71">
            <v>615.92999999999995</v>
          </cell>
          <cell r="C71">
            <v>14.16639</v>
          </cell>
          <cell r="F71">
            <v>0.23480780112538907</v>
          </cell>
          <cell r="J71">
            <v>0.20087516571052572</v>
          </cell>
        </row>
        <row r="72">
          <cell r="B72">
            <v>740.74</v>
          </cell>
          <cell r="C72">
            <v>14.888873999999999</v>
          </cell>
          <cell r="F72">
            <v>1.428607793401844E-2</v>
          </cell>
          <cell r="J72">
            <v>5.2796034940021663E-2</v>
          </cell>
        </row>
        <row r="73">
          <cell r="B73">
            <v>970.43</v>
          </cell>
          <cell r="C73">
            <v>15.522</v>
          </cell>
          <cell r="F73">
            <v>9.939130272977531E-2</v>
          </cell>
          <cell r="J73">
            <v>0.11297255528327496</v>
          </cell>
        </row>
        <row r="74">
          <cell r="B74">
            <v>1229.23</v>
          </cell>
          <cell r="C74">
            <v>16.2</v>
          </cell>
          <cell r="F74">
            <v>0.14921431922606215</v>
          </cell>
          <cell r="J74">
            <v>8.1044463844197473E-2</v>
          </cell>
        </row>
        <row r="75">
          <cell r="B75">
            <v>1469.25</v>
          </cell>
          <cell r="C75">
            <v>16.709</v>
          </cell>
          <cell r="F75">
            <v>-8.2542147962685761E-2</v>
          </cell>
          <cell r="J75">
            <v>9.7060334129739079E-3</v>
          </cell>
        </row>
        <row r="76">
          <cell r="B76">
            <v>1320.28</v>
          </cell>
          <cell r="C76">
            <v>16.27</v>
          </cell>
          <cell r="F76">
            <v>0.16655267125397488</v>
          </cell>
          <cell r="J76">
            <v>9.3783596232947297E-2</v>
          </cell>
        </row>
        <row r="77">
          <cell r="B77">
            <v>1148.0899999999999</v>
          </cell>
          <cell r="C77">
            <v>15.74</v>
          </cell>
          <cell r="F77">
            <v>5.5721811892492555E-2</v>
          </cell>
          <cell r="J77">
            <v>8.5966407402972594E-2</v>
          </cell>
        </row>
        <row r="78">
          <cell r="B78">
            <v>879.82</v>
          </cell>
          <cell r="C78">
            <v>16.079999999999998</v>
          </cell>
          <cell r="F78">
            <v>0.15116400378109285</v>
          </cell>
          <cell r="J78">
            <v>0.12056324507730691</v>
          </cell>
        </row>
        <row r="79">
          <cell r="B79">
            <v>1111.9100000000001</v>
          </cell>
          <cell r="C79">
            <v>17.39</v>
          </cell>
          <cell r="F79">
            <v>3.7531858817758529E-3</v>
          </cell>
          <cell r="J79">
            <v>0.1238264134705485</v>
          </cell>
        </row>
        <row r="80">
          <cell r="B80">
            <v>1211.92</v>
          </cell>
          <cell r="C80">
            <v>19.440000000000001</v>
          </cell>
          <cell r="F80">
            <v>4.490683702274547E-2</v>
          </cell>
          <cell r="J80">
            <v>0.1032945825904709</v>
          </cell>
        </row>
        <row r="81">
          <cell r="B81">
            <v>1248.29</v>
          </cell>
          <cell r="C81">
            <v>22.22</v>
          </cell>
          <cell r="F81">
            <v>2.8675329597779506E-2</v>
          </cell>
          <cell r="J81">
            <v>5.1326366805218779E-2</v>
          </cell>
        </row>
        <row r="82">
          <cell r="B82">
            <v>1418.3</v>
          </cell>
          <cell r="C82">
            <v>24.88</v>
          </cell>
          <cell r="F82">
            <v>1.9610012417568386E-2</v>
          </cell>
          <cell r="J82">
            <v>5.2684144332519181E-2</v>
          </cell>
        </row>
        <row r="83">
          <cell r="B83">
            <v>1468.36</v>
          </cell>
          <cell r="C83">
            <v>27.73</v>
          </cell>
          <cell r="F83">
            <v>0.10209921930012807</v>
          </cell>
          <cell r="J83">
            <v>4.9049214482201883E-2</v>
          </cell>
        </row>
        <row r="84">
          <cell r="B84">
            <v>903.25</v>
          </cell>
          <cell r="C84">
            <v>28.39</v>
          </cell>
          <cell r="F84">
            <v>0.20101279926977011</v>
          </cell>
          <cell r="J84">
            <v>-3.4445066435111374E-2</v>
          </cell>
        </row>
        <row r="85">
          <cell r="B85">
            <v>1115.0999999999999</v>
          </cell>
          <cell r="C85">
            <v>22.41</v>
          </cell>
          <cell r="F85">
            <v>-0.11116695313259162</v>
          </cell>
          <cell r="J85">
            <v>0.19958466821865592</v>
          </cell>
        </row>
        <row r="86">
          <cell r="B86">
            <v>1257.6400000000001</v>
          </cell>
          <cell r="C86">
            <v>22.73</v>
          </cell>
          <cell r="F86">
            <v>8.4629338803557719E-2</v>
          </cell>
          <cell r="J86">
            <v>9.401929364596065E-2</v>
          </cell>
        </row>
        <row r="87">
          <cell r="B87">
            <v>1257.5999999999999</v>
          </cell>
          <cell r="C87">
            <v>26.43</v>
          </cell>
          <cell r="F87">
            <v>0.16035334999461354</v>
          </cell>
          <cell r="J87">
            <v>0.12255951527540701</v>
          </cell>
        </row>
        <row r="88">
          <cell r="B88">
            <v>1426.19</v>
          </cell>
          <cell r="C88">
            <v>31.25</v>
          </cell>
          <cell r="F88">
            <v>2.971571978018946E-2</v>
          </cell>
          <cell r="J88">
            <v>9.3998518520979416E-2</v>
          </cell>
        </row>
        <row r="89">
          <cell r="B89">
            <v>1848.36</v>
          </cell>
          <cell r="C89">
            <v>36.28</v>
          </cell>
          <cell r="F89">
            <v>-9.104568794347262E-2</v>
          </cell>
          <cell r="J89">
            <v>-1.1252505764346693E-2</v>
          </cell>
        </row>
        <row r="90">
          <cell r="B90">
            <v>2058.9</v>
          </cell>
          <cell r="C90">
            <v>39.44</v>
          </cell>
          <cell r="F90">
            <v>0.10746180452004755</v>
          </cell>
          <cell r="J90">
            <v>0.10746402616714908</v>
          </cell>
        </row>
        <row r="91">
          <cell r="B91">
            <v>2043.9</v>
          </cell>
          <cell r="C91">
            <v>43.39</v>
          </cell>
          <cell r="F91">
            <v>1.2842996709792224E-2</v>
          </cell>
          <cell r="J91">
            <v>-1.5008531794429583E-2</v>
          </cell>
        </row>
        <row r="92">
          <cell r="B92">
            <v>2238.83</v>
          </cell>
          <cell r="C92">
            <v>45.7</v>
          </cell>
          <cell r="F92">
            <v>6.9055046987477921E-3</v>
          </cell>
          <cell r="J92">
            <v>0.11524473910506201</v>
          </cell>
        </row>
        <row r="93">
          <cell r="B93">
            <v>2673.61</v>
          </cell>
          <cell r="C93">
            <v>48.93</v>
          </cell>
          <cell r="F93">
            <v>2.8017162707789457E-2</v>
          </cell>
          <cell r="J93">
            <v>9.1512861973051515E-2</v>
          </cell>
        </row>
        <row r="94">
          <cell r="B94">
            <v>2506.85</v>
          </cell>
          <cell r="C94">
            <v>53.75</v>
          </cell>
          <cell r="F94">
            <v>-1.6692385713402633E-4</v>
          </cell>
          <cell r="J94">
            <v>-3.1827246355492778E-2</v>
          </cell>
        </row>
        <row r="95">
          <cell r="B95">
            <v>3230.78</v>
          </cell>
          <cell r="C95">
            <v>58.5</v>
          </cell>
          <cell r="F95">
            <v>9.6356307415483927E-2</v>
          </cell>
          <cell r="J95">
            <v>0.15247765775278477</v>
          </cell>
        </row>
        <row r="96">
          <cell r="B96">
            <v>3756.07</v>
          </cell>
          <cell r="C96">
            <v>57</v>
          </cell>
          <cell r="F96">
            <v>0.1133189764661412</v>
          </cell>
          <cell r="J96">
            <v>0.10601187472880443</v>
          </cell>
        </row>
        <row r="97">
          <cell r="B97">
            <v>4766.18</v>
          </cell>
          <cell r="C97">
            <v>59.2</v>
          </cell>
          <cell r="F97">
            <v>-4.416034448604475E-2</v>
          </cell>
          <cell r="J97">
            <v>1.016099565776583E-2</v>
          </cell>
        </row>
        <row r="98">
          <cell r="B98">
            <v>3839.5</v>
          </cell>
          <cell r="C98">
            <v>66.98</v>
          </cell>
          <cell r="F98">
            <v>-0.1782817153825067</v>
          </cell>
          <cell r="J98">
            <v>-0.15228134867768467</v>
          </cell>
        </row>
        <row r="99">
          <cell r="B99">
            <v>4769.8</v>
          </cell>
          <cell r="C99">
            <v>70.3</v>
          </cell>
          <cell r="F99">
            <v>3.8800000000000001E-2</v>
          </cell>
          <cell r="J99">
            <v>8.7356722013658433E-2</v>
          </cell>
        </row>
        <row r="100">
          <cell r="B100">
            <v>5881.63</v>
          </cell>
          <cell r="C100">
            <v>74.83</v>
          </cell>
          <cell r="F100">
            <v>-1.6371801436629807E-2</v>
          </cell>
          <cell r="J100">
            <v>1.7363556037785111E-2</v>
          </cell>
        </row>
        <row r="101">
          <cell r="B101">
            <v>6845.5</v>
          </cell>
          <cell r="C101">
            <v>78.569999999999993</v>
          </cell>
          <cell r="F101">
            <v>7.7954808707673962E-2</v>
          </cell>
          <cell r="J101">
            <v>6.9627320847848118E-2</v>
          </cell>
        </row>
      </sheetData>
      <sheetData sheetId="4">
        <row r="2">
          <cell r="B2">
            <v>0.62149999999999994</v>
          </cell>
        </row>
        <row r="3">
          <cell r="B3">
            <v>-0.46079999999999999</v>
          </cell>
        </row>
        <row r="4">
          <cell r="B4">
            <v>-0.48350000000000004</v>
          </cell>
        </row>
        <row r="5">
          <cell r="B5">
            <v>-0.43619999999999998</v>
          </cell>
        </row>
        <row r="6">
          <cell r="B6">
            <v>0.28649999999999998</v>
          </cell>
        </row>
        <row r="7">
          <cell r="B7">
            <v>1.466</v>
          </cell>
        </row>
        <row r="8">
          <cell r="B8">
            <v>0.23070000000000002</v>
          </cell>
        </row>
        <row r="9">
          <cell r="B9">
            <v>0.54899999999999993</v>
          </cell>
        </row>
        <row r="10">
          <cell r="B10">
            <v>0.96409999999999996</v>
          </cell>
        </row>
        <row r="11">
          <cell r="B11">
            <v>-0.53939999999999999</v>
          </cell>
        </row>
        <row r="12">
          <cell r="B12">
            <v>5.16E-2</v>
          </cell>
        </row>
        <row r="13">
          <cell r="B13">
            <v>-4.8600000000000004E-2</v>
          </cell>
        </row>
        <row r="14">
          <cell r="B14">
            <v>-0.32880000000000004</v>
          </cell>
        </row>
        <row r="15">
          <cell r="B15">
            <v>-6.7500000000000004E-2</v>
          </cell>
        </row>
        <row r="16">
          <cell r="B16">
            <v>0.63009999999999999</v>
          </cell>
        </row>
        <row r="17">
          <cell r="B17">
            <v>1.4302000000000001</v>
          </cell>
        </row>
        <row r="18">
          <cell r="B18">
            <v>0.71150000000000002</v>
          </cell>
        </row>
        <row r="19">
          <cell r="B19">
            <v>0.94409999999999994</v>
          </cell>
        </row>
        <row r="20">
          <cell r="B20">
            <v>-0.13730000000000001</v>
          </cell>
        </row>
        <row r="21">
          <cell r="B21">
            <v>-1.7399999999999999E-2</v>
          </cell>
        </row>
        <row r="22">
          <cell r="B22">
            <v>-1E-4</v>
          </cell>
        </row>
        <row r="23">
          <cell r="B23">
            <v>0.27600000000000002</v>
          </cell>
        </row>
        <row r="24">
          <cell r="B24">
            <v>0.52810000000000001</v>
          </cell>
        </row>
        <row r="25">
          <cell r="B25">
            <v>3.8699999999999998E-2</v>
          </cell>
        </row>
        <row r="26">
          <cell r="B26">
            <v>1.0200000000000001E-2</v>
          </cell>
        </row>
        <row r="27">
          <cell r="B27">
            <v>-5.9699999999999996E-2</v>
          </cell>
        </row>
        <row r="28">
          <cell r="B28">
            <v>0.64969999999999994</v>
          </cell>
        </row>
        <row r="29">
          <cell r="B29">
            <v>0.26719999999999999</v>
          </cell>
        </row>
        <row r="30">
          <cell r="B30">
            <v>-8.8999999999999999E-3</v>
          </cell>
        </row>
        <row r="31">
          <cell r="B31">
            <v>-0.15190000000000001</v>
          </cell>
        </row>
        <row r="32">
          <cell r="B32">
            <v>0.68799999999999994</v>
          </cell>
        </row>
        <row r="33">
          <cell r="B33">
            <v>0.127</v>
          </cell>
        </row>
        <row r="34">
          <cell r="B34">
            <v>-3.5699999999999996E-2</v>
          </cell>
        </row>
        <row r="35">
          <cell r="B35">
            <v>0.29449999999999998</v>
          </cell>
        </row>
        <row r="36">
          <cell r="B36">
            <v>-9.7799999999999998E-2</v>
          </cell>
        </row>
        <row r="37">
          <cell r="B37">
            <v>0.19649999999999998</v>
          </cell>
        </row>
        <row r="38">
          <cell r="B38">
            <v>0.23250000000000001</v>
          </cell>
        </row>
        <row r="39">
          <cell r="B39">
            <v>0.45240000000000002</v>
          </cell>
        </row>
        <row r="40">
          <cell r="B40">
            <v>-9.4700000000000006E-2</v>
          </cell>
        </row>
        <row r="41">
          <cell r="B41">
            <v>1.1587000000000001</v>
          </cell>
        </row>
        <row r="42">
          <cell r="B42">
            <v>0.6069</v>
          </cell>
        </row>
        <row r="43">
          <cell r="B43">
            <v>-0.32950000000000002</v>
          </cell>
        </row>
        <row r="44">
          <cell r="B44">
            <v>-0.18780000000000002</v>
          </cell>
        </row>
        <row r="45">
          <cell r="B45">
            <v>0.15960000000000002</v>
          </cell>
        </row>
        <row r="46">
          <cell r="B46">
            <v>1.6000000000000001E-3</v>
          </cell>
        </row>
        <row r="47">
          <cell r="B47">
            <v>-0.38799999999999996</v>
          </cell>
        </row>
        <row r="48">
          <cell r="B48">
            <v>-0.26899999999999996</v>
          </cell>
        </row>
        <row r="49">
          <cell r="B49">
            <v>0.5968</v>
          </cell>
        </row>
        <row r="50">
          <cell r="B50">
            <v>0.48619999999999997</v>
          </cell>
        </row>
        <row r="51">
          <cell r="B51">
            <v>0.3029</v>
          </cell>
        </row>
        <row r="52">
          <cell r="B52">
            <v>0.28889999999999999</v>
          </cell>
        </row>
        <row r="53">
          <cell r="B53">
            <v>0.41689999999999999</v>
          </cell>
        </row>
        <row r="54">
          <cell r="B54">
            <v>0.41920000000000002</v>
          </cell>
        </row>
        <row r="55">
          <cell r="B55">
            <v>-4.2900000000000001E-2</v>
          </cell>
        </row>
        <row r="56">
          <cell r="B56">
            <v>0.26850000000000002</v>
          </cell>
        </row>
        <row r="57">
          <cell r="B57">
            <v>0.34860000000000002</v>
          </cell>
        </row>
        <row r="58">
          <cell r="B58">
            <v>-0.14499999999999999</v>
          </cell>
        </row>
        <row r="59">
          <cell r="B59">
            <v>0.24510000000000001</v>
          </cell>
        </row>
        <row r="60">
          <cell r="B60">
            <v>2.0899999999999998E-2</v>
          </cell>
        </row>
        <row r="61">
          <cell r="B61">
            <v>-0.14000000000000001</v>
          </cell>
        </row>
        <row r="62">
          <cell r="B62">
            <v>0.17149999999999999</v>
          </cell>
        </row>
        <row r="63">
          <cell r="B63">
            <v>6.9599999999999995E-2</v>
          </cell>
        </row>
        <row r="64">
          <cell r="B64">
            <v>-0.2777</v>
          </cell>
        </row>
        <row r="65">
          <cell r="B65">
            <v>0.4607</v>
          </cell>
        </row>
        <row r="66">
          <cell r="B66">
            <v>0.25340000000000001</v>
          </cell>
        </row>
        <row r="67">
          <cell r="B67">
            <v>0.25559999999999999</v>
          </cell>
        </row>
        <row r="68">
          <cell r="B68">
            <v>-4.7599999999999996E-2</v>
          </cell>
        </row>
        <row r="69">
          <cell r="B69">
            <v>0.32119999999999999</v>
          </cell>
        </row>
        <row r="70">
          <cell r="B70">
            <v>0.1479</v>
          </cell>
        </row>
        <row r="71">
          <cell r="B71">
            <v>0.22059999999999999</v>
          </cell>
        </row>
        <row r="72">
          <cell r="B72">
            <v>-0.13470000000000001</v>
          </cell>
        </row>
        <row r="73">
          <cell r="B73">
            <v>0.37709999999999999</v>
          </cell>
        </row>
        <row r="74">
          <cell r="B74">
            <v>-9.1300000000000006E-2</v>
          </cell>
        </row>
        <row r="75">
          <cell r="B75">
            <v>0.32140000000000002</v>
          </cell>
        </row>
        <row r="76">
          <cell r="B76">
            <v>-3.61E-2</v>
          </cell>
        </row>
        <row r="77">
          <cell r="B77">
            <v>0.9123</v>
          </cell>
        </row>
        <row r="78">
          <cell r="B78">
            <v>0.17300000000000001</v>
          </cell>
        </row>
        <row r="79">
          <cell r="B79">
            <v>3.78E-2</v>
          </cell>
        </row>
        <row r="80">
          <cell r="B80">
            <v>0.184</v>
          </cell>
        </row>
        <row r="81">
          <cell r="B81">
            <v>-9.11E-2</v>
          </cell>
        </row>
        <row r="82">
          <cell r="B82">
            <v>-0.44679999999999997</v>
          </cell>
        </row>
        <row r="83">
          <cell r="B83">
            <v>0.46939999999999998</v>
          </cell>
        </row>
        <row r="84">
          <cell r="B84">
            <v>0.27729999999999999</v>
          </cell>
        </row>
        <row r="85">
          <cell r="B85">
            <v>-0.1404</v>
          </cell>
        </row>
        <row r="86">
          <cell r="B86">
            <v>0.18960000000000002</v>
          </cell>
        </row>
        <row r="87">
          <cell r="B87">
            <v>0.503</v>
          </cell>
        </row>
        <row r="88">
          <cell r="B88">
            <v>1.5300000000000001E-2</v>
          </cell>
        </row>
        <row r="89">
          <cell r="B89">
            <v>-9.1199999999999989E-2</v>
          </cell>
        </row>
        <row r="90">
          <cell r="B90">
            <v>0.17019999999999999</v>
          </cell>
        </row>
        <row r="91">
          <cell r="B91">
            <v>0.15130000000000002</v>
          </cell>
        </row>
        <row r="92">
          <cell r="B92">
            <v>-0.16210000000000002</v>
          </cell>
        </row>
        <row r="93">
          <cell r="B93">
            <v>0.1192</v>
          </cell>
        </row>
        <row r="94">
          <cell r="B94">
            <v>0.34159999999999996</v>
          </cell>
        </row>
        <row r="95">
          <cell r="B95">
            <v>0.22409999999999999</v>
          </cell>
        </row>
        <row r="96">
          <cell r="B96">
            <v>-0.22899999999999998</v>
          </cell>
        </row>
        <row r="97">
          <cell r="B97">
            <v>5.1900000000000002E-2</v>
          </cell>
        </row>
        <row r="98">
          <cell r="B98">
            <v>8.6999999999999994E-2</v>
          </cell>
        </row>
        <row r="99">
          <cell r="B99">
            <v>0.1653</v>
          </cell>
        </row>
      </sheetData>
      <sheetData sheetId="5" refreshError="1"/>
      <sheetData sheetId="6" refreshError="1"/>
      <sheetData sheetId="7">
        <row r="12">
          <cell r="C12">
            <v>2.7833333333333334E-3</v>
          </cell>
        </row>
        <row r="13">
          <cell r="C13">
            <v>1.6750000000000001E-3</v>
          </cell>
        </row>
        <row r="14">
          <cell r="C14">
            <v>1.725E-3</v>
          </cell>
        </row>
        <row r="15">
          <cell r="C15">
            <v>2.7583333333333331E-3</v>
          </cell>
        </row>
        <row r="16">
          <cell r="C16">
            <v>6.4999999999999997E-4</v>
          </cell>
        </row>
        <row r="17">
          <cell r="C17">
            <v>4.5833333333333332E-4</v>
          </cell>
        </row>
        <row r="18">
          <cell r="C18">
            <v>3.5833333333333333E-4</v>
          </cell>
        </row>
        <row r="19">
          <cell r="C19">
            <v>1.2916666666666669E-3</v>
          </cell>
        </row>
        <row r="20">
          <cell r="C20">
            <v>3.4250000000000001E-3</v>
          </cell>
        </row>
        <row r="21">
          <cell r="C21">
            <v>3.8E-3</v>
          </cell>
        </row>
        <row r="22">
          <cell r="C22">
            <v>3.8E-3</v>
          </cell>
        </row>
        <row r="23">
          <cell r="C23">
            <v>3.8E-3</v>
          </cell>
        </row>
        <row r="24">
          <cell r="C24">
            <v>3.8E-3</v>
          </cell>
        </row>
        <row r="25">
          <cell r="C25">
            <v>6.0083333333333334E-3</v>
          </cell>
        </row>
        <row r="26">
          <cell r="C26">
            <v>1.0449999999999999E-2</v>
          </cell>
        </row>
        <row r="27">
          <cell r="C27">
            <v>1.115E-2</v>
          </cell>
        </row>
        <row r="28">
          <cell r="C28">
            <v>1.2033333333333333E-2</v>
          </cell>
        </row>
        <row r="29">
          <cell r="C29">
            <v>1.5175000000000001E-2</v>
          </cell>
        </row>
        <row r="30">
          <cell r="C30">
            <v>1.7225000000000001E-2</v>
          </cell>
        </row>
        <row r="31">
          <cell r="C31">
            <v>1.8908333333333333E-2</v>
          </cell>
        </row>
        <row r="32">
          <cell r="C32">
            <v>9.3752000000000002E-3</v>
          </cell>
        </row>
        <row r="33">
          <cell r="C33">
            <v>1.7243426294820716E-2</v>
          </cell>
        </row>
        <row r="34">
          <cell r="C34">
            <v>2.6213888888888887E-2</v>
          </cell>
        </row>
        <row r="35">
          <cell r="C35">
            <v>3.2245669291338583E-2</v>
          </cell>
        </row>
        <row r="36">
          <cell r="C36">
            <v>1.7665461847389558E-2</v>
          </cell>
        </row>
        <row r="37">
          <cell r="C37">
            <v>3.3860159362549803E-2</v>
          </cell>
        </row>
        <row r="38">
          <cell r="C38">
            <v>2.8729718875502006E-2</v>
          </cell>
        </row>
        <row r="39">
          <cell r="C39">
            <v>2.3524899598393576E-2</v>
          </cell>
        </row>
        <row r="40">
          <cell r="C40">
            <v>2.7723694779116466E-2</v>
          </cell>
        </row>
        <row r="41">
          <cell r="C41">
            <v>3.1560240963855422E-2</v>
          </cell>
        </row>
        <row r="42">
          <cell r="C42">
            <v>3.5457370517928286E-2</v>
          </cell>
        </row>
        <row r="43">
          <cell r="C43">
            <v>3.9490763052208833E-2</v>
          </cell>
        </row>
        <row r="44">
          <cell r="C44">
            <v>4.8557199999999995E-2</v>
          </cell>
        </row>
        <row r="45">
          <cell r="C45">
            <v>4.2934538152610439E-2</v>
          </cell>
        </row>
        <row r="46">
          <cell r="C46">
            <v>5.3376E-2</v>
          </cell>
        </row>
        <row r="47">
          <cell r="C47">
            <v>6.668467741935484E-2</v>
          </cell>
        </row>
        <row r="48">
          <cell r="C48">
            <v>6.3909999999999995E-2</v>
          </cell>
        </row>
        <row r="49">
          <cell r="C49">
            <v>4.3342570281124503E-2</v>
          </cell>
        </row>
        <row r="50">
          <cell r="C50">
            <v>4.0618399999999999E-2</v>
          </cell>
        </row>
        <row r="51">
          <cell r="C51">
            <v>7.0354435483870964E-2</v>
          </cell>
        </row>
        <row r="52">
          <cell r="C52">
            <v>7.8457831325301208E-2</v>
          </cell>
        </row>
        <row r="53">
          <cell r="C53">
            <v>5.7863855421686747E-2</v>
          </cell>
        </row>
        <row r="54">
          <cell r="C54">
            <v>4.9766000000000005E-2</v>
          </cell>
        </row>
        <row r="55">
          <cell r="C55">
            <v>5.2609638554216867E-2</v>
          </cell>
        </row>
        <row r="56">
          <cell r="C56">
            <v>7.1783064516129036E-2</v>
          </cell>
        </row>
        <row r="57">
          <cell r="C57">
            <v>0.10054274193548388</v>
          </cell>
        </row>
        <row r="58">
          <cell r="C58">
            <v>0.1139188</v>
          </cell>
        </row>
        <row r="59">
          <cell r="C59">
            <v>0.14036184738955823</v>
          </cell>
        </row>
        <row r="60">
          <cell r="C60">
            <v>0.1109</v>
          </cell>
        </row>
        <row r="61">
          <cell r="C61">
            <v>8.9499999999999996E-2</v>
          </cell>
        </row>
        <row r="62">
          <cell r="C62">
            <v>9.9199999999999997E-2</v>
          </cell>
        </row>
        <row r="63">
          <cell r="C63">
            <v>7.7199999999999991E-2</v>
          </cell>
        </row>
        <row r="64">
          <cell r="C64">
            <v>6.1500000000000006E-2</v>
          </cell>
        </row>
        <row r="65">
          <cell r="C65">
            <v>5.96E-2</v>
          </cell>
        </row>
        <row r="66">
          <cell r="C66">
            <v>6.8900000000000003E-2</v>
          </cell>
        </row>
        <row r="67">
          <cell r="C67">
            <v>8.3900000000000002E-2</v>
          </cell>
        </row>
        <row r="68">
          <cell r="C68">
            <v>7.7499999999999999E-2</v>
          </cell>
        </row>
        <row r="69">
          <cell r="C69">
            <v>5.5399999999999998E-2</v>
          </cell>
        </row>
        <row r="70">
          <cell r="C70">
            <v>3.5099999999999999E-2</v>
          </cell>
        </row>
        <row r="71">
          <cell r="C71">
            <v>3.0699999999999998E-2</v>
          </cell>
        </row>
        <row r="72">
          <cell r="C72">
            <v>4.3700000000000003E-2</v>
          </cell>
        </row>
        <row r="73">
          <cell r="C73">
            <v>5.6600000000000004E-2</v>
          </cell>
        </row>
        <row r="74">
          <cell r="C74">
            <v>5.1500000000000004E-2</v>
          </cell>
        </row>
        <row r="75">
          <cell r="C75">
            <v>5.2000000000000005E-2</v>
          </cell>
        </row>
        <row r="76">
          <cell r="C76">
            <v>4.9100000000000005E-2</v>
          </cell>
        </row>
        <row r="77">
          <cell r="C77">
            <v>4.7800000000000002E-2</v>
          </cell>
        </row>
        <row r="78">
          <cell r="C78">
            <v>0.06</v>
          </cell>
        </row>
        <row r="79">
          <cell r="C79">
            <v>3.4799999999999998E-2</v>
          </cell>
        </row>
        <row r="80">
          <cell r="C80">
            <v>1.6399999999999998E-2</v>
          </cell>
        </row>
        <row r="81">
          <cell r="C81">
            <v>1.03E-2</v>
          </cell>
        </row>
        <row r="82">
          <cell r="C82">
            <v>1.3999999999999999E-2</v>
          </cell>
        </row>
        <row r="83">
          <cell r="C83">
            <v>3.2199999999999999E-2</v>
          </cell>
        </row>
        <row r="84">
          <cell r="C84">
            <v>4.8499999999999995E-2</v>
          </cell>
        </row>
        <row r="85">
          <cell r="C85">
            <v>4.4800000000000006E-2</v>
          </cell>
        </row>
        <row r="86">
          <cell r="C86">
            <v>1.3999999999999999E-2</v>
          </cell>
        </row>
        <row r="87">
          <cell r="C87">
            <v>1.5E-3</v>
          </cell>
        </row>
        <row r="88">
          <cell r="C88">
            <v>1.4000000000000002E-3</v>
          </cell>
        </row>
        <row r="89">
          <cell r="C89">
            <v>5.0000000000000001E-4</v>
          </cell>
        </row>
        <row r="90">
          <cell r="C90">
            <v>8.9999999999999998E-4</v>
          </cell>
        </row>
        <row r="91">
          <cell r="C91">
            <v>5.9999999999999995E-4</v>
          </cell>
        </row>
        <row r="92">
          <cell r="C92">
            <v>2.9999999999999997E-4</v>
          </cell>
        </row>
        <row r="93">
          <cell r="C93">
            <v>5.0000000000000001E-4</v>
          </cell>
        </row>
        <row r="94">
          <cell r="C94">
            <v>3.2000000000000002E-3</v>
          </cell>
        </row>
        <row r="95">
          <cell r="C95">
            <v>9.4999999999999998E-3</v>
          </cell>
        </row>
        <row r="96">
          <cell r="C96">
            <v>1.9699999999999999E-2</v>
          </cell>
        </row>
        <row r="97">
          <cell r="C97">
            <v>2.1099999999999997E-2</v>
          </cell>
        </row>
        <row r="98">
          <cell r="C98">
            <v>3.5999999999999999E-3</v>
          </cell>
        </row>
        <row r="99">
          <cell r="C99">
            <v>4.0000000000000002E-4</v>
          </cell>
        </row>
        <row r="100">
          <cell r="C100">
            <v>2.0899999999999998E-2</v>
          </cell>
        </row>
        <row r="101">
          <cell r="C101">
            <v>5.28E-2</v>
          </cell>
        </row>
        <row r="102">
          <cell r="C102">
            <v>5.1799999999999999E-2</v>
          </cell>
        </row>
        <row r="103">
          <cell r="C103">
            <v>4.2099999999999999E-2</v>
          </cell>
        </row>
      </sheetData>
      <sheetData sheetId="8">
        <row r="26">
          <cell r="C26">
            <v>-1.15607E-2</v>
          </cell>
        </row>
        <row r="27">
          <cell r="C27">
            <v>5.8479999999999999E-3</v>
          </cell>
        </row>
        <row r="28">
          <cell r="C28">
            <v>-6.3953499999999996E-2</v>
          </cell>
        </row>
        <row r="29">
          <cell r="C29">
            <v>-9.3167700000000006E-2</v>
          </cell>
        </row>
        <row r="30">
          <cell r="C30">
            <v>-0.1027397</v>
          </cell>
        </row>
        <row r="31">
          <cell r="C31">
            <v>7.6336000000000008E-3</v>
          </cell>
        </row>
        <row r="32">
          <cell r="C32">
            <v>1.51515E-2</v>
          </cell>
        </row>
        <row r="33">
          <cell r="C33">
            <v>2.9850699999999997E-2</v>
          </cell>
        </row>
        <row r="34">
          <cell r="C34">
            <v>1.4492799999999998E-2</v>
          </cell>
        </row>
        <row r="35">
          <cell r="C35">
            <v>2.8571399999999997E-2</v>
          </cell>
        </row>
        <row r="36">
          <cell r="C36">
            <v>-2.7777799999999998E-2</v>
          </cell>
        </row>
        <row r="37">
          <cell r="C37">
            <v>0</v>
          </cell>
        </row>
        <row r="38">
          <cell r="C38">
            <v>7.1428999999999998E-3</v>
          </cell>
        </row>
        <row r="39">
          <cell r="C39">
            <v>9.9290800000000012E-2</v>
          </cell>
        </row>
        <row r="40">
          <cell r="C40">
            <v>9.0322600000000003E-2</v>
          </cell>
        </row>
        <row r="41">
          <cell r="C41">
            <v>2.9585799999999999E-2</v>
          </cell>
        </row>
        <row r="42">
          <cell r="C42">
            <v>2.2988499999999999E-2</v>
          </cell>
        </row>
        <row r="43">
          <cell r="C43">
            <v>2.24719E-2</v>
          </cell>
        </row>
        <row r="44">
          <cell r="C44">
            <v>0.1813187</v>
          </cell>
        </row>
        <row r="45">
          <cell r="C45">
            <v>8.8372100000000009E-2</v>
          </cell>
        </row>
        <row r="46">
          <cell r="C46">
            <v>2.99145E-2</v>
          </cell>
        </row>
        <row r="47">
          <cell r="C47">
            <v>-2.0746899999999999E-2</v>
          </cell>
        </row>
        <row r="48">
          <cell r="C48">
            <v>5.9322E-2</v>
          </cell>
        </row>
        <row r="49">
          <cell r="C49">
            <v>0.06</v>
          </cell>
        </row>
        <row r="50">
          <cell r="C50">
            <v>7.5471999999999996E-3</v>
          </cell>
        </row>
        <row r="51">
          <cell r="C51">
            <v>7.4905999999999992E-3</v>
          </cell>
        </row>
        <row r="52">
          <cell r="C52">
            <v>-7.4348999999999995E-3</v>
          </cell>
        </row>
        <row r="53">
          <cell r="C53">
            <v>3.7452999999999996E-3</v>
          </cell>
        </row>
        <row r="54">
          <cell r="C54">
            <v>2.9850699999999997E-2</v>
          </cell>
        </row>
        <row r="55">
          <cell r="C55">
            <v>2.8985500000000001E-2</v>
          </cell>
        </row>
        <row r="56">
          <cell r="C56">
            <v>1.7605599999999999E-2</v>
          </cell>
        </row>
        <row r="57">
          <cell r="C57">
            <v>1.7301E-2</v>
          </cell>
        </row>
        <row r="58">
          <cell r="C58">
            <v>1.36054E-2</v>
          </cell>
        </row>
        <row r="59">
          <cell r="C59">
            <v>6.7113999999999993E-3</v>
          </cell>
        </row>
        <row r="60">
          <cell r="C60">
            <v>1.3333299999999999E-2</v>
          </cell>
        </row>
        <row r="61">
          <cell r="C61">
            <v>1.6447400000000001E-2</v>
          </cell>
        </row>
        <row r="62">
          <cell r="C62">
            <v>9.7087000000000007E-3</v>
          </cell>
        </row>
        <row r="63">
          <cell r="C63">
            <v>1.9230799999999999E-2</v>
          </cell>
        </row>
        <row r="64">
          <cell r="C64">
            <v>3.4591200000000003E-2</v>
          </cell>
        </row>
        <row r="65">
          <cell r="C65">
            <v>3.0395099999999998E-2</v>
          </cell>
        </row>
        <row r="66">
          <cell r="C66">
            <v>4.7197599999999999E-2</v>
          </cell>
        </row>
        <row r="67">
          <cell r="C67">
            <v>6.19718E-2</v>
          </cell>
        </row>
        <row r="68">
          <cell r="C68">
            <v>5.57029E-2</v>
          </cell>
        </row>
        <row r="69">
          <cell r="C69">
            <v>3.2663299999999999E-2</v>
          </cell>
        </row>
        <row r="70">
          <cell r="C70">
            <v>3.4063299999999998E-2</v>
          </cell>
        </row>
        <row r="71">
          <cell r="C71">
            <v>8.7058800000000006E-2</v>
          </cell>
        </row>
        <row r="72">
          <cell r="C72">
            <v>0.1233766</v>
          </cell>
        </row>
        <row r="73">
          <cell r="C73">
            <v>6.9364200000000001E-2</v>
          </cell>
        </row>
        <row r="74">
          <cell r="C74">
            <v>4.86486E-2</v>
          </cell>
        </row>
        <row r="75">
          <cell r="C75">
            <v>6.7010300000000009E-2</v>
          </cell>
        </row>
        <row r="76">
          <cell r="C76">
            <v>9.0177099999999996E-2</v>
          </cell>
        </row>
        <row r="77">
          <cell r="C77">
            <v>0.13293939999999999</v>
          </cell>
        </row>
        <row r="78">
          <cell r="C78">
            <v>0.125163</v>
          </cell>
        </row>
        <row r="79">
          <cell r="C79">
            <v>8.92236E-2</v>
          </cell>
        </row>
        <row r="80">
          <cell r="C80">
            <v>3.8297900000000003E-2</v>
          </cell>
        </row>
        <row r="81">
          <cell r="C81">
            <v>3.79098E-2</v>
          </cell>
        </row>
        <row r="82">
          <cell r="C82">
            <v>3.94867E-2</v>
          </cell>
        </row>
        <row r="83">
          <cell r="C83">
            <v>3.7986699999999998E-2</v>
          </cell>
        </row>
        <row r="84">
          <cell r="C84">
            <v>1.0979000000000001E-2</v>
          </cell>
        </row>
        <row r="85">
          <cell r="C85">
            <v>4.4343899999999999E-2</v>
          </cell>
        </row>
        <row r="86">
          <cell r="C86">
            <v>4.41941E-2</v>
          </cell>
        </row>
        <row r="87">
          <cell r="C87">
            <v>4.6473000000000007E-2</v>
          </cell>
        </row>
        <row r="88">
          <cell r="C88">
            <v>6.1062599999999995E-2</v>
          </cell>
        </row>
        <row r="89">
          <cell r="C89">
            <v>3.0642800000000001E-2</v>
          </cell>
        </row>
        <row r="90">
          <cell r="C90">
            <v>2.9006500000000001E-2</v>
          </cell>
        </row>
        <row r="91">
          <cell r="C91">
            <v>2.7484099999999997E-2</v>
          </cell>
        </row>
        <row r="92">
          <cell r="C92">
            <v>2.6749000000000002E-2</v>
          </cell>
        </row>
        <row r="93">
          <cell r="C93">
            <v>2.53841E-2</v>
          </cell>
        </row>
        <row r="94">
          <cell r="C94">
            <v>3.3224799999999999E-2</v>
          </cell>
        </row>
        <row r="95">
          <cell r="C95">
            <v>1.7023999999999997E-2</v>
          </cell>
        </row>
        <row r="96">
          <cell r="C96">
            <v>1.6119000000000001E-2</v>
          </cell>
        </row>
        <row r="97">
          <cell r="C97">
            <v>2.6845599999999997E-2</v>
          </cell>
        </row>
        <row r="98">
          <cell r="C98">
            <v>3.3868099999999998E-2</v>
          </cell>
        </row>
        <row r="99">
          <cell r="C99">
            <v>1.55172E-2</v>
          </cell>
        </row>
        <row r="100">
          <cell r="C100">
            <v>2.3769100000000001E-2</v>
          </cell>
        </row>
        <row r="101">
          <cell r="C101">
            <v>1.87949E-2</v>
          </cell>
        </row>
        <row r="102">
          <cell r="C102">
            <v>3.2555599999999997E-2</v>
          </cell>
        </row>
        <row r="103">
          <cell r="C103">
            <v>3.4156600000000002E-2</v>
          </cell>
        </row>
        <row r="104">
          <cell r="C104">
            <v>2.5406499999999999E-2</v>
          </cell>
        </row>
        <row r="105">
          <cell r="C105">
            <v>4.08127E-2</v>
          </cell>
        </row>
        <row r="106">
          <cell r="C106">
            <v>9.1410000000000005E-4</v>
          </cell>
        </row>
        <row r="107">
          <cell r="C107">
            <v>2.7213299999999999E-2</v>
          </cell>
        </row>
        <row r="108">
          <cell r="C108">
            <v>1.4957199999999999E-2</v>
          </cell>
        </row>
        <row r="109">
          <cell r="C109">
            <v>2.96242E-2</v>
          </cell>
        </row>
        <row r="110">
          <cell r="C110">
            <v>1.7410200000000001E-2</v>
          </cell>
        </row>
        <row r="111">
          <cell r="C111">
            <v>1.50174E-2</v>
          </cell>
        </row>
        <row r="112">
          <cell r="C112">
            <v>7.5649000000000003E-3</v>
          </cell>
        </row>
        <row r="113">
          <cell r="C113">
            <v>7.2951999999999991E-3</v>
          </cell>
        </row>
        <row r="114">
          <cell r="C114">
            <v>2.0746199999999999E-2</v>
          </cell>
        </row>
        <row r="115">
          <cell r="C115">
            <v>2.10908E-2</v>
          </cell>
        </row>
        <row r="116">
          <cell r="C116">
            <v>1.91016E-2</v>
          </cell>
        </row>
        <row r="117">
          <cell r="C117">
            <v>2.2851300000000001E-2</v>
          </cell>
        </row>
        <row r="118">
          <cell r="C118">
            <v>1.36201E-2</v>
          </cell>
        </row>
        <row r="119">
          <cell r="C119">
            <v>7.036400000000001E-2</v>
          </cell>
        </row>
        <row r="120">
          <cell r="C120">
            <v>6.454399999999999E-2</v>
          </cell>
        </row>
        <row r="121">
          <cell r="C121">
            <v>3.3521200000000001E-2</v>
          </cell>
        </row>
        <row r="122">
          <cell r="C122">
            <v>2.8880599999999999E-2</v>
          </cell>
        </row>
        <row r="123">
          <cell r="C123">
            <v>2.7350799999999998E-2</v>
          </cell>
        </row>
      </sheetData>
      <sheetData sheetId="9" refreshError="1"/>
      <sheetData sheetId="10" refreshError="1"/>
      <sheetData sheetId="11" refreshError="1"/>
      <sheetData sheetId="12">
        <row r="3">
          <cell r="B3">
            <v>5.8379122759411635</v>
          </cell>
        </row>
        <row r="4">
          <cell r="B4">
            <v>5.9249586816460518</v>
          </cell>
        </row>
        <row r="5">
          <cell r="B5">
            <v>5.8030937136592087</v>
          </cell>
        </row>
        <row r="6">
          <cell r="B6">
            <v>5.5535606839718632</v>
          </cell>
        </row>
        <row r="7">
          <cell r="B7">
            <v>5.1009193743064447</v>
          </cell>
        </row>
        <row r="8">
          <cell r="B8">
            <v>4.5670347526497972</v>
          </cell>
        </row>
        <row r="9">
          <cell r="B9">
            <v>4.3929419412400215</v>
          </cell>
        </row>
        <row r="10">
          <cell r="B10">
            <v>4.5206100029405238</v>
          </cell>
        </row>
        <row r="11">
          <cell r="B11">
            <v>4.9620852592390055</v>
          </cell>
        </row>
        <row r="12">
          <cell r="B12">
            <v>5.1217950075748586</v>
          </cell>
        </row>
        <row r="13">
          <cell r="B13">
            <v>5.253086651224617</v>
          </cell>
        </row>
        <row r="14">
          <cell r="B14">
            <v>5.2071914121565737</v>
          </cell>
        </row>
        <row r="15">
          <cell r="B15">
            <v>5.1394142324802372</v>
          </cell>
        </row>
        <row r="16">
          <cell r="B16">
            <v>5.3093544985030841</v>
          </cell>
        </row>
        <row r="17">
          <cell r="B17">
            <v>4.8641848885954095</v>
          </cell>
        </row>
        <row r="18">
          <cell r="B18">
            <v>5.0263101758295807</v>
          </cell>
        </row>
        <row r="19">
          <cell r="B19">
            <v>5.6016347051995687</v>
          </cell>
        </row>
        <row r="20">
          <cell r="B20">
            <v>6.5306225473880071</v>
          </cell>
        </row>
        <row r="21">
          <cell r="B21">
            <v>7.2997585507171605</v>
          </cell>
        </row>
        <row r="22">
          <cell r="B22">
            <v>9.0591234118332888</v>
          </cell>
        </row>
        <row r="23">
          <cell r="B23">
            <v>10.985444637980221</v>
          </cell>
        </row>
        <row r="24">
          <cell r="B24">
            <v>11.211581706019819</v>
          </cell>
        </row>
        <row r="25">
          <cell r="B25">
            <v>11.221599087921668</v>
          </cell>
        </row>
        <row r="26">
          <cell r="B26">
            <v>11.630109342784282</v>
          </cell>
        </row>
        <row r="27">
          <cell r="B27">
            <v>12.333457433765126</v>
          </cell>
        </row>
        <row r="28">
          <cell r="B28">
            <v>12.876953685886688</v>
          </cell>
        </row>
        <row r="29">
          <cell r="B29">
            <v>14.359936883629192</v>
          </cell>
        </row>
        <row r="30">
          <cell r="B30">
            <v>14.492439184746878</v>
          </cell>
        </row>
        <row r="31">
          <cell r="B31">
            <v>14.492439184746878</v>
          </cell>
        </row>
        <row r="32">
          <cell r="B32">
            <v>14.624941485864563</v>
          </cell>
        </row>
        <row r="33">
          <cell r="B33">
            <v>15.022448389217621</v>
          </cell>
        </row>
        <row r="34">
          <cell r="B34">
            <v>15.121825115055884</v>
          </cell>
        </row>
        <row r="35">
          <cell r="B35">
            <v>15.138387902695596</v>
          </cell>
        </row>
        <row r="36">
          <cell r="B36">
            <v>15.25432741617357</v>
          </cell>
        </row>
        <row r="37">
          <cell r="B37">
            <v>15.403392504930968</v>
          </cell>
        </row>
        <row r="38">
          <cell r="B38">
            <v>15.453080867850097</v>
          </cell>
        </row>
        <row r="39">
          <cell r="B39">
            <v>15.784336620644313</v>
          </cell>
        </row>
        <row r="40">
          <cell r="B40">
            <v>15.983090072320842</v>
          </cell>
        </row>
        <row r="41">
          <cell r="B41">
            <v>16.248094674556214</v>
          </cell>
        </row>
        <row r="42">
          <cell r="B42">
            <v>16.446848126232741</v>
          </cell>
        </row>
        <row r="43">
          <cell r="B43">
            <v>16.827792241946089</v>
          </cell>
        </row>
        <row r="44">
          <cell r="B44">
            <v>17.523429322813939</v>
          </cell>
        </row>
        <row r="45">
          <cell r="B45">
            <v>18.749075608152534</v>
          </cell>
        </row>
        <row r="46">
          <cell r="B46">
            <v>20.289414858645628</v>
          </cell>
        </row>
        <row r="47">
          <cell r="B47">
            <v>21.150679815910586</v>
          </cell>
        </row>
        <row r="48">
          <cell r="B48">
            <v>21.780065746219595</v>
          </cell>
        </row>
        <row r="49">
          <cell r="B49">
            <v>22.525391190006577</v>
          </cell>
        </row>
        <row r="50">
          <cell r="B50">
            <v>24.794493096646942</v>
          </cell>
        </row>
        <row r="51">
          <cell r="B51">
            <v>26.474</v>
          </cell>
        </row>
        <row r="52">
          <cell r="B52">
            <v>28.638999999999999</v>
          </cell>
        </row>
        <row r="53">
          <cell r="B53">
            <v>32.835999999999999</v>
          </cell>
        </row>
        <row r="54">
          <cell r="B54">
            <v>37.999000000000002</v>
          </cell>
        </row>
        <row r="55">
          <cell r="B55">
            <v>43.220999999999997</v>
          </cell>
        </row>
        <row r="56">
          <cell r="B56">
            <v>46.417999999999999</v>
          </cell>
        </row>
        <row r="57">
          <cell r="B57">
            <v>48.783000000000001</v>
          </cell>
        </row>
        <row r="58">
          <cell r="B58">
            <v>49.058</v>
          </cell>
        </row>
        <row r="59">
          <cell r="B59">
            <v>51.387999999999998</v>
          </cell>
        </row>
        <row r="60">
          <cell r="B60">
            <v>53.792000000000002</v>
          </cell>
        </row>
        <row r="61">
          <cell r="B61">
            <v>57.811</v>
          </cell>
        </row>
        <row r="62">
          <cell r="B62">
            <v>63.368000000000002</v>
          </cell>
        </row>
        <row r="63">
          <cell r="B63">
            <v>68.341999999999899</v>
          </cell>
        </row>
        <row r="64">
          <cell r="B64">
            <v>73.277000000000001</v>
          </cell>
        </row>
        <row r="65">
          <cell r="B65">
            <v>76.497</v>
          </cell>
        </row>
        <row r="66">
          <cell r="B66">
            <v>75.971999999999895</v>
          </cell>
        </row>
        <row r="67">
          <cell r="B67">
            <v>75.843999999999895</v>
          </cell>
        </row>
        <row r="68">
          <cell r="B68">
            <v>76.463999999999899</v>
          </cell>
        </row>
        <row r="69">
          <cell r="B69">
            <v>78.113</v>
          </cell>
        </row>
        <row r="70">
          <cell r="B70">
            <v>80.078000000000003</v>
          </cell>
        </row>
        <row r="71">
          <cell r="B71">
            <v>81.513000000000005</v>
          </cell>
        </row>
        <row r="72">
          <cell r="B72">
            <v>83.489999999999895</v>
          </cell>
        </row>
        <row r="73">
          <cell r="B73">
            <v>86.8479999999999</v>
          </cell>
        </row>
        <row r="74">
          <cell r="B74">
            <v>92.442999999999898</v>
          </cell>
        </row>
        <row r="75">
          <cell r="B75">
            <v>99.542000000000002</v>
          </cell>
        </row>
        <row r="76">
          <cell r="B76">
            <v>108.792</v>
          </cell>
        </row>
        <row r="77">
          <cell r="B77">
            <v>116.05500000000001</v>
          </cell>
        </row>
        <row r="78">
          <cell r="B78">
            <v>127.150999999999</v>
          </cell>
        </row>
        <row r="79">
          <cell r="B79">
            <v>139.628999999999</v>
          </cell>
        </row>
        <row r="80">
          <cell r="B80">
            <v>158.671999999999</v>
          </cell>
        </row>
        <row r="81">
          <cell r="B81">
            <v>180.108</v>
          </cell>
        </row>
        <row r="82">
          <cell r="B82">
            <v>183.22900000000001</v>
          </cell>
        </row>
        <row r="83">
          <cell r="B83">
            <v>173.33599999999899</v>
          </cell>
        </row>
        <row r="84">
          <cell r="B84">
            <v>152.54399999999899</v>
          </cell>
        </row>
        <row r="85">
          <cell r="B85">
            <v>146.664999999999</v>
          </cell>
        </row>
        <row r="86">
          <cell r="B86">
            <v>140.626</v>
          </cell>
        </row>
        <row r="87">
          <cell r="B87">
            <v>135.16200000000001</v>
          </cell>
        </row>
        <row r="88">
          <cell r="B88">
            <v>143.860999999999</v>
          </cell>
        </row>
        <row r="89">
          <cell r="B89">
            <v>159.28100000000001</v>
          </cell>
        </row>
        <row r="90">
          <cell r="B90">
            <v>166.45400000000001</v>
          </cell>
        </row>
        <row r="91">
          <cell r="B91">
            <v>175.100999999999</v>
          </cell>
        </row>
        <row r="92">
          <cell r="B92">
            <v>184.390999999999</v>
          </cell>
        </row>
        <row r="93">
          <cell r="B93">
            <v>195.83600000000001</v>
          </cell>
        </row>
        <row r="94">
          <cell r="B94">
            <v>204.682999999999</v>
          </cell>
        </row>
        <row r="95">
          <cell r="B95">
            <v>212.225999999999</v>
          </cell>
        </row>
        <row r="96">
          <cell r="B96">
            <v>234.35400000000001</v>
          </cell>
        </row>
        <row r="97">
          <cell r="B97">
            <v>278.56400000000002</v>
          </cell>
        </row>
        <row r="98">
          <cell r="B98">
            <v>294.30799999999903</v>
          </cell>
        </row>
        <row r="99">
          <cell r="B99">
            <v>311.01999999999902</v>
          </cell>
        </row>
        <row r="100">
          <cell r="B100">
            <v>323.34699999999998</v>
          </cell>
        </row>
        <row r="101">
          <cell r="B101">
            <v>328.44200000000001</v>
          </cell>
        </row>
      </sheetData>
      <sheetData sheetId="13">
        <row r="2">
          <cell r="B2">
            <v>20.64</v>
          </cell>
        </row>
        <row r="3">
          <cell r="B3">
            <v>20.66</v>
          </cell>
        </row>
        <row r="4">
          <cell r="B4">
            <v>20.63</v>
          </cell>
        </row>
        <row r="5">
          <cell r="B5">
            <v>20.65</v>
          </cell>
        </row>
        <row r="6">
          <cell r="B6">
            <v>17.059999999999999</v>
          </cell>
        </row>
        <row r="7">
          <cell r="B7">
            <v>20.69</v>
          </cell>
        </row>
        <row r="8">
          <cell r="B8">
            <v>26.33</v>
          </cell>
        </row>
        <row r="9">
          <cell r="B9">
            <v>34.69</v>
          </cell>
        </row>
        <row r="10">
          <cell r="B10">
            <v>34.840000000000003</v>
          </cell>
        </row>
        <row r="11">
          <cell r="B11">
            <v>34.869999999999997</v>
          </cell>
        </row>
        <row r="12">
          <cell r="B12">
            <v>34.79</v>
          </cell>
        </row>
        <row r="13">
          <cell r="B13">
            <v>34.85</v>
          </cell>
        </row>
        <row r="14">
          <cell r="B14">
            <v>34.42</v>
          </cell>
        </row>
        <row r="15">
          <cell r="B15">
            <v>33.85</v>
          </cell>
        </row>
        <row r="16">
          <cell r="B16">
            <v>33.85</v>
          </cell>
        </row>
        <row r="17">
          <cell r="B17">
            <v>33.85</v>
          </cell>
        </row>
        <row r="18">
          <cell r="B18">
            <v>33.85</v>
          </cell>
        </row>
        <row r="19">
          <cell r="B19">
            <v>33.85</v>
          </cell>
        </row>
        <row r="20">
          <cell r="B20">
            <v>34.71</v>
          </cell>
        </row>
        <row r="21">
          <cell r="B21">
            <v>34.71</v>
          </cell>
        </row>
        <row r="22">
          <cell r="B22">
            <v>34.71</v>
          </cell>
        </row>
        <row r="23">
          <cell r="B23">
            <v>34.71</v>
          </cell>
        </row>
        <row r="24">
          <cell r="B24">
            <v>31.69</v>
          </cell>
        </row>
        <row r="25">
          <cell r="B25">
            <v>34.72</v>
          </cell>
        </row>
        <row r="26">
          <cell r="B26">
            <v>34.72</v>
          </cell>
        </row>
        <row r="27">
          <cell r="B27">
            <v>34.6</v>
          </cell>
        </row>
        <row r="28">
          <cell r="B28">
            <v>34.840000000000003</v>
          </cell>
        </row>
        <row r="29">
          <cell r="B29">
            <v>35.04</v>
          </cell>
        </row>
        <row r="30">
          <cell r="B30">
            <v>35.03</v>
          </cell>
        </row>
        <row r="31">
          <cell r="B31">
            <v>34.99</v>
          </cell>
        </row>
        <row r="32">
          <cell r="B32">
            <v>34.950000000000003</v>
          </cell>
        </row>
        <row r="33">
          <cell r="B33">
            <v>35.1</v>
          </cell>
        </row>
        <row r="34">
          <cell r="B34">
            <v>35.1</v>
          </cell>
        </row>
        <row r="35">
          <cell r="B35">
            <v>35.270000000000003</v>
          </cell>
        </row>
        <row r="36">
          <cell r="B36">
            <v>35.25</v>
          </cell>
        </row>
        <row r="37">
          <cell r="B37">
            <v>35.229999999999997</v>
          </cell>
        </row>
        <row r="38">
          <cell r="B38">
            <v>35.090000000000003</v>
          </cell>
        </row>
        <row r="39">
          <cell r="B39">
            <v>35.1</v>
          </cell>
        </row>
        <row r="40">
          <cell r="B40">
            <v>35.119999999999997</v>
          </cell>
        </row>
        <row r="41">
          <cell r="B41">
            <v>35.130000000000003</v>
          </cell>
        </row>
        <row r="42">
          <cell r="B42">
            <v>34.950000000000003</v>
          </cell>
        </row>
        <row r="43">
          <cell r="B43">
            <v>39.31</v>
          </cell>
        </row>
        <row r="44">
          <cell r="B44">
            <v>41.28</v>
          </cell>
        </row>
        <row r="45">
          <cell r="B45">
            <v>37.380000000000003</v>
          </cell>
        </row>
        <row r="46">
          <cell r="B46">
            <v>43.62</v>
          </cell>
        </row>
        <row r="47">
          <cell r="B47">
            <v>64.900000000000006</v>
          </cell>
        </row>
        <row r="48">
          <cell r="B48">
            <v>112.25</v>
          </cell>
        </row>
        <row r="49">
          <cell r="B49">
            <v>186.5</v>
          </cell>
        </row>
        <row r="50">
          <cell r="B50">
            <v>140.25</v>
          </cell>
        </row>
        <row r="51">
          <cell r="B51">
            <v>134.5</v>
          </cell>
        </row>
        <row r="52">
          <cell r="B52">
            <v>164.95</v>
          </cell>
        </row>
        <row r="53">
          <cell r="B53">
            <v>226</v>
          </cell>
        </row>
        <row r="54">
          <cell r="B54">
            <v>512</v>
          </cell>
        </row>
        <row r="55">
          <cell r="B55">
            <v>589.75</v>
          </cell>
        </row>
        <row r="56">
          <cell r="B56">
            <v>397.5</v>
          </cell>
        </row>
        <row r="57">
          <cell r="B57">
            <v>459.6</v>
          </cell>
        </row>
        <row r="58">
          <cell r="B58">
            <v>382.4</v>
          </cell>
        </row>
        <row r="59">
          <cell r="B59">
            <v>308.3</v>
          </cell>
        </row>
        <row r="60">
          <cell r="B60">
            <v>326.8</v>
          </cell>
        </row>
        <row r="61">
          <cell r="B61">
            <v>388.75</v>
          </cell>
        </row>
        <row r="62">
          <cell r="B62">
            <v>484.1</v>
          </cell>
        </row>
        <row r="63">
          <cell r="B63">
            <v>410.25</v>
          </cell>
        </row>
        <row r="64">
          <cell r="B64">
            <v>398.6</v>
          </cell>
        </row>
        <row r="65">
          <cell r="B65">
            <v>386.2</v>
          </cell>
        </row>
        <row r="66">
          <cell r="B66">
            <v>353.15</v>
          </cell>
        </row>
        <row r="67">
          <cell r="B67">
            <v>332.9</v>
          </cell>
        </row>
        <row r="68">
          <cell r="B68">
            <v>391.75</v>
          </cell>
        </row>
        <row r="69">
          <cell r="B69">
            <v>383.25</v>
          </cell>
        </row>
        <row r="70">
          <cell r="B70">
            <v>387</v>
          </cell>
        </row>
        <row r="71">
          <cell r="B71">
            <v>369.25</v>
          </cell>
        </row>
        <row r="72">
          <cell r="B72">
            <v>290.2</v>
          </cell>
        </row>
        <row r="73">
          <cell r="B73">
            <v>287.8</v>
          </cell>
        </row>
        <row r="74">
          <cell r="B74">
            <v>290.25</v>
          </cell>
        </row>
        <row r="75">
          <cell r="B75">
            <v>274.45</v>
          </cell>
        </row>
        <row r="76">
          <cell r="B76">
            <v>276.5</v>
          </cell>
        </row>
        <row r="77">
          <cell r="B77">
            <v>347.2</v>
          </cell>
        </row>
        <row r="78">
          <cell r="B78">
            <v>416.25</v>
          </cell>
        </row>
        <row r="79">
          <cell r="B79">
            <v>435.6</v>
          </cell>
        </row>
        <row r="80">
          <cell r="B80">
            <v>513</v>
          </cell>
        </row>
        <row r="81">
          <cell r="B81">
            <v>632</v>
          </cell>
        </row>
        <row r="82">
          <cell r="B82">
            <v>833.75</v>
          </cell>
        </row>
        <row r="83">
          <cell r="B83">
            <v>869.75</v>
          </cell>
        </row>
        <row r="84">
          <cell r="B84">
            <v>1087.5</v>
          </cell>
        </row>
        <row r="85">
          <cell r="B85">
            <v>1405.5</v>
          </cell>
        </row>
        <row r="86">
          <cell r="B86">
            <v>1574.5</v>
          </cell>
        </row>
        <row r="87">
          <cell r="B87">
            <v>1664</v>
          </cell>
        </row>
        <row r="88">
          <cell r="B88">
            <v>1204.5</v>
          </cell>
        </row>
        <row r="89">
          <cell r="B89">
            <v>1206</v>
          </cell>
        </row>
        <row r="90">
          <cell r="B90">
            <v>1060</v>
          </cell>
        </row>
        <row r="91">
          <cell r="B91">
            <v>1145.9000000000001</v>
          </cell>
        </row>
        <row r="92">
          <cell r="B92">
            <v>1291</v>
          </cell>
        </row>
        <row r="93">
          <cell r="B93">
            <v>1279</v>
          </cell>
        </row>
        <row r="94">
          <cell r="B94">
            <v>1523</v>
          </cell>
        </row>
        <row r="95">
          <cell r="B95">
            <v>1891.1</v>
          </cell>
        </row>
        <row r="96">
          <cell r="B96">
            <v>1820.1</v>
          </cell>
        </row>
        <row r="97">
          <cell r="B97">
            <v>1830.1</v>
          </cell>
        </row>
        <row r="98">
          <cell r="B98">
            <v>2072.81</v>
          </cell>
        </row>
        <row r="99">
          <cell r="B99">
            <v>2610.85</v>
          </cell>
        </row>
        <row r="100">
          <cell r="B100">
            <v>4339.6450000000004</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227709-DCF1-B045-A370-6D121CF6A818}" name="Table1" displayName="Table1" ref="A20:AB119" totalsRowCount="1" headerRowDxfId="58" headerRowBorderDxfId="57" tableBorderDxfId="56">
  <autoFilter ref="A20:AB118" xr:uid="{B3F77F94-690F-ED45-9785-89558B94B92D}"/>
  <tableColumns count="28">
    <tableColumn id="1" xr3:uid="{4EAEBC3A-21AE-614F-8ABC-27EECB4924E4}" name="Year" dataDxfId="55" totalsRowDxfId="54"/>
    <tableColumn id="2" xr3:uid="{2E475195-BECE-1D42-B6D9-6497272C0633}" name="S&amp;P 500 (includes dividends)" dataDxfId="53" totalsRowDxfId="52">
      <calculatedColumnFormula>('[1]S&amp;P 500 &amp; Raw Data'!B4-'[1]S&amp;P 500 &amp; Raw Data'!B3+'[1]S&amp;P 500 &amp; Raw Data'!C4)/'[1]S&amp;P 500 &amp; Raw Data'!B3</calculatedColumnFormula>
    </tableColumn>
    <tableColumn id="22" xr3:uid="{4E96BC2F-F448-3A45-9CCB-48E9B2031153}" name="US Small cap (bottom decile)" dataDxfId="51" totalsRowDxfId="50">
      <calculatedColumnFormula>'[1]Small Cap'!B2</calculatedColumnFormula>
    </tableColumn>
    <tableColumn id="3" xr3:uid="{A000DCFD-9D75-6840-A077-DCAAC5C36785}" name="3-month T.Bill" dataDxfId="49" totalsRowDxfId="48"/>
    <tableColumn id="4" xr3:uid="{252BFBE2-B6C9-EF42-ABB2-C747CFC8DC85}" name="US T. Bond (10-year)" dataDxfId="47" totalsRowDxfId="46">
      <calculatedColumnFormula>'[1]S&amp;P 500 &amp; Raw Data'!F4</calculatedColumnFormula>
    </tableColumn>
    <tableColumn id="16" xr3:uid="{E36B0407-A98F-5A40-9758-97A97E961873}" name=" Baa Corporate Bond" dataDxfId="45" totalsRowDxfId="44">
      <calculatedColumnFormula>'[1]S&amp;P 500 &amp; Raw Data'!J4</calculatedColumnFormula>
    </tableColumn>
    <tableColumn id="15" xr3:uid="{09D1596B-4A38-2B4D-A880-3D28CBFBE64C}" name="Real Estate" dataDxfId="43" totalsRowDxfId="42">
      <calculatedColumnFormula>'[1]Home Prices'!B4/'[1]Home Prices'!B3-1</calculatedColumnFormula>
    </tableColumn>
    <tableColumn id="24" xr3:uid="{64C53459-9969-0142-9445-1601A3A6895E}" name="Gold*" dataDxfId="41" totalsRowDxfId="40">
      <calculatedColumnFormula>'[1]Gold Prices'!B3/'[1]Gold Prices'!B2-1</calculatedColumnFormula>
    </tableColumn>
    <tableColumn id="5" xr3:uid="{F6E1CF58-521B-1D4D-9F07-75B7A4291A0F}" name="S&amp;P 500 (includes dividends)3" dataDxfId="39" totalsRowDxfId="38"/>
    <tableColumn id="23" xr3:uid="{DC30D1E3-D3A7-A243-9E8D-7960DE1073B2}" name="US Small cap (bottom decile) Cum Value" dataDxfId="37" totalsRowDxfId="36">
      <calculatedColumnFormula>J20*(1+C21)</calculatedColumnFormula>
    </tableColumn>
    <tableColumn id="6" xr3:uid="{EAB6A400-3B23-884B-823E-A5BEF1A2D0AF}" name="3-month T.Bill4" dataDxfId="35" totalsRowDxfId="34"/>
    <tableColumn id="7" xr3:uid="{972C470B-E516-AB4B-8B7D-869CA8F8575B}" name="US T. Bond5" dataDxfId="33" totalsRowDxfId="32"/>
    <tableColumn id="17" xr3:uid="{F20C38D7-B6E3-7040-842D-29FEA2795DB1}" name=" Baa Corporate Bond2" dataDxfId="31" totalsRowDxfId="30"/>
    <tableColumn id="20" xr3:uid="{117D3B02-AAEF-3748-A3AA-AFFF04446F93}" name="Real Estate2" dataDxfId="29" totalsRowDxfId="28">
      <calculatedColumnFormula>N20*(1+G21)</calculatedColumnFormula>
    </tableColumn>
    <tableColumn id="25" xr3:uid="{1C4FA948-8E06-F141-A07E-12CAC5C33DCE}" name="Gold2" dataDxfId="27" totalsRowDxfId="26">
      <calculatedColumnFormula>O20*(1+H21)</calculatedColumnFormula>
    </tableColumn>
    <tableColumn id="8" xr3:uid="{AEC24CB1-E762-944E-BEDE-11FEA6E974F0}" name="Stocks - Bills" dataDxfId="25" totalsRowDxfId="24">
      <calculatedColumnFormula>B21-D21</calculatedColumnFormula>
    </tableColumn>
    <tableColumn id="9" xr3:uid="{05382FB4-955D-5B43-9B36-BBBBDAD758EC}" name="Stocks - Bonds" dataDxfId="23" totalsRowDxfId="22">
      <calculatedColumnFormula>B21-E21</calculatedColumnFormula>
    </tableColumn>
    <tableColumn id="28" xr3:uid="{5EB7B6BD-9F5C-F54F-A93C-C6D4CE830DC5}" name="Small Cap Premium (S&amp;P 500 minus Bottom Decile)" dataDxfId="21" totalsRowDxfId="20">
      <calculatedColumnFormula>DamodaranUS!$C21-DamodaranUS!$B21</calculatedColumnFormula>
    </tableColumn>
    <tableColumn id="18" xr3:uid="{94DCCA70-20E4-4F49-AC5D-CC77937CBE36}" name="Stocks - Baa Corp Bond" dataDxfId="19" totalsRowDxfId="18">
      <calculatedColumnFormula>B21-F21</calculatedColumnFormula>
    </tableColumn>
    <tableColumn id="10" xr3:uid="{FCE56341-4C98-7F44-8EE0-D9BD0FCADD40}" name="Historical ERP" dataDxfId="17" totalsRowDxfId="16"/>
    <tableColumn id="11" xr3:uid="{E383B987-D003-9547-BF59-8254B6C22277}" name="Inflation Rate" dataDxfId="15" totalsRowDxfId="14" dataCellStyle="Per cent">
      <calculatedColumnFormula>'[1]Inflation Rate'!C26</calculatedColumnFormula>
    </tableColumn>
    <tableColumn id="12" xr3:uid="{5B3AFE44-35C0-644A-B888-DBD1FD945BA0}" name="S&amp;P 500 (includes dividends)2" dataDxfId="13" totalsRowDxfId="12">
      <calculatedColumnFormula>(1+B21)/(1+$U21)-1</calculatedColumnFormula>
    </tableColumn>
    <tableColumn id="27" xr3:uid="{27C9E95E-54F4-144C-84F3-159280B87F08}" name="US Small cap (bottom decile)22" dataDxfId="11" totalsRowDxfId="10">
      <calculatedColumnFormula>(1+C21)/(1+$U21)-1</calculatedColumnFormula>
    </tableColumn>
    <tableColumn id="13" xr3:uid="{F61921B6-0FD1-854B-859B-AB5E81862ABB}" name="3-month T. Bill (Real)" dataDxfId="9" totalsRowDxfId="8">
      <calculatedColumnFormula>(1+D21)/(1+$U21)-1</calculatedColumnFormula>
    </tableColumn>
    <tableColumn id="14" xr3:uid="{F4DFEFEB-8177-9046-B1E9-718A5C151369}" name="!0-year T.Bonds" dataDxfId="7" totalsRowDxfId="6">
      <calculatedColumnFormula>(1+E21)/(1+$U21)-1</calculatedColumnFormula>
    </tableColumn>
    <tableColumn id="19" xr3:uid="{1A065144-2014-3B44-9589-6F1732398029}" name="Baa Corp Bonds" dataDxfId="5" totalsRowDxfId="4">
      <calculatedColumnFormula>(1+F21)/(1+$U21)-1</calculatedColumnFormula>
    </tableColumn>
    <tableColumn id="21" xr3:uid="{7FCF0543-2A1B-8D45-A5F5-D1BA5924ED67}" name="Real Estate3" dataDxfId="3" totalsRowDxfId="2">
      <calculatedColumnFormula>(1+G21)/(1+$U21)-1</calculatedColumnFormula>
    </tableColumn>
    <tableColumn id="26" xr3:uid="{05543600-CA44-AD43-98C7-EF2BCC0626F8}" name="Gold" dataDxfId="1" totalsRowDxfId="0">
      <calculatedColumnFormula>(1+H21)/(1+$U21)-1</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toplak.cz/dlouhodoby-pohled-na-vyvoj-cen-najmu/"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www.stern.nyu.edu/~adamodar/New_Home_Page/data.html" TargetMode="External"/><Relationship Id="rId7" Type="http://schemas.openxmlformats.org/officeDocument/2006/relationships/table" Target="../tables/table1.xm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vmlDrawing" Target="../drawings/vmlDrawing1.v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0D32-78B4-8C41-8BDD-440B99C35D30}">
  <sheetPr>
    <tabColor theme="1"/>
  </sheetPr>
  <dimension ref="B6:H24"/>
  <sheetViews>
    <sheetView showGridLines="0" tabSelected="1" workbookViewId="0">
      <selection activeCell="D5" sqref="D5"/>
    </sheetView>
  </sheetViews>
  <sheetFormatPr baseColWidth="10" defaultRowHeight="16"/>
  <cols>
    <col min="2" max="2" width="56.1640625" customWidth="1"/>
    <col min="3" max="3" width="16.6640625" bestFit="1" customWidth="1"/>
  </cols>
  <sheetData>
    <row r="6" spans="2:8">
      <c r="B6" s="232" t="s">
        <v>297</v>
      </c>
      <c r="C6" s="232"/>
      <c r="D6" s="232"/>
      <c r="E6" s="232"/>
      <c r="F6" s="232"/>
      <c r="G6" s="232"/>
      <c r="H6" s="232"/>
    </row>
    <row r="7" spans="2:8">
      <c r="B7" s="232"/>
      <c r="C7" s="232"/>
      <c r="D7" s="232"/>
      <c r="E7" s="232"/>
      <c r="F7" s="232"/>
      <c r="G7" s="232"/>
      <c r="H7" s="232"/>
    </row>
    <row r="8" spans="2:8">
      <c r="B8" s="232"/>
      <c r="C8" s="232"/>
      <c r="D8" s="232"/>
      <c r="E8" s="232"/>
      <c r="F8" s="232"/>
      <c r="G8" s="232"/>
      <c r="H8" s="232"/>
    </row>
    <row r="9" spans="2:8">
      <c r="B9" s="232"/>
      <c r="C9" s="232"/>
      <c r="D9" s="232"/>
      <c r="E9" s="232"/>
      <c r="F9" s="232"/>
      <c r="G9" s="232"/>
      <c r="H9" s="232"/>
    </row>
    <row r="10" spans="2:8">
      <c r="B10" s="232"/>
      <c r="C10" s="232"/>
      <c r="D10" s="232"/>
      <c r="E10" s="232"/>
      <c r="F10" s="232"/>
      <c r="G10" s="232"/>
      <c r="H10" s="232"/>
    </row>
    <row r="11" spans="2:8">
      <c r="B11" s="232"/>
      <c r="C11" s="232"/>
      <c r="D11" s="232"/>
      <c r="E11" s="232"/>
      <c r="F11" s="232"/>
      <c r="G11" s="232"/>
      <c r="H11" s="232"/>
    </row>
    <row r="12" spans="2:8">
      <c r="B12" s="232"/>
      <c r="C12" s="232"/>
      <c r="D12" s="232"/>
      <c r="E12" s="232"/>
      <c r="F12" s="232"/>
      <c r="G12" s="232"/>
      <c r="H12" s="232"/>
    </row>
    <row r="13" spans="2:8">
      <c r="B13" s="232"/>
      <c r="C13" s="232"/>
      <c r="D13" s="232"/>
      <c r="E13" s="232"/>
      <c r="F13" s="232"/>
      <c r="G13" s="232"/>
      <c r="H13" s="232"/>
    </row>
    <row r="14" spans="2:8">
      <c r="B14" s="232"/>
      <c r="C14" s="232"/>
      <c r="D14" s="232"/>
      <c r="E14" s="232"/>
      <c r="F14" s="232"/>
      <c r="G14" s="232"/>
      <c r="H14" s="232"/>
    </row>
    <row r="15" spans="2:8">
      <c r="B15" s="232"/>
      <c r="C15" s="232"/>
      <c r="D15" s="232"/>
      <c r="E15" s="232"/>
      <c r="F15" s="232"/>
      <c r="G15" s="232"/>
      <c r="H15" s="232"/>
    </row>
    <row r="16" spans="2:8">
      <c r="B16" s="232"/>
      <c r="C16" s="232"/>
      <c r="D16" s="232"/>
      <c r="E16" s="232"/>
      <c r="F16" s="232"/>
      <c r="G16" s="232"/>
      <c r="H16" s="232"/>
    </row>
    <row r="17" spans="2:4">
      <c r="B17" t="s">
        <v>387</v>
      </c>
    </row>
    <row r="19" spans="2:4" ht="147" customHeight="1">
      <c r="B19" s="288" t="s">
        <v>388</v>
      </c>
    </row>
    <row r="20" spans="2:4">
      <c r="C20" s="6" t="s">
        <v>377</v>
      </c>
    </row>
    <row r="21" spans="2:4">
      <c r="C21" s="6" t="s">
        <v>378</v>
      </c>
      <c r="D21" t="s">
        <v>379</v>
      </c>
    </row>
    <row r="22" spans="2:4">
      <c r="C22" s="6" t="s">
        <v>380</v>
      </c>
      <c r="D22" t="s">
        <v>381</v>
      </c>
    </row>
    <row r="23" spans="2:4">
      <c r="C23" s="6" t="s">
        <v>382</v>
      </c>
      <c r="D23" t="s">
        <v>383</v>
      </c>
    </row>
    <row r="24" spans="2:4">
      <c r="C24" s="6" t="s">
        <v>384</v>
      </c>
      <c r="D24" t="s">
        <v>386</v>
      </c>
    </row>
  </sheetData>
  <mergeCells count="1">
    <mergeCell ref="B6:H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B1:Y49"/>
  <sheetViews>
    <sheetView showGridLines="0" topLeftCell="A13" zoomScale="75" zoomScaleNormal="85" workbookViewId="0">
      <selection activeCell="G47" sqref="G47:Z52"/>
    </sheetView>
  </sheetViews>
  <sheetFormatPr baseColWidth="10" defaultRowHeight="16"/>
  <cols>
    <col min="2" max="2" width="39.1640625" bestFit="1" customWidth="1"/>
    <col min="3" max="3" width="12.83203125" bestFit="1" customWidth="1"/>
    <col min="4" max="4" width="15" bestFit="1" customWidth="1"/>
    <col min="5" max="5" width="30.33203125" customWidth="1"/>
    <col min="7" max="7" width="18.33203125" bestFit="1" customWidth="1"/>
    <col min="8" max="9" width="19.33203125" bestFit="1" customWidth="1"/>
    <col min="10" max="10" width="13.6640625" bestFit="1" customWidth="1"/>
    <col min="12" max="12" width="13.6640625" bestFit="1" customWidth="1"/>
    <col min="13" max="13" width="14.1640625" customWidth="1"/>
    <col min="14" max="15" width="13.83203125" bestFit="1" customWidth="1"/>
    <col min="16" max="16" width="24.83203125" bestFit="1" customWidth="1"/>
    <col min="17" max="17" width="31.1640625" bestFit="1" customWidth="1"/>
  </cols>
  <sheetData>
    <row r="1" spans="2:5">
      <c r="B1" s="1" t="s">
        <v>36</v>
      </c>
      <c r="C1" s="1" t="s">
        <v>37</v>
      </c>
      <c r="D1" s="1"/>
      <c r="E1" s="1"/>
    </row>
    <row r="2" spans="2:5">
      <c r="B2" s="2" t="s">
        <v>38</v>
      </c>
      <c r="C2" s="2"/>
      <c r="D2" s="2"/>
      <c r="E2" s="2" t="s">
        <v>39</v>
      </c>
    </row>
    <row r="3" spans="2:5">
      <c r="B3" t="s">
        <v>40</v>
      </c>
      <c r="C3" t="s">
        <v>41</v>
      </c>
      <c r="D3" s="3">
        <v>8868530</v>
      </c>
    </row>
    <row r="4" spans="2:5">
      <c r="B4" t="s">
        <v>42</v>
      </c>
      <c r="C4" t="s">
        <v>43</v>
      </c>
      <c r="D4" s="4">
        <v>0.9</v>
      </c>
    </row>
    <row r="5" spans="2:5">
      <c r="B5" t="s">
        <v>44</v>
      </c>
      <c r="C5" t="s">
        <v>43</v>
      </c>
      <c r="D5" s="7">
        <v>4.4600000000000001E-2</v>
      </c>
      <c r="E5" s="7">
        <f>((1+D5)^(1/12))-1</f>
        <v>3.6427886369352347E-3</v>
      </c>
    </row>
    <row r="6" spans="2:5">
      <c r="B6" t="s">
        <v>45</v>
      </c>
      <c r="C6" t="s">
        <v>46</v>
      </c>
      <c r="D6">
        <v>30</v>
      </c>
    </row>
    <row r="7" spans="2:5">
      <c r="B7" t="s">
        <v>47</v>
      </c>
      <c r="C7" t="s">
        <v>43</v>
      </c>
      <c r="D7" s="5">
        <v>0.08</v>
      </c>
      <c r="E7" s="7">
        <f>((1+D7)^(1/12))-1</f>
        <v>6.4340301100034303E-3</v>
      </c>
    </row>
    <row r="8" spans="2:5">
      <c r="B8" t="s">
        <v>48</v>
      </c>
      <c r="C8" t="s">
        <v>43</v>
      </c>
      <c r="D8" s="7">
        <v>1.2500000000000001E-2</v>
      </c>
      <c r="E8" s="7">
        <f>((1+D8)^(1/12))-1</f>
        <v>1.0357460146983577E-3</v>
      </c>
    </row>
    <row r="9" spans="2:5">
      <c r="B9" t="s">
        <v>49</v>
      </c>
      <c r="C9" t="s">
        <v>41</v>
      </c>
      <c r="D9">
        <v>3000</v>
      </c>
    </row>
    <row r="10" spans="2:5">
      <c r="B10" t="s">
        <v>50</v>
      </c>
      <c r="C10" t="s">
        <v>43</v>
      </c>
      <c r="D10" s="4">
        <v>0.01</v>
      </c>
    </row>
    <row r="11" spans="2:5">
      <c r="B11" t="s">
        <v>51</v>
      </c>
      <c r="C11" t="s">
        <v>43</v>
      </c>
      <c r="D11" s="4">
        <v>0.01</v>
      </c>
    </row>
    <row r="12" spans="2:5">
      <c r="B12" t="s">
        <v>52</v>
      </c>
      <c r="C12" t="s">
        <v>41</v>
      </c>
      <c r="D12" s="3">
        <f>D30*D31*D32*D33*D34</f>
        <v>2310</v>
      </c>
    </row>
    <row r="13" spans="2:5">
      <c r="B13" t="s">
        <v>53</v>
      </c>
      <c r="C13" t="s">
        <v>41</v>
      </c>
      <c r="D13" s="3">
        <v>150000</v>
      </c>
    </row>
    <row r="14" spans="2:5">
      <c r="B14" t="s">
        <v>54</v>
      </c>
      <c r="C14" t="s">
        <v>43</v>
      </c>
      <c r="D14" s="4">
        <v>0.45</v>
      </c>
    </row>
    <row r="15" spans="2:5">
      <c r="B15" t="s">
        <v>175</v>
      </c>
      <c r="C15" t="s">
        <v>41</v>
      </c>
      <c r="D15" s="65">
        <v>4000</v>
      </c>
      <c r="E15">
        <f>D15/12</f>
        <v>333.33333333333331</v>
      </c>
    </row>
    <row r="16" spans="2:5">
      <c r="B16" s="2" t="s">
        <v>1</v>
      </c>
      <c r="C16" s="2"/>
      <c r="D16" s="2"/>
      <c r="E16" s="2"/>
    </row>
    <row r="17" spans="2:5">
      <c r="B17" t="s">
        <v>55</v>
      </c>
      <c r="C17" t="s">
        <v>41</v>
      </c>
      <c r="D17" s="3">
        <v>25905</v>
      </c>
    </row>
    <row r="18" spans="2:5">
      <c r="B18" t="s">
        <v>56</v>
      </c>
      <c r="C18" t="s">
        <v>57</v>
      </c>
      <c r="D18">
        <v>2</v>
      </c>
    </row>
    <row r="19" spans="2:5">
      <c r="B19" t="s">
        <v>58</v>
      </c>
      <c r="C19" t="s">
        <v>46</v>
      </c>
      <c r="D19" s="19">
        <f>52/12</f>
        <v>4.333333333333333</v>
      </c>
    </row>
    <row r="20" spans="2:5">
      <c r="B20" t="s">
        <v>59</v>
      </c>
      <c r="C20" t="s">
        <v>41</v>
      </c>
      <c r="D20">
        <v>8000</v>
      </c>
    </row>
    <row r="21" spans="2:5">
      <c r="B21" s="2" t="s">
        <v>60</v>
      </c>
      <c r="C21" s="2"/>
      <c r="D21" s="2"/>
      <c r="E21" s="2"/>
    </row>
    <row r="22" spans="2:5">
      <c r="B22" t="s">
        <v>61</v>
      </c>
      <c r="C22" t="s">
        <v>43</v>
      </c>
      <c r="D22" s="5">
        <v>2.5000000000000001E-2</v>
      </c>
      <c r="E22" s="7">
        <f>((1+D22)^(1/12))-1</f>
        <v>2.0598362698427408E-3</v>
      </c>
    </row>
    <row r="23" spans="2:5">
      <c r="B23" t="s">
        <v>62</v>
      </c>
      <c r="C23" t="s">
        <v>43</v>
      </c>
      <c r="D23" s="4">
        <v>0.05</v>
      </c>
      <c r="E23" s="7">
        <f>((1+D23)^(1/12))-1</f>
        <v>4.0741237836483535E-3</v>
      </c>
    </row>
    <row r="24" spans="2:5">
      <c r="B24" t="s">
        <v>63</v>
      </c>
      <c r="C24" t="s">
        <v>43</v>
      </c>
      <c r="D24" s="4">
        <v>0.05</v>
      </c>
      <c r="E24" s="7">
        <f>((1+D24)^(1/12))-1</f>
        <v>4.0741237836483535E-3</v>
      </c>
    </row>
    <row r="25" spans="2:5">
      <c r="B25" t="s">
        <v>64</v>
      </c>
      <c r="C25" t="s">
        <v>43</v>
      </c>
      <c r="D25" s="4">
        <v>0.08</v>
      </c>
      <c r="E25" s="7">
        <f>((1+D25)^(1/12))-1</f>
        <v>6.4340301100034303E-3</v>
      </c>
    </row>
    <row r="26" spans="2:5">
      <c r="B26" s="2" t="s">
        <v>65</v>
      </c>
      <c r="C26" s="2"/>
      <c r="D26" s="2"/>
      <c r="E26" s="2"/>
    </row>
    <row r="27" spans="2:5">
      <c r="B27" t="s">
        <v>66</v>
      </c>
      <c r="C27" t="s">
        <v>46</v>
      </c>
      <c r="D27">
        <v>40</v>
      </c>
    </row>
    <row r="28" spans="2:5">
      <c r="B28" t="s">
        <v>239</v>
      </c>
      <c r="C28" t="s">
        <v>43</v>
      </c>
      <c r="D28" s="4">
        <v>0.15</v>
      </c>
    </row>
    <row r="29" spans="2:5">
      <c r="B29" s="2" t="s">
        <v>183</v>
      </c>
      <c r="C29" s="2"/>
      <c r="D29" s="2"/>
      <c r="E29" s="2"/>
    </row>
    <row r="30" spans="2:5">
      <c r="B30" t="s">
        <v>242</v>
      </c>
      <c r="C30" t="s">
        <v>243</v>
      </c>
      <c r="D30">
        <v>1.2</v>
      </c>
    </row>
    <row r="31" spans="2:5">
      <c r="B31" t="s">
        <v>244</v>
      </c>
      <c r="C31" t="s">
        <v>243</v>
      </c>
      <c r="D31">
        <v>3.5</v>
      </c>
    </row>
    <row r="32" spans="2:5">
      <c r="B32" t="s">
        <v>245</v>
      </c>
      <c r="C32" t="s">
        <v>243</v>
      </c>
      <c r="D32">
        <v>5</v>
      </c>
    </row>
    <row r="33" spans="2:25">
      <c r="B33" t="s">
        <v>246</v>
      </c>
      <c r="C33" t="s">
        <v>243</v>
      </c>
      <c r="D33">
        <v>2</v>
      </c>
    </row>
    <row r="34" spans="2:25">
      <c r="B34" t="s">
        <v>247</v>
      </c>
      <c r="C34" t="s">
        <v>248</v>
      </c>
      <c r="D34">
        <v>55</v>
      </c>
    </row>
    <row r="35" spans="2:25" ht="34">
      <c r="B35" s="3"/>
      <c r="G35" s="6" t="s">
        <v>67</v>
      </c>
      <c r="H35" s="20" t="s">
        <v>68</v>
      </c>
      <c r="I35" s="45" t="s">
        <v>24</v>
      </c>
      <c r="J35" s="6" t="s">
        <v>69</v>
      </c>
      <c r="K35" s="6" t="s">
        <v>70</v>
      </c>
      <c r="L35" s="6" t="s">
        <v>124</v>
      </c>
      <c r="M35" s="6" t="s">
        <v>125</v>
      </c>
      <c r="N35" s="44" t="s">
        <v>122</v>
      </c>
      <c r="O35" s="44" t="s">
        <v>123</v>
      </c>
      <c r="P35" s="8" t="s">
        <v>72</v>
      </c>
      <c r="Q35" s="8" t="s">
        <v>73</v>
      </c>
    </row>
    <row r="36" spans="2:25">
      <c r="B36" s="17"/>
      <c r="G36" s="6" t="s">
        <v>71</v>
      </c>
      <c r="H36" s="21">
        <f>INDEX(Calculations!W:W,MATCH(D27*12,Calculations!B:B,0),1)</f>
        <v>79496191.934496254</v>
      </c>
      <c r="I36" s="46">
        <f>INDEX(Calculations!AH:AH,MATCH(D27*12,Calculations!B:B,0),1)</f>
        <v>74271374.293669149</v>
      </c>
      <c r="J36" s="23">
        <f>ABS(H36-I36)</f>
        <v>5224817.6408271044</v>
      </c>
      <c r="K36" s="6" t="str">
        <f>IF(H36&gt;I36,"BUY","RENT")</f>
        <v>BUY</v>
      </c>
      <c r="L36" s="21">
        <f>INDEX(Calculations!V:V,MATCH(D27*12,Calculations!B:B,0),1)</f>
        <v>17686184.352286097</v>
      </c>
      <c r="M36" s="42">
        <f>L36/H36</f>
        <v>0.2224783844597143</v>
      </c>
      <c r="N36" t="str">
        <f>IF(IFERROR(MIN(Results!$K$5:$K$64),"-")&gt;D27,"",IFERROR(MIN(Results!$K$5:$K$64),"-"))</f>
        <v/>
      </c>
      <c r="O36">
        <f>IF(IFERROR(MIN(Results!$L$5:$L$64),"-")&gt;D27,"",IFERROR(MIN(Results!$L$5:$L$64),"-"))</f>
        <v>22</v>
      </c>
      <c r="P36" s="24">
        <f>Calculations!$E$4</f>
        <v>39834.137922259193</v>
      </c>
      <c r="Q36" s="24">
        <f>$P$36/$D$14</f>
        <v>88520.306493909316</v>
      </c>
    </row>
    <row r="37" spans="2:25">
      <c r="G37" s="47" t="s">
        <v>121</v>
      </c>
      <c r="H37" s="27"/>
      <c r="I37" s="48"/>
    </row>
    <row r="38" spans="2:25">
      <c r="B38" s="3"/>
      <c r="G38" s="49">
        <v>1</v>
      </c>
      <c r="H38" s="21">
        <f>INDEX(Results!$G:$H,MATCH('Input sheet(dashboard)'!$G38,Results!$D:$D,0),1)</f>
        <v>738474.93626311724</v>
      </c>
      <c r="I38" s="50">
        <f>INDEX(Results!$G:$H,MATCH('Input sheet(dashboard)'!$G38,Results!$D:$D,0),2)</f>
        <v>369731.12090421771</v>
      </c>
    </row>
    <row r="39" spans="2:25">
      <c r="B39" s="3"/>
      <c r="G39" s="49">
        <v>10</v>
      </c>
      <c r="H39" s="21">
        <f>INDEX(Results!$G:$H,MATCH('Input sheet(dashboard)'!$G39,Results!$D:$D,0),1)</f>
        <v>722283.05956624716</v>
      </c>
      <c r="I39" s="50">
        <f>INDEX(Results!$G:$H,MATCH('Input sheet(dashboard)'!$G39,Results!$D:$D,0),2)</f>
        <v>493200.00531423499</v>
      </c>
    </row>
    <row r="40" spans="2:25">
      <c r="G40" s="51">
        <v>20</v>
      </c>
      <c r="H40" s="21">
        <f>INDEX(Results!$G:$H,MATCH('Input sheet(dashboard)'!$G40,Results!$D:$D,0),1)</f>
        <v>846893.54899476608</v>
      </c>
      <c r="I40" s="50">
        <f>INDEX(Results!$G:$H,MATCH('Input sheet(dashboard)'!$G40,Results!$D:$D,0),2)</f>
        <v>803370.83858297172</v>
      </c>
    </row>
    <row r="41" spans="2:25">
      <c r="G41" s="51">
        <v>30</v>
      </c>
      <c r="H41" s="21">
        <f>INDEX(Results!$G:$H,MATCH('Input sheet(dashboard)'!$G41,Results!$D:$D,0),1)</f>
        <v>1066773.3709794641</v>
      </c>
      <c r="I41" s="50">
        <f>INDEX(Results!$G:$H,MATCH('Input sheet(dashboard)'!$G41,Results!$D:$D,0),2)</f>
        <v>1308606.4422775046</v>
      </c>
    </row>
    <row r="42" spans="2:25">
      <c r="G42" s="51">
        <v>31</v>
      </c>
      <c r="H42" s="21">
        <f>INDEX(Results!$G:$H,MATCH('Input sheet(dashboard)'!$G42,Results!$D:$D,0),1)</f>
        <v>576543.46554994886</v>
      </c>
      <c r="I42" s="50">
        <f>INDEX(Results!$G:$H,MATCH('Input sheet(dashboard)'!$G42,Results!$D:$D,0),2)</f>
        <v>1390990.8443090648</v>
      </c>
    </row>
    <row r="43" spans="2:25">
      <c r="G43" s="52">
        <v>40</v>
      </c>
      <c r="H43" s="53">
        <f>INDEX(Results!$G:$H,MATCH('Input sheet(dashboard)'!$G43,Results!$D:$D,0),1)</f>
        <v>1491758.0775642497</v>
      </c>
      <c r="I43" s="54">
        <f>INDEX(Results!$G:$H,MATCH('Input sheet(dashboard)'!$G43,Results!$D:$D,0),2)</f>
        <v>1789319.9238929832</v>
      </c>
    </row>
    <row r="44" spans="2:25">
      <c r="D44" s="101"/>
      <c r="I44" s="22"/>
    </row>
    <row r="48" spans="2:25">
      <c r="D48" s="102"/>
      <c r="G48" s="93"/>
      <c r="H48" s="93"/>
      <c r="I48" s="93"/>
      <c r="J48" s="93"/>
      <c r="K48" s="93"/>
      <c r="L48" s="93"/>
      <c r="M48" s="93"/>
      <c r="N48" s="93"/>
      <c r="O48" s="85"/>
      <c r="P48" s="85"/>
      <c r="Q48" s="85"/>
      <c r="R48" s="85"/>
      <c r="S48" s="85"/>
      <c r="T48" s="85"/>
      <c r="U48" s="85"/>
      <c r="V48" s="85"/>
      <c r="W48" s="85"/>
      <c r="X48" s="85"/>
      <c r="Y48" s="85"/>
    </row>
    <row r="49" spans="7:25">
      <c r="G49" s="103"/>
      <c r="H49" s="103"/>
      <c r="I49" s="103"/>
      <c r="J49" s="85"/>
      <c r="K49" s="85"/>
      <c r="L49" s="104"/>
      <c r="M49" s="103"/>
      <c r="N49" s="103"/>
      <c r="O49" s="103"/>
      <c r="P49" s="105"/>
      <c r="Q49" s="103"/>
      <c r="R49" s="103"/>
      <c r="S49" s="103"/>
      <c r="T49" s="103"/>
      <c r="U49" s="106"/>
      <c r="V49" s="106"/>
      <c r="W49" s="106"/>
      <c r="X49" s="106"/>
      <c r="Y49" s="10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6801-DC75-DB48-A052-3C32F1B9DE69}">
  <sheetPr>
    <tabColor theme="1"/>
  </sheetPr>
  <dimension ref="A1"/>
  <sheetViews>
    <sheetView showGridLines="0" workbookViewId="0">
      <selection activeCell="F11" sqref="F10:F11"/>
    </sheetView>
  </sheetViews>
  <sheetFormatPr baseColWidth="10" defaultRowHeight="1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B1:AL723"/>
  <sheetViews>
    <sheetView showGridLines="0" zoomScale="75" zoomScaleNormal="60" workbookViewId="0">
      <pane xSplit="4" ySplit="2" topLeftCell="E3" activePane="bottomRight" state="frozen"/>
      <selection sqref="A1:G1"/>
      <selection pane="topRight" sqref="A1:G1"/>
      <selection pane="bottomLeft" sqref="A1:G1"/>
      <selection pane="bottomRight" activeCell="E1" sqref="E1:P1"/>
    </sheetView>
  </sheetViews>
  <sheetFormatPr baseColWidth="10" defaultRowHeight="16"/>
  <cols>
    <col min="1" max="1" width="5" customWidth="1"/>
    <col min="2" max="2" width="6.33203125" bestFit="1" customWidth="1"/>
    <col min="3" max="3" width="4.6640625" bestFit="1" customWidth="1"/>
    <col min="4" max="4" width="6.33203125" bestFit="1" customWidth="1"/>
    <col min="5" max="5" width="16" bestFit="1" customWidth="1"/>
    <col min="6" max="6" width="15.5" bestFit="1" customWidth="1"/>
    <col min="7" max="7" width="17.33203125" bestFit="1" customWidth="1"/>
    <col min="8" max="8" width="16.33203125" customWidth="1"/>
    <col min="9" max="9" width="16.6640625" bestFit="1" customWidth="1"/>
    <col min="10" max="11" width="13" customWidth="1"/>
    <col min="12" max="14" width="20.6640625" customWidth="1"/>
    <col min="15" max="15" width="22.33203125" bestFit="1" customWidth="1"/>
    <col min="16" max="18" width="22.33203125" customWidth="1"/>
    <col min="19" max="19" width="20.6640625" customWidth="1"/>
    <col min="20" max="20" width="26" bestFit="1" customWidth="1"/>
    <col min="21" max="21" width="20.6640625" customWidth="1"/>
    <col min="22" max="22" width="17.33203125" bestFit="1" customWidth="1"/>
    <col min="23" max="23" width="14.1640625" bestFit="1" customWidth="1"/>
    <col min="24" max="24" width="11.5" bestFit="1" customWidth="1"/>
    <col min="26" max="26" width="13.5" bestFit="1" customWidth="1"/>
    <col min="27" max="28" width="13.5" customWidth="1"/>
    <col min="29" max="29" width="11.5" bestFit="1" customWidth="1"/>
    <col min="30" max="30" width="19.6640625" customWidth="1"/>
    <col min="31" max="31" width="26" bestFit="1" customWidth="1"/>
    <col min="32" max="32" width="15.5" bestFit="1" customWidth="1"/>
    <col min="33" max="33" width="15.5" customWidth="1"/>
    <col min="34" max="34" width="32.5" customWidth="1"/>
    <col min="35" max="35" width="12.6640625" bestFit="1" customWidth="1"/>
    <col min="36" max="36" width="12.1640625" bestFit="1" customWidth="1"/>
    <col min="37" max="37" width="15.5" bestFit="1" customWidth="1"/>
    <col min="38" max="38" width="14.1640625" bestFit="1" customWidth="1"/>
  </cols>
  <sheetData>
    <row r="1" spans="2:38">
      <c r="E1" s="9" t="s">
        <v>0</v>
      </c>
      <c r="F1" s="10"/>
      <c r="G1" s="10"/>
      <c r="H1" s="10"/>
      <c r="I1" s="10"/>
      <c r="J1" s="10"/>
      <c r="K1" s="10"/>
      <c r="L1" s="10"/>
      <c r="M1" s="10"/>
      <c r="N1" s="10"/>
      <c r="O1" s="10"/>
      <c r="P1" s="10"/>
      <c r="Q1" s="10"/>
      <c r="R1" s="10"/>
      <c r="S1" s="10"/>
      <c r="T1" s="10"/>
      <c r="U1" s="10"/>
      <c r="V1" s="10"/>
      <c r="W1" s="10"/>
      <c r="X1" s="11" t="s">
        <v>1</v>
      </c>
      <c r="Y1" s="12"/>
      <c r="Z1" s="12"/>
      <c r="AA1" s="12"/>
      <c r="AB1" s="12"/>
      <c r="AC1" s="12"/>
      <c r="AD1" s="12"/>
      <c r="AE1" s="12"/>
      <c r="AF1" s="12"/>
      <c r="AG1" s="12"/>
      <c r="AH1" s="12"/>
      <c r="AI1" s="13" t="s">
        <v>2</v>
      </c>
      <c r="AJ1" s="14"/>
      <c r="AK1" s="14"/>
      <c r="AL1" s="14"/>
    </row>
    <row r="2" spans="2:38">
      <c r="B2" t="s">
        <v>3</v>
      </c>
      <c r="C2" t="s">
        <v>4</v>
      </c>
      <c r="D2" s="8" t="s">
        <v>5</v>
      </c>
      <c r="E2" t="s">
        <v>6</v>
      </c>
      <c r="F2" t="s">
        <v>7</v>
      </c>
      <c r="G2" t="s">
        <v>8</v>
      </c>
      <c r="H2" t="s">
        <v>9</v>
      </c>
      <c r="I2" t="s">
        <v>10</v>
      </c>
      <c r="J2" t="s">
        <v>11</v>
      </c>
      <c r="K2" t="s">
        <v>12</v>
      </c>
      <c r="L2" t="s">
        <v>13</v>
      </c>
      <c r="M2" t="s">
        <v>14</v>
      </c>
      <c r="N2" t="s">
        <v>15</v>
      </c>
      <c r="O2" t="s">
        <v>16</v>
      </c>
      <c r="P2" t="s">
        <v>17</v>
      </c>
      <c r="Q2" t="s">
        <v>18</v>
      </c>
      <c r="R2" s="16" t="s">
        <v>174</v>
      </c>
      <c r="S2" s="6" t="s">
        <v>19</v>
      </c>
      <c r="T2" s="6" t="s">
        <v>20</v>
      </c>
      <c r="U2" t="s">
        <v>21</v>
      </c>
      <c r="V2" t="s">
        <v>22</v>
      </c>
      <c r="W2" s="6" t="s">
        <v>23</v>
      </c>
      <c r="X2" t="s">
        <v>24</v>
      </c>
      <c r="Y2" s="64" t="s">
        <v>25</v>
      </c>
      <c r="Z2" s="97"/>
      <c r="AA2" s="97"/>
      <c r="AB2" s="96" t="s">
        <v>26</v>
      </c>
      <c r="AC2" t="s">
        <v>27</v>
      </c>
      <c r="AD2" s="6" t="s">
        <v>28</v>
      </c>
      <c r="AE2" s="6" t="s">
        <v>20</v>
      </c>
      <c r="AF2" s="8" t="s">
        <v>29</v>
      </c>
      <c r="AG2" s="8" t="s">
        <v>30</v>
      </c>
      <c r="AH2" s="6" t="s">
        <v>31</v>
      </c>
      <c r="AI2" s="6" t="s">
        <v>32</v>
      </c>
      <c r="AJ2" t="s">
        <v>33</v>
      </c>
      <c r="AK2" t="s">
        <v>34</v>
      </c>
      <c r="AL2" t="s">
        <v>35</v>
      </c>
    </row>
    <row r="3" spans="2:38">
      <c r="B3">
        <v>0</v>
      </c>
      <c r="C3" s="16">
        <v>1</v>
      </c>
      <c r="D3" s="16">
        <v>0</v>
      </c>
      <c r="I3" s="3">
        <f>'Input sheet(dashboard)'!D3*'Input sheet(dashboard)'!D4</f>
        <v>7981677</v>
      </c>
      <c r="J3" s="3">
        <f>IF(B3&lt;='Input sheet(dashboard)'!$D$27*12,'Input sheet(dashboard)'!$D$3*(1+'Input sheet(dashboard)'!$E$24)^B3,0)</f>
        <v>8868530</v>
      </c>
      <c r="K3" s="3"/>
      <c r="L3" s="3"/>
      <c r="M3" s="3"/>
      <c r="N3" s="3"/>
      <c r="O3" s="3"/>
      <c r="P3" s="3"/>
      <c r="Q3" s="3"/>
      <c r="R3" s="3"/>
      <c r="S3" s="3"/>
      <c r="T3" s="3"/>
      <c r="U3" s="3"/>
      <c r="V3">
        <v>0</v>
      </c>
      <c r="W3" s="17">
        <f>IF(B3&lt;='Input sheet(dashboard)'!$D$27*12,J3-I3+V3-N3,0)</f>
        <v>886853</v>
      </c>
      <c r="AH3" s="3">
        <f>IF(B3&lt;='Input sheet(dashboard)'!$D$27*12,'Input sheet(dashboard)'!$D$3*(1-'Input sheet(dashboard)'!$D$4)," ")</f>
        <v>886852.99999999977</v>
      </c>
    </row>
    <row r="4" spans="2:38">
      <c r="B4">
        <f t="shared" ref="B4:B67" si="0">B3+1</f>
        <v>1</v>
      </c>
      <c r="C4" s="14">
        <v>1</v>
      </c>
      <c r="D4" s="14">
        <v>1</v>
      </c>
      <c r="E4" s="15">
        <f>IF(C4&lt;='Input sheet(dashboard)'!$D$6, -PMT('Input sheet(dashboard)'!$E$5,'Input sheet(dashboard)'!$D$6*12,'Input sheet(dashboard)'!$D$3*'Input sheet(dashboard)'!$D$4),0)</f>
        <v>39834.137922259193</v>
      </c>
      <c r="F4" s="3">
        <f>I3*'Input sheet(dashboard)'!$E$5</f>
        <v>29075.562279287315</v>
      </c>
      <c r="G4" s="3">
        <f>IF(C4&lt;='Input sheet(dashboard)'!$D$6,E4*'Input sheet(dashboard)'!$D$7,0)</f>
        <v>3186.7310337807357</v>
      </c>
      <c r="H4" s="3">
        <f t="shared" ref="H4:H67" si="1">E4-F4</f>
        <v>10758.575642971879</v>
      </c>
      <c r="I4" s="3">
        <f t="shared" ref="I4:I67" si="2">I3-H4</f>
        <v>7970918.4243570277</v>
      </c>
      <c r="J4" s="3">
        <f>IF(B4&lt;='Input sheet(dashboard)'!$D$27*12,'Input sheet(dashboard)'!$D$3*(1+'Input sheet(dashboard)'!$E$24)^B4,0)</f>
        <v>8904661.4889989998</v>
      </c>
      <c r="K4" s="3">
        <f>IF(B4&lt;='Input sheet(dashboard)'!$D$27*12,J4*'Input sheet(dashboard)'!$E$8,0)</f>
        <v>9222.9676494686573</v>
      </c>
      <c r="L4" s="3">
        <f>IF(B4&lt;='Input sheet(dashboard)'!$D$27*12,'Input sheet(dashboard)'!$D$9*(1+'Input sheet(dashboard)'!$E$22)^B4,0)</f>
        <v>3006.1795088095282</v>
      </c>
      <c r="M4" s="3">
        <f>IF(B4=1,'Input sheet(dashboard)'!$D$3*'Input sheet(dashboard)'!$D$10,0)</f>
        <v>88685.3</v>
      </c>
      <c r="N4" s="3">
        <f>IF(B4='Input sheet(dashboard)'!$D$27*12,J4*'Input sheet(dashboard)'!$D$11,0)</f>
        <v>0</v>
      </c>
      <c r="O4" s="3">
        <f>IF(SUM(F4:F15)&gt;=150000,150000/12*'Input sheet(dashboard)'!$D$28,SUM(F4:F15)/12*'Input sheet(dashboard)'!$D$28)</f>
        <v>1875</v>
      </c>
      <c r="P4" s="3"/>
      <c r="Q4" s="3">
        <f>IF(B4&lt;='Input sheet(dashboard)'!$D$27*12,'Input sheet(dashboard)'!$D$12/12,0)</f>
        <v>192.5</v>
      </c>
      <c r="R4" s="3">
        <f>IF(B4&lt;='Input sheet(dashboard)'!$D$27*12,('Input sheet(dashboard)'!$D$15/12)*(1+'Input sheet(dashboard)'!$E$22)^Calculations!B4,0)</f>
        <v>334.01994542328089</v>
      </c>
      <c r="S4" s="3">
        <f>IF(B4&lt;='Input sheet(dashboard)'!$D$27*12,(E4+G4+K4+L4-O4+M4+Q4+R4),0)</f>
        <v>142586.83605974141</v>
      </c>
      <c r="T4" s="3"/>
      <c r="U4" s="3">
        <f>IF(B4&lt;='Input sheet(dashboard)'!$D$27*12,IF(S4&lt;AD4,AD4-S4,0),0)</f>
        <v>0</v>
      </c>
      <c r="V4" s="3">
        <f>IF(B4&lt;='Input sheet(dashboard)'!$D$27*12,V3*(1+'Input sheet(dashboard)'!$E$25)+U4,0)</f>
        <v>0</v>
      </c>
      <c r="W4" s="17">
        <f>IF(B4&lt;='Input sheet(dashboard)'!$D$27*12,J4-I4+V4-N4,0)</f>
        <v>933743.06464197207</v>
      </c>
      <c r="X4" s="3">
        <f>IF(B4&lt;='Input sheet(dashboard)'!$D$27*12,'Input sheet(dashboard)'!$D$17*(1+'Input sheet(dashboard)'!$E$23)^(B4-1),0)</f>
        <v>25905</v>
      </c>
      <c r="Y4" s="3"/>
      <c r="Z4" s="17"/>
      <c r="AA4" s="17"/>
      <c r="AB4" s="3">
        <f>IF(B4=1,'Input sheet(dashboard)'!$D$18*Calculations!X4,IF(Calculations!B4=12*'Input sheet(dashboard)'!$D$27,'Input sheet(dashboard)'!$D$18*-Calculations!X4,0))</f>
        <v>51810</v>
      </c>
      <c r="AD4" s="17">
        <f t="shared" ref="AD4:AD67" si="3">X4+Y4+AB4+AC4</f>
        <v>77715</v>
      </c>
      <c r="AE4" s="17"/>
      <c r="AF4" s="17">
        <f t="shared" ref="AF4:AF67" si="4">S4-AD4</f>
        <v>64871.836059741414</v>
      </c>
      <c r="AG4" s="17">
        <f t="shared" ref="AG4:AG67" si="5">IF(AF4&gt;0,AF4,0)</f>
        <v>64871.836059741414</v>
      </c>
      <c r="AH4" s="3">
        <f>IF(B4&lt;='Input sheet(dashboard)'!$D$27*12,AH3*(1+'Input sheet(dashboard)'!$E$25)+AG4," ")</f>
        <v>957430.87496488809</v>
      </c>
    </row>
    <row r="5" spans="2:38">
      <c r="B5">
        <f t="shared" si="0"/>
        <v>2</v>
      </c>
      <c r="C5" s="14">
        <v>1</v>
      </c>
      <c r="D5" s="14">
        <v>2</v>
      </c>
      <c r="E5" s="15">
        <f>IF(C5&lt;='Input sheet(dashboard)'!$D$6, -PMT('Input sheet(dashboard)'!$E$5,'Input sheet(dashboard)'!$D$6*12,'Input sheet(dashboard)'!$D$3*'Input sheet(dashboard)'!$D$4),0)</f>
        <v>39834.137922259193</v>
      </c>
      <c r="F5" s="3">
        <f>I4*'Input sheet(dashboard)'!$E$5</f>
        <v>29036.371062185484</v>
      </c>
      <c r="G5" s="3">
        <f>IF(C5&lt;='Input sheet(dashboard)'!$D$6,E5*'Input sheet(dashboard)'!$D$7,0)</f>
        <v>3186.7310337807357</v>
      </c>
      <c r="H5" s="3">
        <f t="shared" si="1"/>
        <v>10797.766860073709</v>
      </c>
      <c r="I5" s="3">
        <f t="shared" si="2"/>
        <v>7960120.6574969543</v>
      </c>
      <c r="J5" s="3">
        <f>IF(B5&lt;='Input sheet(dashboard)'!$D$27*12,'Input sheet(dashboard)'!$D$3*(1+'Input sheet(dashboard)'!$E$24)^B5,0)</f>
        <v>8940940.1821566671</v>
      </c>
      <c r="K5" s="3">
        <f>IF(B5&lt;='Input sheet(dashboard)'!$D$27*12,J5*'Input sheet(dashboard)'!$E$8,0)</f>
        <v>9260.5431613251767</v>
      </c>
      <c r="L5" s="3">
        <f>IF(B5&lt;='Input sheet(dashboard)'!$D$27*12,'Input sheet(dashboard)'!$D$9*(1+'Input sheet(dashboard)'!$E$22)^B5,0)</f>
        <v>3012.3717463954322</v>
      </c>
      <c r="M5" s="3">
        <f>IF(B5=1,'Input sheet(dashboard)'!$D$3*'Input sheet(dashboard)'!$D$10,0)</f>
        <v>0</v>
      </c>
      <c r="N5" s="3">
        <f>IF(B5='Input sheet(dashboard)'!$D$27*12,J5*'Input sheet(dashboard)'!$D$11,0)</f>
        <v>0</v>
      </c>
      <c r="O5" s="3">
        <f>IF(SUM(F5:F16)&gt;=150000,150000/12*'Input sheet(dashboard)'!$D$28,SUM(F5:F16)/12*'Input sheet(dashboard)'!$D$28)</f>
        <v>1875</v>
      </c>
      <c r="P5" s="3"/>
      <c r="Q5" s="3">
        <f>IF(B5&lt;='Input sheet(dashboard)'!$D$27*12,'Input sheet(dashboard)'!$D$12/12,0)</f>
        <v>192.5</v>
      </c>
      <c r="R5" s="3">
        <f>IF(B5&lt;='Input sheet(dashboard)'!$D$27*12,('Input sheet(dashboard)'!$D$15/12)*(1+'Input sheet(dashboard)'!$E$22)^Calculations!B5,0)</f>
        <v>334.70797182171464</v>
      </c>
      <c r="S5" s="3">
        <f>IF(B5&lt;='Input sheet(dashboard)'!$D$27*12,(E5+G5+K5+L5-O5+M5+Q5+R5),0)</f>
        <v>53945.991835582252</v>
      </c>
      <c r="T5" s="3"/>
      <c r="U5" s="3">
        <f>IF(B5&lt;='Input sheet(dashboard)'!$D$27*12,IF(S5&lt;AD5,AD5-S5,0),0)</f>
        <v>0</v>
      </c>
      <c r="V5" s="3">
        <f>IF(B5&lt;='Input sheet(dashboard)'!$D$27*12,V4*(1+'Input sheet(dashboard)'!$E$25)+U5,0)</f>
        <v>0</v>
      </c>
      <c r="W5" s="17">
        <f>IF(B5&lt;='Input sheet(dashboard)'!$D$27*12,J5-I5+V5-N5,0)</f>
        <v>980819.5246597128</v>
      </c>
      <c r="X5" s="3">
        <f>IF(B5&lt;='Input sheet(dashboard)'!$D$27*12,'Input sheet(dashboard)'!$D$17*(1+'Input sheet(dashboard)'!$E$23)^(B5-1),0)</f>
        <v>26010.54017661541</v>
      </c>
      <c r="Y5" s="3"/>
      <c r="Z5" s="18"/>
      <c r="AA5" s="18"/>
      <c r="AB5" s="3">
        <f>IF(B5=1,'Input sheet(dashboard)'!$D$18*Calculations!X5,IF(Calculations!B5=12*'Input sheet(dashboard)'!$D$27,'Input sheet(dashboard)'!$D$18*-Calculations!X5,0))</f>
        <v>0</v>
      </c>
      <c r="AC5" s="3">
        <f>IF(B5&lt;='Input sheet(dashboard)'!$D$27*12,IF(MOD(B4,'Input sheet(dashboard)'!$D$19*12),0,'Input sheet(dashboard)'!$D$20*(1+'Input sheet(dashboard)'!$E$22)^Calculations!B5),0)</f>
        <v>0</v>
      </c>
      <c r="AD5" s="17">
        <f t="shared" si="3"/>
        <v>26010.54017661541</v>
      </c>
      <c r="AE5" s="17"/>
      <c r="AF5" s="17">
        <f t="shared" si="4"/>
        <v>27935.451658966842</v>
      </c>
      <c r="AG5" s="17">
        <f t="shared" si="5"/>
        <v>27935.451658966842</v>
      </c>
      <c r="AH5" s="3">
        <f>IF(B5&lt;='Input sheet(dashboard)'!$D$27*12,AH4*(1+'Input sheet(dashboard)'!$E$25)+AG5," ")</f>
        <v>991526.46570162592</v>
      </c>
    </row>
    <row r="6" spans="2:38">
      <c r="B6">
        <f t="shared" si="0"/>
        <v>3</v>
      </c>
      <c r="C6" s="14">
        <v>1</v>
      </c>
      <c r="D6" s="14">
        <v>3</v>
      </c>
      <c r="E6" s="15">
        <f>IF(C6&lt;='Input sheet(dashboard)'!$D$6, -PMT('Input sheet(dashboard)'!$E$5,'Input sheet(dashboard)'!$D$6*12,'Input sheet(dashboard)'!$D$3*'Input sheet(dashboard)'!$D$4),0)</f>
        <v>39834.137922259193</v>
      </c>
      <c r="F6" s="3">
        <f>I5*'Input sheet(dashboard)'!$E$5</f>
        <v>28997.037079763333</v>
      </c>
      <c r="G6" s="3">
        <f>IF(C6&lt;='Input sheet(dashboard)'!$D$6,E6*'Input sheet(dashboard)'!$D$7,0)</f>
        <v>3186.7310337807357</v>
      </c>
      <c r="H6" s="3">
        <f t="shared" si="1"/>
        <v>10837.10084249586</v>
      </c>
      <c r="I6" s="3">
        <f t="shared" si="2"/>
        <v>7949283.5566544589</v>
      </c>
      <c r="J6" s="3">
        <f>IF(B6&lt;='Input sheet(dashboard)'!$D$27*12,'Input sheet(dashboard)'!$D$3*(1+'Input sheet(dashboard)'!$E$24)^B6,0)</f>
        <v>8977366.6792009696</v>
      </c>
      <c r="K6" s="3">
        <f>IF(B6&lt;='Input sheet(dashboard)'!$D$27*12,J6*'Input sheet(dashboard)'!$E$8,0)</f>
        <v>9298.2717604682348</v>
      </c>
      <c r="L6" s="3">
        <f>IF(B6&lt;='Input sheet(dashboard)'!$D$27*12,'Input sheet(dashboard)'!$D$9*(1+'Input sheet(dashboard)'!$E$22)^B6,0)</f>
        <v>3018.5767389769071</v>
      </c>
      <c r="M6" s="3">
        <f>IF(B6=1,'Input sheet(dashboard)'!$D$3*'Input sheet(dashboard)'!$D$10,0)</f>
        <v>0</v>
      </c>
      <c r="N6" s="3">
        <f>IF(B6='Input sheet(dashboard)'!$D$27*12,J6*'Input sheet(dashboard)'!$D$11,0)</f>
        <v>0</v>
      </c>
      <c r="O6" s="3">
        <f>IF(SUM(F6:F17)&gt;=150000,150000/12*'Input sheet(dashboard)'!$D$28,SUM(F6:F17)/12*'Input sheet(dashboard)'!$D$28)</f>
        <v>1875</v>
      </c>
      <c r="P6" s="3"/>
      <c r="Q6" s="3">
        <f>IF(B6&lt;='Input sheet(dashboard)'!$D$27*12,'Input sheet(dashboard)'!$D$12/12,0)</f>
        <v>192.5</v>
      </c>
      <c r="R6" s="3">
        <f>IF(B6&lt;='Input sheet(dashboard)'!$D$27*12,('Input sheet(dashboard)'!$D$15/12)*(1+'Input sheet(dashboard)'!$E$22)^Calculations!B6,0)</f>
        <v>335.39741544187854</v>
      </c>
      <c r="S6" s="3">
        <f>IF(B6&lt;='Input sheet(dashboard)'!$D$27*12,(E6+G6+K6+L6-O6+M6+Q6+R6),0)</f>
        <v>53990.614870926947</v>
      </c>
      <c r="T6" s="3"/>
      <c r="U6" s="3">
        <f>IF(B6&lt;='Input sheet(dashboard)'!$D$27*12,IF(S6&lt;AD6,AD6-S6,0),0)</f>
        <v>0</v>
      </c>
      <c r="V6" s="3">
        <f>IF(B6&lt;='Input sheet(dashboard)'!$D$27*12,V5*(1+'Input sheet(dashboard)'!$E$25)+U6,0)</f>
        <v>0</v>
      </c>
      <c r="W6" s="17">
        <f>IF(B6&lt;='Input sheet(dashboard)'!$D$27*12,J6-I6+V6-N6,0)</f>
        <v>1028083.1225465108</v>
      </c>
      <c r="X6" s="3">
        <f>IF(B6&lt;='Input sheet(dashboard)'!$D$27*12,'Input sheet(dashboard)'!$D$17*(1+'Input sheet(dashboard)'!$E$23)^(B6-1),0)</f>
        <v>26116.510336974501</v>
      </c>
      <c r="Y6" s="3"/>
      <c r="Z6" s="18"/>
      <c r="AA6" s="18"/>
      <c r="AB6" s="3">
        <f>IF(B6=1,'Input sheet(dashboard)'!$D$18*Calculations!X6,IF(Calculations!B6=12*'Input sheet(dashboard)'!$D$27,'Input sheet(dashboard)'!$D$18*-Calculations!X6,0))</f>
        <v>0</v>
      </c>
      <c r="AC6" s="3">
        <f>IF(B6&lt;='Input sheet(dashboard)'!$D$27*12,IF(MOD(B5,'Input sheet(dashboard)'!$D$19*12),0,'Input sheet(dashboard)'!$D$20*(1+'Input sheet(dashboard)'!$E$22)^Calculations!B6),0)</f>
        <v>0</v>
      </c>
      <c r="AD6" s="17">
        <f t="shared" si="3"/>
        <v>26116.510336974501</v>
      </c>
      <c r="AE6" s="17"/>
      <c r="AF6" s="17">
        <f t="shared" si="4"/>
        <v>27874.104533952446</v>
      </c>
      <c r="AG6" s="17">
        <f t="shared" si="5"/>
        <v>27874.104533952446</v>
      </c>
      <c r="AH6" s="3">
        <f>IF(B6&lt;='Input sheet(dashboard)'!$D$27*12,AH5*(1+'Input sheet(dashboard)'!$E$25)+AG6," ")</f>
        <v>1025780.0813707679</v>
      </c>
    </row>
    <row r="7" spans="2:38">
      <c r="B7">
        <f t="shared" si="0"/>
        <v>4</v>
      </c>
      <c r="C7" s="14">
        <v>1</v>
      </c>
      <c r="D7" s="14">
        <v>4</v>
      </c>
      <c r="E7" s="15">
        <f>IF(C7&lt;='Input sheet(dashboard)'!$D$6, -PMT('Input sheet(dashboard)'!$E$5,'Input sheet(dashboard)'!$D$6*12,'Input sheet(dashboard)'!$D$3*'Input sheet(dashboard)'!$D$4),0)</f>
        <v>39834.137922259193</v>
      </c>
      <c r="F7" s="3">
        <f>I6*'Input sheet(dashboard)'!$E$5</f>
        <v>28957.559811956969</v>
      </c>
      <c r="G7" s="3">
        <f>IF(C7&lt;='Input sheet(dashboard)'!$D$6,E7*'Input sheet(dashboard)'!$D$7,0)</f>
        <v>3186.7310337807357</v>
      </c>
      <c r="H7" s="3">
        <f t="shared" si="1"/>
        <v>10876.578110302224</v>
      </c>
      <c r="I7" s="3">
        <f t="shared" si="2"/>
        <v>7938406.978544157</v>
      </c>
      <c r="J7" s="3">
        <f>IF(B7&lt;='Input sheet(dashboard)'!$D$27*12,'Input sheet(dashboard)'!$D$3*(1+'Input sheet(dashboard)'!$E$24)^B7,0)</f>
        <v>9013941.5823032353</v>
      </c>
      <c r="K7" s="3">
        <f>IF(B7&lt;='Input sheet(dashboard)'!$D$27*12,J7*'Input sheet(dashboard)'!$E$8,0)</f>
        <v>9336.1540705943844</v>
      </c>
      <c r="L7" s="3">
        <f>IF(B7&lt;='Input sheet(dashboard)'!$D$27*12,'Input sheet(dashboard)'!$D$9*(1+'Input sheet(dashboard)'!$E$22)^B7,0)</f>
        <v>3024.7945128271554</v>
      </c>
      <c r="M7" s="3">
        <f>IF(B7=1,'Input sheet(dashboard)'!$D$3*'Input sheet(dashboard)'!$D$10,0)</f>
        <v>0</v>
      </c>
      <c r="N7" s="3">
        <f>IF(B7='Input sheet(dashboard)'!$D$27*12,J7*'Input sheet(dashboard)'!$D$11,0)</f>
        <v>0</v>
      </c>
      <c r="O7" s="3">
        <f>IF(SUM(F7:F18)&gt;=150000,150000/12*'Input sheet(dashboard)'!$D$28,SUM(F7:F18)/12*'Input sheet(dashboard)'!$D$28)</f>
        <v>1875</v>
      </c>
      <c r="P7" s="3"/>
      <c r="Q7" s="3">
        <f>IF(B7&lt;='Input sheet(dashboard)'!$D$27*12,'Input sheet(dashboard)'!$D$12/12,0)</f>
        <v>192.5</v>
      </c>
      <c r="R7" s="3">
        <f>IF(B7&lt;='Input sheet(dashboard)'!$D$27*12,('Input sheet(dashboard)'!$D$15/12)*(1+'Input sheet(dashboard)'!$E$22)^Calculations!B7,0)</f>
        <v>336.08827920301724</v>
      </c>
      <c r="S7" s="3">
        <f>IF(B7&lt;='Input sheet(dashboard)'!$D$27*12,(E7+G7+K7+L7-O7+M7+Q7+R7),0)</f>
        <v>54035.405818664483</v>
      </c>
      <c r="T7" s="3"/>
      <c r="U7" s="3">
        <f>IF(B7&lt;='Input sheet(dashboard)'!$D$27*12,IF(S7&lt;AD7,AD7-S7,0),0)</f>
        <v>0</v>
      </c>
      <c r="V7" s="3">
        <f>IF(B7&lt;='Input sheet(dashboard)'!$D$27*12,V6*(1+'Input sheet(dashboard)'!$E$25)+U7,0)</f>
        <v>0</v>
      </c>
      <c r="W7" s="17">
        <f>IF(B7&lt;='Input sheet(dashboard)'!$D$27*12,J7-I7+V7-N7,0)</f>
        <v>1075534.6037590783</v>
      </c>
      <c r="X7" s="3">
        <f>IF(B7&lt;='Input sheet(dashboard)'!$D$27*12,'Input sheet(dashboard)'!$D$17*(1+'Input sheet(dashboard)'!$E$23)^(B7-1),0)</f>
        <v>26222.912232884271</v>
      </c>
      <c r="Y7" s="3"/>
      <c r="Z7" s="18"/>
      <c r="AA7" s="18"/>
      <c r="AB7" s="3">
        <f>IF(B7=1,'Input sheet(dashboard)'!$D$18*Calculations!X7,IF(Calculations!B7=12*'Input sheet(dashboard)'!$D$27,'Input sheet(dashboard)'!$D$18*-Calculations!X7,0))</f>
        <v>0</v>
      </c>
      <c r="AC7" s="3">
        <f>IF(B7&lt;='Input sheet(dashboard)'!$D$27*12,IF(MOD(B6,'Input sheet(dashboard)'!$D$19*12),0,'Input sheet(dashboard)'!$D$20*(1+'Input sheet(dashboard)'!$E$22)^Calculations!B7),0)</f>
        <v>0</v>
      </c>
      <c r="AD7" s="17">
        <f t="shared" si="3"/>
        <v>26222.912232884271</v>
      </c>
      <c r="AE7" s="17"/>
      <c r="AF7" s="17">
        <f t="shared" si="4"/>
        <v>27812.493585780212</v>
      </c>
      <c r="AG7" s="17">
        <f t="shared" si="5"/>
        <v>27812.493585780212</v>
      </c>
      <c r="AH7" s="3">
        <f>IF(B7&lt;='Input sheet(dashboard)'!$D$27*12,AH6*(1+'Input sheet(dashboard)'!$E$25)+AG7," ")</f>
        <v>1060192.4748863294</v>
      </c>
    </row>
    <row r="8" spans="2:38">
      <c r="B8">
        <f t="shared" si="0"/>
        <v>5</v>
      </c>
      <c r="C8" s="14">
        <v>1</v>
      </c>
      <c r="D8" s="14">
        <v>5</v>
      </c>
      <c r="E8" s="15">
        <f>IF(C8&lt;='Input sheet(dashboard)'!$D$6, -PMT('Input sheet(dashboard)'!$E$5,'Input sheet(dashboard)'!$D$6*12,'Input sheet(dashboard)'!$D$3*'Input sheet(dashboard)'!$D$4),0)</f>
        <v>39834.137922259193</v>
      </c>
      <c r="F8" s="3">
        <f>I7*'Input sheet(dashboard)'!$E$5</f>
        <v>28917.938736808024</v>
      </c>
      <c r="G8" s="3">
        <f>IF(C8&lt;='Input sheet(dashboard)'!$D$6,E8*'Input sheet(dashboard)'!$D$7,0)</f>
        <v>3186.7310337807357</v>
      </c>
      <c r="H8" s="3">
        <f t="shared" si="1"/>
        <v>10916.199185451169</v>
      </c>
      <c r="I8" s="3">
        <f t="shared" si="2"/>
        <v>7927490.7793587055</v>
      </c>
      <c r="J8" s="3">
        <f>IF(B8&lt;='Input sheet(dashboard)'!$D$27*12,'Input sheet(dashboard)'!$D$3*(1+'Input sheet(dashboard)'!$E$24)^B8,0)</f>
        <v>9050665.4960881136</v>
      </c>
      <c r="K8" s="3">
        <f>IF(B8&lt;='Input sheet(dashboard)'!$D$27*12,J8*'Input sheet(dashboard)'!$E$8,0)</f>
        <v>9374.1907179411974</v>
      </c>
      <c r="L8" s="3">
        <f>IF(B8&lt;='Input sheet(dashboard)'!$D$27*12,'Input sheet(dashboard)'!$D$9*(1+'Input sheet(dashboard)'!$E$22)^B8,0)</f>
        <v>3031.0250942734979</v>
      </c>
      <c r="M8" s="3">
        <f>IF(B8=1,'Input sheet(dashboard)'!$D$3*'Input sheet(dashboard)'!$D$10,0)</f>
        <v>0</v>
      </c>
      <c r="N8" s="3">
        <f>IF(B8='Input sheet(dashboard)'!$D$27*12,J8*'Input sheet(dashboard)'!$D$11,0)</f>
        <v>0</v>
      </c>
      <c r="O8" s="3">
        <f>IF(SUM(F8:F19)&gt;=150000,150000/12*'Input sheet(dashboard)'!$D$28,SUM(F8:F19)/12*'Input sheet(dashboard)'!$D$28)</f>
        <v>1875</v>
      </c>
      <c r="P8" s="3"/>
      <c r="Q8" s="3">
        <f>IF(B8&lt;='Input sheet(dashboard)'!$D$27*12,'Input sheet(dashboard)'!$D$12/12,0)</f>
        <v>192.5</v>
      </c>
      <c r="R8" s="3">
        <f>IF(B8&lt;='Input sheet(dashboard)'!$D$27*12,('Input sheet(dashboard)'!$D$15/12)*(1+'Input sheet(dashboard)'!$E$22)^Calculations!B8,0)</f>
        <v>336.78056603038863</v>
      </c>
      <c r="S8" s="3">
        <f>IF(B8&lt;='Input sheet(dashboard)'!$D$27*12,(E8+G8+K8+L8-O8+M8+Q8+R8),0)</f>
        <v>54080.365334285016</v>
      </c>
      <c r="T8" s="3"/>
      <c r="U8" s="3">
        <f>IF(B8&lt;='Input sheet(dashboard)'!$D$27*12,IF(S8&lt;AD8,AD8-S8,0),0)</f>
        <v>0</v>
      </c>
      <c r="V8" s="3">
        <f>IF(B8&lt;='Input sheet(dashboard)'!$D$27*12,V7*(1+'Input sheet(dashboard)'!$E$25)+U8,0)</f>
        <v>0</v>
      </c>
      <c r="W8" s="17">
        <f>IF(B8&lt;='Input sheet(dashboard)'!$D$27*12,J8-I8+V8-N8,0)</f>
        <v>1123174.7167294081</v>
      </c>
      <c r="X8" s="3">
        <f>IF(B8&lt;='Input sheet(dashboard)'!$D$27*12,'Input sheet(dashboard)'!$D$17*(1+'Input sheet(dashboard)'!$E$23)^(B8-1),0)</f>
        <v>26329.747623288786</v>
      </c>
      <c r="Y8" s="3"/>
      <c r="Z8" s="18"/>
      <c r="AA8" s="18"/>
      <c r="AB8" s="3">
        <f>IF(B8=1,'Input sheet(dashboard)'!$D$18*Calculations!X8,IF(Calculations!B8=12*'Input sheet(dashboard)'!$D$27,'Input sheet(dashboard)'!$D$18*-Calculations!X8,0))</f>
        <v>0</v>
      </c>
      <c r="AC8" s="3">
        <f>IF(B8&lt;='Input sheet(dashboard)'!$D$27*12,IF(MOD(B7,'Input sheet(dashboard)'!$D$19*12),0,'Input sheet(dashboard)'!$D$20*(1+'Input sheet(dashboard)'!$E$22)^Calculations!B8),0)</f>
        <v>0</v>
      </c>
      <c r="AD8" s="17">
        <f t="shared" si="3"/>
        <v>26329.747623288786</v>
      </c>
      <c r="AE8" s="17"/>
      <c r="AF8" s="17">
        <f t="shared" si="4"/>
        <v>27750.61771099623</v>
      </c>
      <c r="AG8" s="17">
        <f t="shared" si="5"/>
        <v>27750.61771099623</v>
      </c>
      <c r="AH8" s="3">
        <f>IF(B8&lt;='Input sheet(dashboard)'!$D$27*12,AH7*(1+'Input sheet(dashboard)'!$E$25)+AG8," ")</f>
        <v>1094764.4029031433</v>
      </c>
    </row>
    <row r="9" spans="2:38">
      <c r="B9">
        <f t="shared" si="0"/>
        <v>6</v>
      </c>
      <c r="C9" s="14">
        <v>1</v>
      </c>
      <c r="D9" s="14">
        <v>6</v>
      </c>
      <c r="E9" s="15">
        <f>IF(C9&lt;='Input sheet(dashboard)'!$D$6, -PMT('Input sheet(dashboard)'!$E$5,'Input sheet(dashboard)'!$D$6*12,'Input sheet(dashboard)'!$D$3*'Input sheet(dashboard)'!$D$4),0)</f>
        <v>39834.137922259193</v>
      </c>
      <c r="F9" s="3">
        <f>I8*'Input sheet(dashboard)'!$E$5</f>
        <v>28878.173330456739</v>
      </c>
      <c r="G9" s="3">
        <f>IF(C9&lt;='Input sheet(dashboard)'!$D$6,E9*'Input sheet(dashboard)'!$D$7,0)</f>
        <v>3186.7310337807357</v>
      </c>
      <c r="H9" s="3">
        <f t="shared" si="1"/>
        <v>10955.964591802454</v>
      </c>
      <c r="I9" s="3">
        <f t="shared" si="2"/>
        <v>7916534.8147669034</v>
      </c>
      <c r="J9" s="3">
        <f>IF(B9&lt;='Input sheet(dashboard)'!$D$27*12,'Input sheet(dashboard)'!$D$3*(1+'Input sheet(dashboard)'!$E$24)^B9,0)</f>
        <v>9087539.0276435725</v>
      </c>
      <c r="K9" s="3">
        <f>IF(B9&lt;='Input sheet(dashboard)'!$D$27*12,J9*'Input sheet(dashboard)'!$E$8,0)</f>
        <v>9412.3823312976183</v>
      </c>
      <c r="L9" s="3">
        <f>IF(B9&lt;='Input sheet(dashboard)'!$D$27*12,'Input sheet(dashboard)'!$D$9*(1+'Input sheet(dashboard)'!$E$22)^B9,0)</f>
        <v>3037.2685096974856</v>
      </c>
      <c r="M9" s="3">
        <f>IF(B9=1,'Input sheet(dashboard)'!$D$3*'Input sheet(dashboard)'!$D$10,0)</f>
        <v>0</v>
      </c>
      <c r="N9" s="3">
        <f>IF(B9='Input sheet(dashboard)'!$D$27*12,J9*'Input sheet(dashboard)'!$D$11,0)</f>
        <v>0</v>
      </c>
      <c r="O9" s="3">
        <f>IF(SUM(F9:F20)&gt;=150000,150000/12*'Input sheet(dashboard)'!$D$28,SUM(F9:F20)/12*'Input sheet(dashboard)'!$D$28)</f>
        <v>1875</v>
      </c>
      <c r="P9" s="3"/>
      <c r="Q9" s="3">
        <f>IF(B9&lt;='Input sheet(dashboard)'!$D$27*12,'Input sheet(dashboard)'!$D$12/12,0)</f>
        <v>192.5</v>
      </c>
      <c r="R9" s="3">
        <f>IF(B9&lt;='Input sheet(dashboard)'!$D$27*12,('Input sheet(dashboard)'!$D$15/12)*(1+'Input sheet(dashboard)'!$E$22)^Calculations!B9,0)</f>
        <v>337.47427885527617</v>
      </c>
      <c r="S9" s="3">
        <f>IF(B9&lt;='Input sheet(dashboard)'!$D$27*12,(E9+G9+K9+L9-O9+M9+Q9+R9),0)</f>
        <v>54125.494075890303</v>
      </c>
      <c r="T9" s="3"/>
      <c r="U9" s="3">
        <f>IF(B9&lt;='Input sheet(dashboard)'!$D$27*12,IF(S9&lt;AD9,AD9-S9,0),0)</f>
        <v>0</v>
      </c>
      <c r="V9" s="3">
        <f>IF(B9&lt;='Input sheet(dashboard)'!$D$27*12,V8*(1+'Input sheet(dashboard)'!$E$25)+U9,0)</f>
        <v>0</v>
      </c>
      <c r="W9" s="17">
        <f>IF(B9&lt;='Input sheet(dashboard)'!$D$27*12,J9-I9+V9-N9,0)</f>
        <v>1171004.2128766691</v>
      </c>
      <c r="X9" s="3">
        <f>IF(B9&lt;='Input sheet(dashboard)'!$D$27*12,'Input sheet(dashboard)'!$D$17*(1+'Input sheet(dashboard)'!$E$23)^(B9-1),0)</f>
        <v>26437.018274298287</v>
      </c>
      <c r="Y9" s="3"/>
      <c r="Z9" s="18"/>
      <c r="AA9" s="18"/>
      <c r="AB9" s="3">
        <f>IF(B9=1,'Input sheet(dashboard)'!$D$18*Calculations!X9,IF(Calculations!B9=12*'Input sheet(dashboard)'!$D$27,'Input sheet(dashboard)'!$D$18*-Calculations!X9,0))</f>
        <v>0</v>
      </c>
      <c r="AC9" s="3">
        <f>IF(B9&lt;='Input sheet(dashboard)'!$D$27*12,IF(MOD(B8,'Input sheet(dashboard)'!$D$19*12),0,'Input sheet(dashboard)'!$D$20*(1+'Input sheet(dashboard)'!$E$22)^Calculations!B9),0)</f>
        <v>0</v>
      </c>
      <c r="AD9" s="17">
        <f t="shared" si="3"/>
        <v>26437.018274298287</v>
      </c>
      <c r="AE9" s="17"/>
      <c r="AF9" s="17">
        <f t="shared" si="4"/>
        <v>27688.475801592016</v>
      </c>
      <c r="AG9" s="17">
        <f t="shared" si="5"/>
        <v>27688.475801592016</v>
      </c>
      <c r="AH9" s="3">
        <f>IF(B9&lt;='Input sheet(dashboard)'!$D$27*12,AH8*(1+'Input sheet(dashboard)'!$E$25)+AG9," ")</f>
        <v>1129496.625836374</v>
      </c>
    </row>
    <row r="10" spans="2:38">
      <c r="B10">
        <f t="shared" si="0"/>
        <v>7</v>
      </c>
      <c r="C10" s="14">
        <v>1</v>
      </c>
      <c r="D10" s="14">
        <v>7</v>
      </c>
      <c r="E10" s="15">
        <f>IF(C10&lt;='Input sheet(dashboard)'!$D$6, -PMT('Input sheet(dashboard)'!$E$5,'Input sheet(dashboard)'!$D$6*12,'Input sheet(dashboard)'!$D$3*'Input sheet(dashboard)'!$D$4),0)</f>
        <v>39834.137922259193</v>
      </c>
      <c r="F10" s="3">
        <f>I9*'Input sheet(dashboard)'!$E$5</f>
        <v>28838.26306713506</v>
      </c>
      <c r="G10" s="3">
        <f>IF(C10&lt;='Input sheet(dashboard)'!$D$6,E10*'Input sheet(dashboard)'!$D$7,0)</f>
        <v>3186.7310337807357</v>
      </c>
      <c r="H10" s="3">
        <f t="shared" si="1"/>
        <v>10995.874855124133</v>
      </c>
      <c r="I10" s="3">
        <f t="shared" si="2"/>
        <v>7905538.939911779</v>
      </c>
      <c r="J10" s="3">
        <f>IF(B10&lt;='Input sheet(dashboard)'!$D$27*12,'Input sheet(dashboard)'!$D$3*(1+'Input sheet(dashboard)'!$E$24)^B10,0)</f>
        <v>9124562.7865309268</v>
      </c>
      <c r="K10" s="3">
        <f>IF(B10&lt;='Input sheet(dashboard)'!$D$27*12,J10*'Input sheet(dashboard)'!$E$8,0)</f>
        <v>9450.7295420143491</v>
      </c>
      <c r="L10" s="3">
        <f>IF(B10&lt;='Input sheet(dashboard)'!$D$27*12,'Input sheet(dashboard)'!$D$9*(1+'Input sheet(dashboard)'!$E$22)^B10,0)</f>
        <v>3043.5247855350121</v>
      </c>
      <c r="M10" s="3">
        <f>IF(B10=1,'Input sheet(dashboard)'!$D$3*'Input sheet(dashboard)'!$D$10,0)</f>
        <v>0</v>
      </c>
      <c r="N10" s="3">
        <f>IF(B10='Input sheet(dashboard)'!$D$27*12,J10*'Input sheet(dashboard)'!$D$11,0)</f>
        <v>0</v>
      </c>
      <c r="O10" s="3">
        <f>IF(SUM(F10:F21)&gt;=150000,150000/12*'Input sheet(dashboard)'!$D$28,SUM(F10:F21)/12*'Input sheet(dashboard)'!$D$28)</f>
        <v>1875</v>
      </c>
      <c r="P10" s="3"/>
      <c r="Q10" s="3">
        <f>IF(B10&lt;='Input sheet(dashboard)'!$D$27*12,'Input sheet(dashboard)'!$D$12/12,0)</f>
        <v>192.5</v>
      </c>
      <c r="R10" s="3">
        <f>IF(B10&lt;='Input sheet(dashboard)'!$D$27*12,('Input sheet(dashboard)'!$D$15/12)*(1+'Input sheet(dashboard)'!$E$22)^Calculations!B10,0)</f>
        <v>338.16942061500134</v>
      </c>
      <c r="S10" s="3">
        <f>IF(B10&lt;='Input sheet(dashboard)'!$D$27*12,(E10+G10+K10+L10-O10+M10+Q10+R10),0)</f>
        <v>54170.792704204287</v>
      </c>
      <c r="T10" s="3"/>
      <c r="U10" s="3">
        <f>IF(B10&lt;='Input sheet(dashboard)'!$D$27*12,IF(S10&lt;AD10,AD10-S10,0),0)</f>
        <v>0</v>
      </c>
      <c r="V10" s="3">
        <f>IF(B10&lt;='Input sheet(dashboard)'!$D$27*12,V9*(1+'Input sheet(dashboard)'!$E$25)+U10,0)</f>
        <v>0</v>
      </c>
      <c r="W10" s="17">
        <f>IF(B10&lt;='Input sheet(dashboard)'!$D$27*12,J10-I10+V10-N10,0)</f>
        <v>1219023.8466191478</v>
      </c>
      <c r="X10" s="3">
        <f>IF(B10&lt;='Input sheet(dashboard)'!$D$27*12,'Input sheet(dashboard)'!$D$17*(1+'Input sheet(dashboard)'!$E$23)^(B10-1),0)</f>
        <v>26544.725959218355</v>
      </c>
      <c r="Y10" s="3"/>
      <c r="Z10" s="18"/>
      <c r="AA10" s="18"/>
      <c r="AB10" s="3">
        <f>IF(B10=1,'Input sheet(dashboard)'!$D$18*Calculations!X10,IF(Calculations!B10=12*'Input sheet(dashboard)'!$D$27,'Input sheet(dashboard)'!$D$18*-Calculations!X10,0))</f>
        <v>0</v>
      </c>
      <c r="AC10" s="3">
        <f>IF(B10&lt;='Input sheet(dashboard)'!$D$27*12,IF(MOD(B9,'Input sheet(dashboard)'!$D$19*12),0,'Input sheet(dashboard)'!$D$20*(1+'Input sheet(dashboard)'!$E$22)^Calculations!B10),0)</f>
        <v>0</v>
      </c>
      <c r="AD10" s="17">
        <f t="shared" si="3"/>
        <v>26544.725959218355</v>
      </c>
      <c r="AE10" s="17"/>
      <c r="AF10" s="17">
        <f t="shared" si="4"/>
        <v>27626.066744985932</v>
      </c>
      <c r="AG10" s="17">
        <f t="shared" si="5"/>
        <v>27626.066744985932</v>
      </c>
      <c r="AH10" s="3">
        <f>IF(B10&lt;='Input sheet(dashboard)'!$D$27*12,AH9*(1+'Input sheet(dashboard)'!$E$25)+AG10," ")</f>
        <v>1164389.9078811386</v>
      </c>
    </row>
    <row r="11" spans="2:38">
      <c r="B11">
        <f t="shared" si="0"/>
        <v>8</v>
      </c>
      <c r="C11" s="14">
        <v>1</v>
      </c>
      <c r="D11" s="14">
        <v>8</v>
      </c>
      <c r="E11" s="15">
        <f>IF(C11&lt;='Input sheet(dashboard)'!$D$6, -PMT('Input sheet(dashboard)'!$E$5,'Input sheet(dashboard)'!$D$6*12,'Input sheet(dashboard)'!$D$3*'Input sheet(dashboard)'!$D$4),0)</f>
        <v>39834.137922259193</v>
      </c>
      <c r="F11" s="3">
        <f>I10*'Input sheet(dashboard)'!$E$5</f>
        <v>28798.207419159651</v>
      </c>
      <c r="G11" s="3">
        <f>IF(C11&lt;='Input sheet(dashboard)'!$D$6,E11*'Input sheet(dashboard)'!$D$7,0)</f>
        <v>3186.7310337807357</v>
      </c>
      <c r="H11" s="3">
        <f t="shared" si="1"/>
        <v>11035.930503099542</v>
      </c>
      <c r="I11" s="3">
        <f t="shared" si="2"/>
        <v>7894503.0094086798</v>
      </c>
      <c r="J11" s="3">
        <f>IF(B11&lt;='Input sheet(dashboard)'!$D$27*12,'Input sheet(dashboard)'!$D$3*(1+'Input sheet(dashboard)'!$E$24)^B11,0)</f>
        <v>9161737.3847949263</v>
      </c>
      <c r="K11" s="3">
        <f>IF(B11&lt;='Input sheet(dashboard)'!$D$27*12,J11*'Input sheet(dashboard)'!$E$8,0)</f>
        <v>9489.2329840142993</v>
      </c>
      <c r="L11" s="3">
        <f>IF(B11&lt;='Input sheet(dashboard)'!$D$27*12,'Input sheet(dashboard)'!$D$9*(1+'Input sheet(dashboard)'!$E$22)^B11,0)</f>
        <v>3049.7939482764223</v>
      </c>
      <c r="M11" s="3">
        <f>IF(B11=1,'Input sheet(dashboard)'!$D$3*'Input sheet(dashboard)'!$D$10,0)</f>
        <v>0</v>
      </c>
      <c r="N11" s="3">
        <f>IF(B11='Input sheet(dashboard)'!$D$27*12,J11*'Input sheet(dashboard)'!$D$11,0)</f>
        <v>0</v>
      </c>
      <c r="O11" s="3">
        <f>IF(SUM(F11:F22)&gt;=150000,150000/12*'Input sheet(dashboard)'!$D$28,SUM(F11:F22)/12*'Input sheet(dashboard)'!$D$28)</f>
        <v>1875</v>
      </c>
      <c r="P11" s="3"/>
      <c r="Q11" s="3">
        <f>IF(B11&lt;='Input sheet(dashboard)'!$D$27*12,'Input sheet(dashboard)'!$D$12/12,0)</f>
        <v>192.5</v>
      </c>
      <c r="R11" s="3">
        <f>IF(B11&lt;='Input sheet(dashboard)'!$D$27*12,('Input sheet(dashboard)'!$D$15/12)*(1+'Input sheet(dashboard)'!$E$22)^Calculations!B11,0)</f>
        <v>338.86599425293576</v>
      </c>
      <c r="S11" s="3">
        <f>IF(B11&lt;='Input sheet(dashboard)'!$D$27*12,(E11+G11+K11+L11-O11+M11+Q11+R11),0)</f>
        <v>54216.261882583582</v>
      </c>
      <c r="T11" s="3"/>
      <c r="U11" s="3">
        <f>IF(B11&lt;='Input sheet(dashboard)'!$D$27*12,IF(S11&lt;AD11,AD11-S11,0),0)</f>
        <v>0</v>
      </c>
      <c r="V11" s="3">
        <f>IF(B11&lt;='Input sheet(dashboard)'!$D$27*12,V10*(1+'Input sheet(dashboard)'!$E$25)+U11,0)</f>
        <v>0</v>
      </c>
      <c r="W11" s="17">
        <f>IF(B11&lt;='Input sheet(dashboard)'!$D$27*12,J11-I11+V11-N11,0)</f>
        <v>1267234.3753862465</v>
      </c>
      <c r="X11" s="3">
        <f>IF(B11&lt;='Input sheet(dashboard)'!$D$27*12,'Input sheet(dashboard)'!$D$17*(1+'Input sheet(dashboard)'!$E$23)^(B11-1),0)</f>
        <v>26652.87245857923</v>
      </c>
      <c r="Y11" s="3"/>
      <c r="Z11" s="18"/>
      <c r="AA11" s="18"/>
      <c r="AB11" s="3">
        <f>IF(B11=1,'Input sheet(dashboard)'!$D$18*Calculations!X11,IF(Calculations!B11=12*'Input sheet(dashboard)'!$D$27,'Input sheet(dashboard)'!$D$18*-Calculations!X11,0))</f>
        <v>0</v>
      </c>
      <c r="AC11" s="3">
        <f>IF(B11&lt;='Input sheet(dashboard)'!$D$27*12,IF(MOD(B10,'Input sheet(dashboard)'!$D$19*12),0,'Input sheet(dashboard)'!$D$20*(1+'Input sheet(dashboard)'!$E$22)^Calculations!B11),0)</f>
        <v>0</v>
      </c>
      <c r="AD11" s="17">
        <f t="shared" si="3"/>
        <v>26652.87245857923</v>
      </c>
      <c r="AE11" s="17"/>
      <c r="AF11" s="17">
        <f t="shared" si="4"/>
        <v>27563.389424004352</v>
      </c>
      <c r="AG11" s="17">
        <f t="shared" si="5"/>
        <v>27563.389424004352</v>
      </c>
      <c r="AH11" s="3">
        <f>IF(B11&lt;='Input sheet(dashboard)'!$D$27*12,AH10*(1+'Input sheet(dashboard)'!$E$25)+AG11," ")</f>
        <v>1199445.0170322342</v>
      </c>
    </row>
    <row r="12" spans="2:38">
      <c r="B12">
        <f t="shared" si="0"/>
        <v>9</v>
      </c>
      <c r="C12" s="14">
        <v>1</v>
      </c>
      <c r="D12" s="14">
        <v>9</v>
      </c>
      <c r="E12" s="15">
        <f>IF(C12&lt;='Input sheet(dashboard)'!$D$6, -PMT('Input sheet(dashboard)'!$E$5,'Input sheet(dashboard)'!$D$6*12,'Input sheet(dashboard)'!$D$3*'Input sheet(dashboard)'!$D$4),0)</f>
        <v>39834.137922259193</v>
      </c>
      <c r="F12" s="3">
        <f>I11*'Input sheet(dashboard)'!$E$5</f>
        <v>28758.005856924952</v>
      </c>
      <c r="G12" s="3">
        <f>IF(C12&lt;='Input sheet(dashboard)'!$D$6,E12*'Input sheet(dashboard)'!$D$7,0)</f>
        <v>3186.7310337807357</v>
      </c>
      <c r="H12" s="3">
        <f t="shared" si="1"/>
        <v>11076.132065334241</v>
      </c>
      <c r="I12" s="3">
        <f t="shared" si="2"/>
        <v>7883426.8773433454</v>
      </c>
      <c r="J12" s="3">
        <f>IF(B12&lt;='Input sheet(dashboard)'!$D$27*12,'Input sheet(dashboard)'!$D$3*(1+'Input sheet(dashboard)'!$E$24)^B12,0)</f>
        <v>9199063.4369738605</v>
      </c>
      <c r="K12" s="3">
        <f>IF(B12&lt;='Input sheet(dashboard)'!$D$27*12,J12*'Input sheet(dashboard)'!$E$8,0)</f>
        <v>9527.8932938030539</v>
      </c>
      <c r="L12" s="3">
        <f>IF(B12&lt;='Input sheet(dashboard)'!$D$27*12,'Input sheet(dashboard)'!$D$9*(1+'Input sheet(dashboard)'!$E$22)^B12,0)</f>
        <v>3056.0760244666294</v>
      </c>
      <c r="M12" s="3">
        <f>IF(B12=1,'Input sheet(dashboard)'!$D$3*'Input sheet(dashboard)'!$D$10,0)</f>
        <v>0</v>
      </c>
      <c r="N12" s="3">
        <f>IF(B12='Input sheet(dashboard)'!$D$27*12,J12*'Input sheet(dashboard)'!$D$11,0)</f>
        <v>0</v>
      </c>
      <c r="O12" s="3">
        <f>IF(SUM(F12:F23)&gt;=150000,150000/12*'Input sheet(dashboard)'!$D$28,SUM(F12:F23)/12*'Input sheet(dashboard)'!$D$28)</f>
        <v>1875</v>
      </c>
      <c r="P12" s="3"/>
      <c r="Q12" s="3">
        <f>IF(B12&lt;='Input sheet(dashboard)'!$D$27*12,'Input sheet(dashboard)'!$D$12/12,0)</f>
        <v>192.5</v>
      </c>
      <c r="R12" s="3">
        <f>IF(B12&lt;='Input sheet(dashboard)'!$D$27*12,('Input sheet(dashboard)'!$D$15/12)*(1+'Input sheet(dashboard)'!$E$22)^Calculations!B12,0)</f>
        <v>339.56400271851436</v>
      </c>
      <c r="S12" s="3">
        <f>IF(B12&lt;='Input sheet(dashboard)'!$D$27*12,(E12+G12+K12+L12-O12+M12+Q12+R12),0)</f>
        <v>54261.90227702813</v>
      </c>
      <c r="T12" s="3"/>
      <c r="U12" s="3">
        <f>IF(B12&lt;='Input sheet(dashboard)'!$D$27*12,IF(S12&lt;AD12,AD12-S12,0),0)</f>
        <v>0</v>
      </c>
      <c r="V12" s="3">
        <f>IF(B12&lt;='Input sheet(dashboard)'!$D$27*12,V11*(1+'Input sheet(dashboard)'!$E$25)+U12,0)</f>
        <v>0</v>
      </c>
      <c r="W12" s="17">
        <f>IF(B12&lt;='Input sheet(dashboard)'!$D$27*12,J12-I12+V12-N12,0)</f>
        <v>1315636.5596305151</v>
      </c>
      <c r="X12" s="3">
        <f>IF(B12&lt;='Input sheet(dashboard)'!$D$27*12,'Input sheet(dashboard)'!$D$17*(1+'Input sheet(dashboard)'!$E$23)^(B12-1),0)</f>
        <v>26761.45956016528</v>
      </c>
      <c r="Y12" s="3"/>
      <c r="Z12" s="18"/>
      <c r="AA12" s="18"/>
      <c r="AB12" s="3">
        <f>IF(B12=1,'Input sheet(dashboard)'!$D$18*Calculations!X12,IF(Calculations!B12=12*'Input sheet(dashboard)'!$D$27,'Input sheet(dashboard)'!$D$18*-Calculations!X12,0))</f>
        <v>0</v>
      </c>
      <c r="AC12" s="3">
        <f>IF(B12&lt;='Input sheet(dashboard)'!$D$27*12,IF(MOD(B11,'Input sheet(dashboard)'!$D$19*12),0,'Input sheet(dashboard)'!$D$20*(1+'Input sheet(dashboard)'!$E$22)^Calculations!B12),0)</f>
        <v>0</v>
      </c>
      <c r="AD12" s="17">
        <f t="shared" si="3"/>
        <v>26761.45956016528</v>
      </c>
      <c r="AE12" s="17"/>
      <c r="AF12" s="17">
        <f t="shared" si="4"/>
        <v>27500.44271686285</v>
      </c>
      <c r="AG12" s="17">
        <f t="shared" si="5"/>
        <v>27500.44271686285</v>
      </c>
      <c r="AH12" s="3">
        <f>IF(B12&lt;='Input sheet(dashboard)'!$D$27*12,AH11*(1+'Input sheet(dashboard)'!$E$25)+AG12," ")</f>
        <v>1234662.725103976</v>
      </c>
    </row>
    <row r="13" spans="2:38">
      <c r="B13">
        <f t="shared" si="0"/>
        <v>10</v>
      </c>
      <c r="C13" s="14">
        <v>1</v>
      </c>
      <c r="D13" s="14">
        <v>10</v>
      </c>
      <c r="E13" s="15">
        <f>IF(C13&lt;='Input sheet(dashboard)'!$D$6, -PMT('Input sheet(dashboard)'!$E$5,'Input sheet(dashboard)'!$D$6*12,'Input sheet(dashboard)'!$D$3*'Input sheet(dashboard)'!$D$4),0)</f>
        <v>39834.137922259193</v>
      </c>
      <c r="F13" s="3">
        <f>I12*'Input sheet(dashboard)'!$E$5</f>
        <v>28717.65784889616</v>
      </c>
      <c r="G13" s="3">
        <f>IF(C13&lt;='Input sheet(dashboard)'!$D$6,E13*'Input sheet(dashboard)'!$D$7,0)</f>
        <v>3186.7310337807357</v>
      </c>
      <c r="H13" s="3">
        <f t="shared" si="1"/>
        <v>11116.480073363033</v>
      </c>
      <c r="I13" s="3">
        <f t="shared" si="2"/>
        <v>7872310.3972699828</v>
      </c>
      <c r="J13" s="3">
        <f>IF(B13&lt;='Input sheet(dashboard)'!$D$27*12,'Input sheet(dashboard)'!$D$3*(1+'Input sheet(dashboard)'!$E$24)^B13,0)</f>
        <v>9236541.5601097271</v>
      </c>
      <c r="K13" s="3">
        <f>IF(B13&lt;='Input sheet(dashboard)'!$D$27*12,J13*'Input sheet(dashboard)'!$E$8,0)</f>
        <v>9566.7111104794003</v>
      </c>
      <c r="L13" s="3">
        <f>IF(B13&lt;='Input sheet(dashboard)'!$D$27*12,'Input sheet(dashboard)'!$D$9*(1+'Input sheet(dashboard)'!$E$22)^B13,0)</f>
        <v>3062.3710407052222</v>
      </c>
      <c r="M13" s="3">
        <f>IF(B13=1,'Input sheet(dashboard)'!$D$3*'Input sheet(dashboard)'!$D$10,0)</f>
        <v>0</v>
      </c>
      <c r="N13" s="3">
        <f>IF(B13='Input sheet(dashboard)'!$D$27*12,J13*'Input sheet(dashboard)'!$D$11,0)</f>
        <v>0</v>
      </c>
      <c r="O13" s="3">
        <f>IF(SUM(F13:F24)&gt;=150000,150000/12*'Input sheet(dashboard)'!$D$28,SUM(F13:F24)/12*'Input sheet(dashboard)'!$D$28)</f>
        <v>1875</v>
      </c>
      <c r="P13" s="3"/>
      <c r="Q13" s="3">
        <f>IF(B13&lt;='Input sheet(dashboard)'!$D$27*12,'Input sheet(dashboard)'!$D$12/12,0)</f>
        <v>192.5</v>
      </c>
      <c r="R13" s="3">
        <f>IF(B13&lt;='Input sheet(dashboard)'!$D$27*12,('Input sheet(dashboard)'!$D$15/12)*(1+'Input sheet(dashboard)'!$E$22)^Calculations!B13,0)</f>
        <v>340.26344896724692</v>
      </c>
      <c r="S13" s="3">
        <f>IF(B13&lt;='Input sheet(dashboard)'!$D$27*12,(E13+G13+K13+L13-O13+M13+Q13+R13),0)</f>
        <v>54307.714556191801</v>
      </c>
      <c r="T13" s="3"/>
      <c r="U13" s="3">
        <f>IF(B13&lt;='Input sheet(dashboard)'!$D$27*12,IF(S13&lt;AD13,AD13-S13,0),0)</f>
        <v>0</v>
      </c>
      <c r="V13" s="3">
        <f>IF(B13&lt;='Input sheet(dashboard)'!$D$27*12,V12*(1+'Input sheet(dashboard)'!$E$25)+U13,0)</f>
        <v>0</v>
      </c>
      <c r="W13" s="17">
        <f>IF(B13&lt;='Input sheet(dashboard)'!$D$27*12,J13-I13+V13-N13,0)</f>
        <v>1364231.1628397442</v>
      </c>
      <c r="X13" s="3">
        <f>IF(B13&lt;='Input sheet(dashboard)'!$D$27*12,'Input sheet(dashboard)'!$D$17*(1+'Input sheet(dashboard)'!$E$23)^(B13-1),0)</f>
        <v>26870.489059044496</v>
      </c>
      <c r="Y13" s="3"/>
      <c r="Z13" s="18"/>
      <c r="AA13" s="18"/>
      <c r="AB13" s="3">
        <f>IF(B13=1,'Input sheet(dashboard)'!$D$18*Calculations!X13,IF(Calculations!B13=12*'Input sheet(dashboard)'!$D$27,'Input sheet(dashboard)'!$D$18*-Calculations!X13,0))</f>
        <v>0</v>
      </c>
      <c r="AC13" s="3">
        <f>IF(B13&lt;='Input sheet(dashboard)'!$D$27*12,IF(MOD(B12,'Input sheet(dashboard)'!$D$19*12),0,'Input sheet(dashboard)'!$D$20*(1+'Input sheet(dashboard)'!$E$22)^Calculations!B13),0)</f>
        <v>0</v>
      </c>
      <c r="AD13" s="17">
        <f t="shared" si="3"/>
        <v>26870.489059044496</v>
      </c>
      <c r="AE13" s="17"/>
      <c r="AF13" s="17">
        <f t="shared" si="4"/>
        <v>27437.225497147305</v>
      </c>
      <c r="AG13" s="17">
        <f t="shared" si="5"/>
        <v>27437.225497147305</v>
      </c>
      <c r="AH13" s="3">
        <f>IF(B13&lt;='Input sheet(dashboard)'!$D$27*12,AH12*(1+'Input sheet(dashboard)'!$E$25)+AG13," ")</f>
        <v>1270043.8077501412</v>
      </c>
    </row>
    <row r="14" spans="2:38">
      <c r="B14">
        <f t="shared" si="0"/>
        <v>11</v>
      </c>
      <c r="C14" s="14">
        <v>1</v>
      </c>
      <c r="D14" s="14">
        <v>11</v>
      </c>
      <c r="E14" s="15">
        <f>IF(C14&lt;='Input sheet(dashboard)'!$D$6, -PMT('Input sheet(dashboard)'!$E$5,'Input sheet(dashboard)'!$D$6*12,'Input sheet(dashboard)'!$D$3*'Input sheet(dashboard)'!$D$4),0)</f>
        <v>39834.137922259193</v>
      </c>
      <c r="F14" s="3">
        <f>I13*'Input sheet(dashboard)'!$E$5</f>
        <v>28677.162861602195</v>
      </c>
      <c r="G14" s="3">
        <f>IF(C14&lt;='Input sheet(dashboard)'!$D$6,E14*'Input sheet(dashboard)'!$D$7,0)</f>
        <v>3186.7310337807357</v>
      </c>
      <c r="H14" s="3">
        <f t="shared" si="1"/>
        <v>11156.975060656998</v>
      </c>
      <c r="I14" s="3">
        <f t="shared" si="2"/>
        <v>7861153.4222093262</v>
      </c>
      <c r="J14" s="3">
        <f>IF(B14&lt;='Input sheet(dashboard)'!$D$27*12,'Input sheet(dashboard)'!$D$3*(1+'Input sheet(dashboard)'!$E$24)^B14,0)</f>
        <v>9274172.3737584259</v>
      </c>
      <c r="K14" s="3">
        <f>IF(B14&lt;='Input sheet(dashboard)'!$D$27*12,J14*'Input sheet(dashboard)'!$E$8,0)</f>
        <v>9605.6870757458983</v>
      </c>
      <c r="L14" s="3">
        <f>IF(B14&lt;='Input sheet(dashboard)'!$D$27*12,'Input sheet(dashboard)'!$D$9*(1+'Input sheet(dashboard)'!$E$22)^B14,0)</f>
        <v>3068.6790236465827</v>
      </c>
      <c r="M14" s="3">
        <f>IF(B14=1,'Input sheet(dashboard)'!$D$3*'Input sheet(dashboard)'!$D$10,0)</f>
        <v>0</v>
      </c>
      <c r="N14" s="3">
        <f>IF(B14='Input sheet(dashboard)'!$D$27*12,J14*'Input sheet(dashboard)'!$D$11,0)</f>
        <v>0</v>
      </c>
      <c r="O14" s="3">
        <f>IF(SUM(F14:F25)&gt;=150000,150000/12*'Input sheet(dashboard)'!$D$28,SUM(F14:F25)/12*'Input sheet(dashboard)'!$D$28)</f>
        <v>1875</v>
      </c>
      <c r="P14" s="3"/>
      <c r="Q14" s="3">
        <f>IF(B14&lt;='Input sheet(dashboard)'!$D$27*12,'Input sheet(dashboard)'!$D$12/12,0)</f>
        <v>192.5</v>
      </c>
      <c r="R14" s="3">
        <f>IF(B14&lt;='Input sheet(dashboard)'!$D$27*12,('Input sheet(dashboard)'!$D$15/12)*(1+'Input sheet(dashboard)'!$E$22)^Calculations!B14,0)</f>
        <v>340.96433596073143</v>
      </c>
      <c r="S14" s="3">
        <f>IF(B14&lt;='Input sheet(dashboard)'!$D$27*12,(E14+G14+K14+L14-O14+M14+Q14+R14),0)</f>
        <v>54353.699391393136</v>
      </c>
      <c r="T14" s="3"/>
      <c r="U14" s="3">
        <f>IF(B14&lt;='Input sheet(dashboard)'!$D$27*12,IF(S14&lt;AD14,AD14-S14,0),0)</f>
        <v>0</v>
      </c>
      <c r="V14" s="3">
        <f>IF(B14&lt;='Input sheet(dashboard)'!$D$27*12,V13*(1+'Input sheet(dashboard)'!$E$25)+U14,0)</f>
        <v>0</v>
      </c>
      <c r="W14" s="17">
        <f>IF(B14&lt;='Input sheet(dashboard)'!$D$27*12,J14-I14+V14-N14,0)</f>
        <v>1413018.9515490998</v>
      </c>
      <c r="X14" s="3">
        <f>IF(B14&lt;='Input sheet(dashboard)'!$D$27*12,'Input sheet(dashboard)'!$D$17*(1+'Input sheet(dashboard)'!$E$23)^(B14-1),0)</f>
        <v>26979.962757598212</v>
      </c>
      <c r="Y14" s="3"/>
      <c r="Z14" s="18"/>
      <c r="AA14" s="18"/>
      <c r="AB14" s="3">
        <f>IF(B14=1,'Input sheet(dashboard)'!$D$18*Calculations!X14,IF(Calculations!B14=12*'Input sheet(dashboard)'!$D$27,'Input sheet(dashboard)'!$D$18*-Calculations!X14,0))</f>
        <v>0</v>
      </c>
      <c r="AC14" s="3">
        <f>IF(B14&lt;='Input sheet(dashboard)'!$D$27*12,IF(MOD(B13,'Input sheet(dashboard)'!$D$19*12),0,'Input sheet(dashboard)'!$D$20*(1+'Input sheet(dashboard)'!$E$22)^Calculations!B14),0)</f>
        <v>0</v>
      </c>
      <c r="AD14" s="17">
        <f t="shared" si="3"/>
        <v>26979.962757598212</v>
      </c>
      <c r="AE14" s="17"/>
      <c r="AF14" s="17">
        <f t="shared" si="4"/>
        <v>27373.736633794924</v>
      </c>
      <c r="AG14" s="17">
        <f t="shared" si="5"/>
        <v>27373.736633794924</v>
      </c>
      <c r="AH14" s="3">
        <f>IF(B14&lt;='Input sheet(dashboard)'!$D$27*12,AH13*(1+'Input sheet(dashboard)'!$E$25)+AG14," ")</f>
        <v>1305589.0444840239</v>
      </c>
    </row>
    <row r="15" spans="2:38">
      <c r="B15">
        <f t="shared" si="0"/>
        <v>12</v>
      </c>
      <c r="C15" s="14">
        <v>1</v>
      </c>
      <c r="D15" s="14">
        <v>12</v>
      </c>
      <c r="E15" s="15">
        <f>IF(C15&lt;='Input sheet(dashboard)'!$D$6, -PMT('Input sheet(dashboard)'!$E$5,'Input sheet(dashboard)'!$D$6*12,'Input sheet(dashboard)'!$D$3*'Input sheet(dashboard)'!$D$4),0)</f>
        <v>39834.137922259193</v>
      </c>
      <c r="F15" s="3">
        <f>I14*'Input sheet(dashboard)'!$E$5</f>
        <v>28636.520359628666</v>
      </c>
      <c r="G15" s="3">
        <f>IF(C15&lt;='Input sheet(dashboard)'!$D$6,E15*'Input sheet(dashboard)'!$D$7,0)</f>
        <v>3186.7310337807357</v>
      </c>
      <c r="H15" s="3">
        <f t="shared" si="1"/>
        <v>11197.617562630527</v>
      </c>
      <c r="I15" s="3">
        <f t="shared" si="2"/>
        <v>7849955.804646696</v>
      </c>
      <c r="J15" s="3">
        <f>IF(B15&lt;='Input sheet(dashboard)'!$D$27*12,'Input sheet(dashboard)'!$D$3*(1+'Input sheet(dashboard)'!$E$24)^B15,0)</f>
        <v>9311956.5000000093</v>
      </c>
      <c r="K15" s="3">
        <f>IF(B15&lt;='Input sheet(dashboard)'!$D$27*12,J15*'Input sheet(dashboard)'!$E$8,0)</f>
        <v>9644.8218339194773</v>
      </c>
      <c r="L15" s="3">
        <f>IF(B15&lt;='Input sheet(dashboard)'!$D$27*12,'Input sheet(dashboard)'!$D$9*(1+'Input sheet(dashboard)'!$E$22)^B15,0)</f>
        <v>3074.9999999999959</v>
      </c>
      <c r="M15" s="3">
        <f>IF(B15=1,'Input sheet(dashboard)'!$D$3*'Input sheet(dashboard)'!$D$10,0)</f>
        <v>0</v>
      </c>
      <c r="N15" s="3">
        <f>IF(B15='Input sheet(dashboard)'!$D$27*12,J15*'Input sheet(dashboard)'!$D$11,0)</f>
        <v>0</v>
      </c>
      <c r="O15" s="3">
        <f>IF(SUM(F15:F26)&gt;=150000,150000/12*'Input sheet(dashboard)'!$D$28,SUM(F15:F26)/12*'Input sheet(dashboard)'!$D$28)</f>
        <v>1875</v>
      </c>
      <c r="P15" s="3">
        <f t="shared" ref="P15:P78" si="6">IF(D15=12,IF(SUM(F4:F16)&gt;=150000,150000*0.15,SUM(F4:F16)*0.15),0)</f>
        <v>22500</v>
      </c>
      <c r="Q15" s="3">
        <f>IF(B15&lt;='Input sheet(dashboard)'!$D$27*12,'Input sheet(dashboard)'!$D$12/12,0)</f>
        <v>192.5</v>
      </c>
      <c r="R15" s="3">
        <f>IF(B15&lt;='Input sheet(dashboard)'!$D$27*12,('Input sheet(dashboard)'!$D$15/12)*(1+'Input sheet(dashboard)'!$E$22)^Calculations!B15,0)</f>
        <v>341.66666666666617</v>
      </c>
      <c r="S15" s="3">
        <f>IF(B15&lt;='Input sheet(dashboard)'!$D$27*12,(E15+G15+K15+L15-O15+M15+Q15+R15),0)</f>
        <v>54399.857456626065</v>
      </c>
      <c r="T15" s="3">
        <f>IF(B15&lt;='Input sheet(dashboard)'!$D$27*12,IF(D15=12,SUM(S4:S15),0),0)</f>
        <v>738474.93626311724</v>
      </c>
      <c r="U15" s="3">
        <f>IF(B15&lt;='Input sheet(dashboard)'!$D$27*12,IF(S15&lt;AD15,AD15-S15,0),0)</f>
        <v>0</v>
      </c>
      <c r="V15" s="3">
        <f>IF(B15&lt;='Input sheet(dashboard)'!$D$27*12,V14*(1+'Input sheet(dashboard)'!$E$25)+U15,0)</f>
        <v>0</v>
      </c>
      <c r="W15" s="17">
        <f>IF(B15&lt;='Input sheet(dashboard)'!$D$27*12,J15-I15+V15-N15,0)</f>
        <v>1462000.6953533133</v>
      </c>
      <c r="X15" s="3">
        <f>IF(B15&lt;='Input sheet(dashboard)'!$D$27*12,'Input sheet(dashboard)'!$D$17*(1+'Input sheet(dashboard)'!$E$23)^(B15-1),0)</f>
        <v>27089.882465550887</v>
      </c>
      <c r="Y15" s="3"/>
      <c r="Z15" s="18"/>
      <c r="AA15" s="18"/>
      <c r="AB15" s="3">
        <f>IF(B15=1,'Input sheet(dashboard)'!$D$18*Calculations!X15,IF(Calculations!B15=12*'Input sheet(dashboard)'!$D$27,'Input sheet(dashboard)'!$D$18*-Calculations!X15,0))</f>
        <v>0</v>
      </c>
      <c r="AC15" s="3">
        <f>IF(B15&lt;='Input sheet(dashboard)'!$D$27*12,IF(MOD(B14,'Input sheet(dashboard)'!$D$19*12),0,'Input sheet(dashboard)'!$D$20*(1+'Input sheet(dashboard)'!$E$22)^Calculations!B15),0)</f>
        <v>0</v>
      </c>
      <c r="AD15" s="17">
        <f t="shared" si="3"/>
        <v>27089.882465550887</v>
      </c>
      <c r="AE15" s="17">
        <f>IF(B15&lt;='Input sheet(dashboard)'!$D$27*12,IF(D15=12,SUM(AD4:AD15),0),0)</f>
        <v>369731.12090421771</v>
      </c>
      <c r="AF15" s="17">
        <f t="shared" si="4"/>
        <v>27309.974991075178</v>
      </c>
      <c r="AG15" s="17">
        <f t="shared" si="5"/>
        <v>27309.974991075178</v>
      </c>
      <c r="AH15" s="3">
        <f>IF(B15&lt;='Input sheet(dashboard)'!$D$27*12,AH14*(1+'Input sheet(dashboard)'!$E$25)+AG15," ")</f>
        <v>1341299.2186986001</v>
      </c>
    </row>
    <row r="16" spans="2:38">
      <c r="B16">
        <f t="shared" si="0"/>
        <v>13</v>
      </c>
      <c r="C16">
        <f t="shared" ref="C16:C79" si="7">C4+1</f>
        <v>2</v>
      </c>
      <c r="D16">
        <f t="shared" ref="D16:D79" si="8">D4</f>
        <v>1</v>
      </c>
      <c r="E16" s="15">
        <f>IF(C16&lt;='Input sheet(dashboard)'!$D$6, -PMT('Input sheet(dashboard)'!$E$5,'Input sheet(dashboard)'!$D$6*12,'Input sheet(dashboard)'!$D$3*'Input sheet(dashboard)'!$D$4),0)</f>
        <v>39834.137922259193</v>
      </c>
      <c r="F16" s="3">
        <f>I15*'Input sheet(dashboard)'!$E$5</f>
        <v>28595.729805610772</v>
      </c>
      <c r="G16" s="3">
        <f>IF(C16&lt;='Input sheet(dashboard)'!$D$6,E16*'Input sheet(dashboard)'!$D$7,0)</f>
        <v>3186.7310337807357</v>
      </c>
      <c r="H16" s="3">
        <f t="shared" si="1"/>
        <v>11238.408116648421</v>
      </c>
      <c r="I16" s="3">
        <f t="shared" si="2"/>
        <v>7838717.396530048</v>
      </c>
      <c r="J16" s="3">
        <f>IF(B16&lt;='Input sheet(dashboard)'!$D$27*12,'Input sheet(dashboard)'!$D$3*(1+'Input sheet(dashboard)'!$E$24)^B16,0)</f>
        <v>9349894.56344896</v>
      </c>
      <c r="K16" s="3">
        <f>IF(B16&lt;='Input sheet(dashboard)'!$D$27*12,J16*'Input sheet(dashboard)'!$E$8,0)</f>
        <v>9684.1160319421015</v>
      </c>
      <c r="L16" s="3">
        <f>IF(B16&lt;='Input sheet(dashboard)'!$D$27*12,'Input sheet(dashboard)'!$D$9*(1+'Input sheet(dashboard)'!$E$22)^B16,0)</f>
        <v>3081.3339965297619</v>
      </c>
      <c r="M16" s="3">
        <f>IF(B16=1,'Input sheet(dashboard)'!$D$3*'Input sheet(dashboard)'!$D$10,0)</f>
        <v>0</v>
      </c>
      <c r="N16" s="3">
        <f>IF(B16='Input sheet(dashboard)'!$D$27*12,J16*'Input sheet(dashboard)'!$D$11,0)</f>
        <v>0</v>
      </c>
      <c r="O16" s="3">
        <f>IF(SUM(F16:F27)&gt;=150000,150000/12*'Input sheet(dashboard)'!$D$28,SUM(F16:F27)/12*'Input sheet(dashboard)'!$D$28)</f>
        <v>1875</v>
      </c>
      <c r="P16" s="3">
        <f t="shared" si="6"/>
        <v>0</v>
      </c>
      <c r="Q16" s="3">
        <f>IF(B16&lt;='Input sheet(dashboard)'!$D$27*12,'Input sheet(dashboard)'!$D$12/12,0)</f>
        <v>192.5</v>
      </c>
      <c r="R16" s="3">
        <f>IF(B16&lt;='Input sheet(dashboard)'!$D$27*12,('Input sheet(dashboard)'!$D$15/12)*(1+'Input sheet(dashboard)'!$E$22)^Calculations!B16,0)</f>
        <v>342.3704440588624</v>
      </c>
      <c r="S16" s="3">
        <f>IF(B16&lt;='Input sheet(dashboard)'!$D$27*12,(E16+G16+K16+L16-O16+M16+Q16+R16),0)</f>
        <v>54446.189428570658</v>
      </c>
      <c r="T16" s="3">
        <f>IF(B16&lt;='Input sheet(dashboard)'!$D$27*12,IF(D16=12,SUM(S5:S16),0),0)</f>
        <v>0</v>
      </c>
      <c r="U16" s="3">
        <f>IF(B16&lt;='Input sheet(dashboard)'!$D$27*12,IF(S16&lt;AD16,AD16-S16,0),0)</f>
        <v>0</v>
      </c>
      <c r="V16" s="3">
        <f>IF(B16&lt;='Input sheet(dashboard)'!$D$27*12,V15*(1+'Input sheet(dashboard)'!$E$25)+U16,0)</f>
        <v>0</v>
      </c>
      <c r="W16" s="17">
        <f>IF(B16&lt;='Input sheet(dashboard)'!$D$27*12,J16-I16+V16-N16,0)</f>
        <v>1511177.166918912</v>
      </c>
      <c r="X16" s="3">
        <f>IF(B16&lt;='Input sheet(dashboard)'!$D$27*12,'Input sheet(dashboard)'!$D$17*(1+'Input sheet(dashboard)'!$E$23)^(B16-1),0)</f>
        <v>27200.250000000029</v>
      </c>
      <c r="Y16" s="3"/>
      <c r="Z16" s="18"/>
      <c r="AA16" s="18"/>
      <c r="AB16" s="3">
        <f>IF(B16=1,'Input sheet(dashboard)'!$D$18*Calculations!X16,IF(Calculations!B16=12*'Input sheet(dashboard)'!$D$27,'Input sheet(dashboard)'!$D$18*-Calculations!X16,0))</f>
        <v>0</v>
      </c>
      <c r="AC16" s="3">
        <f>IF(B16&lt;='Input sheet(dashboard)'!$D$27*12,IF(MOD(B15,'Input sheet(dashboard)'!$D$19*12),0,'Input sheet(dashboard)'!$D$20*(1+'Input sheet(dashboard)'!$E$22)^Calculations!B16),0)</f>
        <v>0</v>
      </c>
      <c r="AD16" s="17">
        <f t="shared" si="3"/>
        <v>27200.250000000029</v>
      </c>
      <c r="AE16" s="17">
        <f>IF(B16&lt;='Input sheet(dashboard)'!$D$27*12,IF(D16=12,SUM(AD5:AD16),0),0)</f>
        <v>0</v>
      </c>
      <c r="AF16" s="17">
        <f t="shared" si="4"/>
        <v>27245.939428570629</v>
      </c>
      <c r="AG16" s="17">
        <f t="shared" si="5"/>
        <v>27245.939428570629</v>
      </c>
      <c r="AH16" s="3">
        <f>IF(B16&lt;='Input sheet(dashboard)'!$D$27*12,AH15*(1+'Input sheet(dashboard)'!$E$25)+AG16," ")</f>
        <v>1377175.1176868016</v>
      </c>
    </row>
    <row r="17" spans="2:34">
      <c r="B17">
        <f t="shared" si="0"/>
        <v>14</v>
      </c>
      <c r="C17">
        <f t="shared" si="7"/>
        <v>2</v>
      </c>
      <c r="D17">
        <f t="shared" si="8"/>
        <v>2</v>
      </c>
      <c r="E17" s="15">
        <f>IF(C17&lt;='Input sheet(dashboard)'!$D$6, -PMT('Input sheet(dashboard)'!$E$5,'Input sheet(dashboard)'!$D$6*12,'Input sheet(dashboard)'!$D$3*'Input sheet(dashboard)'!$D$4),0)</f>
        <v>39834.137922259193</v>
      </c>
      <c r="F17" s="3">
        <f>I16*'Input sheet(dashboard)'!$E$5</f>
        <v>28554.790660226205</v>
      </c>
      <c r="G17" s="3">
        <f>IF(C17&lt;='Input sheet(dashboard)'!$D$6,E17*'Input sheet(dashboard)'!$D$7,0)</f>
        <v>3186.7310337807357</v>
      </c>
      <c r="H17" s="3">
        <f t="shared" si="1"/>
        <v>11279.347262032989</v>
      </c>
      <c r="I17" s="3">
        <f t="shared" si="2"/>
        <v>7827438.0492680147</v>
      </c>
      <c r="J17" s="3">
        <f>IF(B17&lt;='Input sheet(dashboard)'!$D$27*12,'Input sheet(dashboard)'!$D$3*(1+'Input sheet(dashboard)'!$E$24)^B17,0)</f>
        <v>9387987.191264512</v>
      </c>
      <c r="K17" s="3">
        <f>IF(B17&lt;='Input sheet(dashboard)'!$D$27*12,J17*'Input sheet(dashboard)'!$E$8,0)</f>
        <v>9723.5703193914469</v>
      </c>
      <c r="L17" s="3">
        <f>IF(B17&lt;='Input sheet(dashboard)'!$D$27*12,'Input sheet(dashboard)'!$D$9*(1+'Input sheet(dashboard)'!$E$22)^B17,0)</f>
        <v>3087.6810400553136</v>
      </c>
      <c r="M17" s="3">
        <f>IF(B17=1,'Input sheet(dashboard)'!$D$3*'Input sheet(dashboard)'!$D$10,0)</f>
        <v>0</v>
      </c>
      <c r="N17" s="3">
        <f>IF(B17='Input sheet(dashboard)'!$D$27*12,J17*'Input sheet(dashboard)'!$D$11,0)</f>
        <v>0</v>
      </c>
      <c r="O17" s="3">
        <f>IF(SUM(F17:F28)&gt;=150000,150000/12*'Input sheet(dashboard)'!$D$28,SUM(F17:F28)/12*'Input sheet(dashboard)'!$D$28)</f>
        <v>1875</v>
      </c>
      <c r="P17" s="3">
        <f t="shared" si="6"/>
        <v>0</v>
      </c>
      <c r="Q17" s="3">
        <f>IF(B17&lt;='Input sheet(dashboard)'!$D$27*12,'Input sheet(dashboard)'!$D$12/12,0)</f>
        <v>192.5</v>
      </c>
      <c r="R17" s="3">
        <f>IF(B17&lt;='Input sheet(dashboard)'!$D$27*12,('Input sheet(dashboard)'!$D$15/12)*(1+'Input sheet(dashboard)'!$E$22)^Calculations!B17,0)</f>
        <v>343.075671117257</v>
      </c>
      <c r="S17" s="3">
        <f>IF(B17&lt;='Input sheet(dashboard)'!$D$27*12,(E17+G17+K17+L17-O17+M17+Q17+R17),0)</f>
        <v>54492.695986603947</v>
      </c>
      <c r="T17" s="3">
        <f>IF(B17&lt;='Input sheet(dashboard)'!$D$27*12,IF(D17=12,SUM(S6:S17),0),0)</f>
        <v>0</v>
      </c>
      <c r="U17" s="3">
        <f>IF(B17&lt;='Input sheet(dashboard)'!$D$27*12,IF(S17&lt;AD17,AD17-S17,0),0)</f>
        <v>0</v>
      </c>
      <c r="V17" s="3">
        <f>IF(B17&lt;='Input sheet(dashboard)'!$D$27*12,V16*(1+'Input sheet(dashboard)'!$E$25)+U17,0)</f>
        <v>0</v>
      </c>
      <c r="W17" s="17">
        <f>IF(B17&lt;='Input sheet(dashboard)'!$D$27*12,J17-I17+V17-N17,0)</f>
        <v>1560549.1419964973</v>
      </c>
      <c r="X17" s="3">
        <f>IF(B17&lt;='Input sheet(dashboard)'!$D$27*12,'Input sheet(dashboard)'!$D$17*(1+'Input sheet(dashboard)'!$E$23)^(B17-1),0)</f>
        <v>27311.067185446213</v>
      </c>
      <c r="Y17" s="3"/>
      <c r="Z17" s="18"/>
      <c r="AA17" s="18"/>
      <c r="AB17" s="3">
        <f>IF(B17=1,'Input sheet(dashboard)'!$D$18*Calculations!X17,IF(Calculations!B17=12*'Input sheet(dashboard)'!$D$27,'Input sheet(dashboard)'!$D$18*-Calculations!X17,0))</f>
        <v>0</v>
      </c>
      <c r="AC17" s="3">
        <f>IF(B17&lt;='Input sheet(dashboard)'!$D$27*12,IF(MOD(B16,'Input sheet(dashboard)'!$D$19*12),0,'Input sheet(dashboard)'!$D$20*(1+'Input sheet(dashboard)'!$E$22)^Calculations!B17),0)</f>
        <v>0</v>
      </c>
      <c r="AD17" s="17">
        <f t="shared" si="3"/>
        <v>27311.067185446213</v>
      </c>
      <c r="AE17" s="17">
        <f>IF(B17&lt;='Input sheet(dashboard)'!$D$27*12,IF(D17=12,SUM(AD6:AD17),0),0)</f>
        <v>0</v>
      </c>
      <c r="AF17" s="17">
        <f t="shared" si="4"/>
        <v>27181.628801157734</v>
      </c>
      <c r="AG17" s="17">
        <f t="shared" si="5"/>
        <v>27181.628801157734</v>
      </c>
      <c r="AH17" s="3">
        <f>IF(B17&lt;='Input sheet(dashboard)'!$D$27*12,AH16*(1+'Input sheet(dashboard)'!$E$25)+AG17," ")</f>
        <v>1413217.5326619036</v>
      </c>
    </row>
    <row r="18" spans="2:34">
      <c r="B18">
        <f t="shared" si="0"/>
        <v>15</v>
      </c>
      <c r="C18">
        <f t="shared" si="7"/>
        <v>2</v>
      </c>
      <c r="D18">
        <f t="shared" si="8"/>
        <v>3</v>
      </c>
      <c r="E18" s="15">
        <f>IF(C18&lt;='Input sheet(dashboard)'!$D$6, -PMT('Input sheet(dashboard)'!$E$5,'Input sheet(dashboard)'!$D$6*12,'Input sheet(dashboard)'!$D$3*'Input sheet(dashboard)'!$D$4),0)</f>
        <v>39834.137922259193</v>
      </c>
      <c r="F18" s="3">
        <f>I17*'Input sheet(dashboard)'!$E$5</f>
        <v>28513.702382188025</v>
      </c>
      <c r="G18" s="3">
        <f>IF(C18&lt;='Input sheet(dashboard)'!$D$6,E18*'Input sheet(dashboard)'!$D$7,0)</f>
        <v>3186.7310337807357</v>
      </c>
      <c r="H18" s="3">
        <f t="shared" si="1"/>
        <v>11320.435540071168</v>
      </c>
      <c r="I18" s="3">
        <f t="shared" si="2"/>
        <v>7816117.613727944</v>
      </c>
      <c r="J18" s="3">
        <f>IF(B18&lt;='Input sheet(dashboard)'!$D$27*12,'Input sheet(dashboard)'!$D$3*(1+'Input sheet(dashboard)'!$E$24)^B18,0)</f>
        <v>9426235.0131610278</v>
      </c>
      <c r="K18" s="3">
        <f>IF(B18&lt;='Input sheet(dashboard)'!$D$27*12,J18*'Input sheet(dashboard)'!$E$8,0)</f>
        <v>9763.1853484916555</v>
      </c>
      <c r="L18" s="3">
        <f>IF(B18&lt;='Input sheet(dashboard)'!$D$27*12,'Input sheet(dashboard)'!$D$9*(1+'Input sheet(dashboard)'!$E$22)^B18,0)</f>
        <v>3094.0411574513255</v>
      </c>
      <c r="M18" s="3">
        <f>IF(B18=1,'Input sheet(dashboard)'!$D$3*'Input sheet(dashboard)'!$D$10,0)</f>
        <v>0</v>
      </c>
      <c r="N18" s="3">
        <f>IF(B18='Input sheet(dashboard)'!$D$27*12,J18*'Input sheet(dashboard)'!$D$11,0)</f>
        <v>0</v>
      </c>
      <c r="O18" s="3">
        <f>IF(SUM(F18:F29)&gt;=150000,150000/12*'Input sheet(dashboard)'!$D$28,SUM(F18:F29)/12*'Input sheet(dashboard)'!$D$28)</f>
        <v>1875</v>
      </c>
      <c r="P18" s="3">
        <f t="shared" si="6"/>
        <v>0</v>
      </c>
      <c r="Q18" s="3">
        <f>IF(B18&lt;='Input sheet(dashboard)'!$D$27*12,'Input sheet(dashboard)'!$D$12/12,0)</f>
        <v>192.5</v>
      </c>
      <c r="R18" s="3">
        <f>IF(B18&lt;='Input sheet(dashboard)'!$D$27*12,('Input sheet(dashboard)'!$D$15/12)*(1+'Input sheet(dashboard)'!$E$22)^Calculations!B18,0)</f>
        <v>343.78235082792503</v>
      </c>
      <c r="S18" s="3">
        <f>IF(B18&lt;='Input sheet(dashboard)'!$D$27*12,(E18+G18+K18+L18-O18+M18+Q18+R18),0)</f>
        <v>54539.377812810839</v>
      </c>
      <c r="T18" s="3">
        <f>IF(B18&lt;='Input sheet(dashboard)'!$D$27*12,IF(D18=12,SUM(S7:S18),0),0)</f>
        <v>0</v>
      </c>
      <c r="U18" s="3">
        <f>IF(B18&lt;='Input sheet(dashboard)'!$D$27*12,IF(S18&lt;AD18,AD18-S18,0),0)</f>
        <v>0</v>
      </c>
      <c r="V18" s="3">
        <f>IF(B18&lt;='Input sheet(dashboard)'!$D$27*12,V17*(1+'Input sheet(dashboard)'!$E$25)+U18,0)</f>
        <v>0</v>
      </c>
      <c r="W18" s="17">
        <f>IF(B18&lt;='Input sheet(dashboard)'!$D$27*12,J18-I18+V18-N18,0)</f>
        <v>1610117.3994330838</v>
      </c>
      <c r="X18" s="3">
        <f>IF(B18&lt;='Input sheet(dashboard)'!$D$27*12,'Input sheet(dashboard)'!$D$17*(1+'Input sheet(dashboard)'!$E$23)^(B18-1),0)</f>
        <v>27422.335853823257</v>
      </c>
      <c r="Y18" s="3"/>
      <c r="Z18" s="18"/>
      <c r="AA18" s="18"/>
      <c r="AB18" s="3">
        <f>IF(B18=1,'Input sheet(dashboard)'!$D$18*Calculations!X18,IF(Calculations!B18=12*'Input sheet(dashboard)'!$D$27,'Input sheet(dashboard)'!$D$18*-Calculations!X18,0))</f>
        <v>0</v>
      </c>
      <c r="AC18" s="3">
        <f>IF(B18&lt;='Input sheet(dashboard)'!$D$27*12,IF(MOD(B17,'Input sheet(dashboard)'!$D$19*12),0,'Input sheet(dashboard)'!$D$20*(1+'Input sheet(dashboard)'!$E$22)^Calculations!B18),0)</f>
        <v>0</v>
      </c>
      <c r="AD18" s="17">
        <f t="shared" si="3"/>
        <v>27422.335853823257</v>
      </c>
      <c r="AE18" s="17">
        <f>IF(B18&lt;='Input sheet(dashboard)'!$D$27*12,IF(D18=12,SUM(AD7:AD18),0),0)</f>
        <v>0</v>
      </c>
      <c r="AF18" s="17">
        <f t="shared" si="4"/>
        <v>27117.041958987582</v>
      </c>
      <c r="AG18" s="17">
        <f t="shared" si="5"/>
        <v>27117.041958987582</v>
      </c>
      <c r="AH18" s="3">
        <f>IF(B18&lt;='Input sheet(dashboard)'!$D$27*12,AH17*(1+'Input sheet(dashboard)'!$E$25)+AG18," ")</f>
        <v>1449427.2587780226</v>
      </c>
    </row>
    <row r="19" spans="2:34">
      <c r="B19">
        <f t="shared" si="0"/>
        <v>16</v>
      </c>
      <c r="C19">
        <f t="shared" si="7"/>
        <v>2</v>
      </c>
      <c r="D19">
        <f t="shared" si="8"/>
        <v>4</v>
      </c>
      <c r="E19" s="15">
        <f>IF(C19&lt;='Input sheet(dashboard)'!$D$6, -PMT('Input sheet(dashboard)'!$E$5,'Input sheet(dashboard)'!$D$6*12,'Input sheet(dashboard)'!$D$3*'Input sheet(dashboard)'!$D$4),0)</f>
        <v>39834.137922259193</v>
      </c>
      <c r="F19" s="3">
        <f>I18*'Input sheet(dashboard)'!$E$5</f>
        <v>28472.464428237497</v>
      </c>
      <c r="G19" s="3">
        <f>IF(C19&lt;='Input sheet(dashboard)'!$D$6,E19*'Input sheet(dashboard)'!$D$7,0)</f>
        <v>3186.7310337807357</v>
      </c>
      <c r="H19" s="3">
        <f t="shared" si="1"/>
        <v>11361.673494021696</v>
      </c>
      <c r="I19" s="3">
        <f t="shared" si="2"/>
        <v>7804755.9402339226</v>
      </c>
      <c r="J19" s="3">
        <f>IF(B19&lt;='Input sheet(dashboard)'!$D$27*12,'Input sheet(dashboard)'!$D$3*(1+'Input sheet(dashboard)'!$E$24)^B19,0)</f>
        <v>9464638.6614184082</v>
      </c>
      <c r="K19" s="3">
        <f>IF(B19&lt;='Input sheet(dashboard)'!$D$27*12,J19*'Input sheet(dashboard)'!$E$8,0)</f>
        <v>9802.9617741241145</v>
      </c>
      <c r="L19" s="3">
        <f>IF(B19&lt;='Input sheet(dashboard)'!$D$27*12,'Input sheet(dashboard)'!$D$9*(1+'Input sheet(dashboard)'!$E$22)^B19,0)</f>
        <v>3100.4143756478297</v>
      </c>
      <c r="M19" s="3">
        <f>IF(B19=1,'Input sheet(dashboard)'!$D$3*'Input sheet(dashboard)'!$D$10,0)</f>
        <v>0</v>
      </c>
      <c r="N19" s="3">
        <f>IF(B19='Input sheet(dashboard)'!$D$27*12,J19*'Input sheet(dashboard)'!$D$11,0)</f>
        <v>0</v>
      </c>
      <c r="O19" s="3">
        <f>IF(SUM(F19:F30)&gt;=150000,150000/12*'Input sheet(dashboard)'!$D$28,SUM(F19:F30)/12*'Input sheet(dashboard)'!$D$28)</f>
        <v>1875</v>
      </c>
      <c r="P19" s="3">
        <f t="shared" si="6"/>
        <v>0</v>
      </c>
      <c r="Q19" s="3">
        <f>IF(B19&lt;='Input sheet(dashboard)'!$D$27*12,'Input sheet(dashboard)'!$D$12/12,0)</f>
        <v>192.5</v>
      </c>
      <c r="R19" s="3">
        <f>IF(B19&lt;='Input sheet(dashboard)'!$D$27*12,('Input sheet(dashboard)'!$D$15/12)*(1+'Input sheet(dashboard)'!$E$22)^Calculations!B19,0)</f>
        <v>344.49048618309217</v>
      </c>
      <c r="S19" s="3">
        <f>IF(B19&lt;='Input sheet(dashboard)'!$D$27*12,(E19+G19+K19+L19-O19+M19+Q19+R19),0)</f>
        <v>54586.23559199497</v>
      </c>
      <c r="T19" s="3">
        <f>IF(B19&lt;='Input sheet(dashboard)'!$D$27*12,IF(D19=12,SUM(S8:S19),0),0)</f>
        <v>0</v>
      </c>
      <c r="U19" s="3">
        <f>IF(B19&lt;='Input sheet(dashboard)'!$D$27*12,IF(S19&lt;AD19,AD19-S19,0),0)</f>
        <v>0</v>
      </c>
      <c r="V19" s="3">
        <f>IF(B19&lt;='Input sheet(dashboard)'!$D$27*12,V18*(1+'Input sheet(dashboard)'!$E$25)+U19,0)</f>
        <v>0</v>
      </c>
      <c r="W19" s="17">
        <f>IF(B19&lt;='Input sheet(dashboard)'!$D$27*12,J19-I19+V19-N19,0)</f>
        <v>1659882.7211844856</v>
      </c>
      <c r="X19" s="3">
        <f>IF(B19&lt;='Input sheet(dashboard)'!$D$27*12,'Input sheet(dashboard)'!$D$17*(1+'Input sheet(dashboard)'!$E$23)^(B19-1),0)</f>
        <v>27534.057844528514</v>
      </c>
      <c r="Y19" s="3"/>
      <c r="Z19" s="18"/>
      <c r="AA19" s="18"/>
      <c r="AB19" s="3">
        <f>IF(B19=1,'Input sheet(dashboard)'!$D$18*Calculations!X19,IF(Calculations!B19=12*'Input sheet(dashboard)'!$D$27,'Input sheet(dashboard)'!$D$18*-Calculations!X19,0))</f>
        <v>0</v>
      </c>
      <c r="AC19" s="3">
        <f>IF(B19&lt;='Input sheet(dashboard)'!$D$27*12,IF(MOD(B18,'Input sheet(dashboard)'!$D$19*12),0,'Input sheet(dashboard)'!$D$20*(1+'Input sheet(dashboard)'!$E$22)^Calculations!B19),0)</f>
        <v>0</v>
      </c>
      <c r="AD19" s="17">
        <f t="shared" si="3"/>
        <v>27534.057844528514</v>
      </c>
      <c r="AE19" s="17">
        <f>IF(B19&lt;='Input sheet(dashboard)'!$D$27*12,IF(D19=12,SUM(AD8:AD19),0),0)</f>
        <v>0</v>
      </c>
      <c r="AF19" s="17">
        <f t="shared" si="4"/>
        <v>27052.177747466456</v>
      </c>
      <c r="AG19" s="17">
        <f t="shared" si="5"/>
        <v>27052.177747466456</v>
      </c>
      <c r="AH19" s="3">
        <f>IF(B19&lt;='Input sheet(dashboard)'!$D$27*12,AH18*(1+'Input sheet(dashboard)'!$E$25)+AG19," ")</f>
        <v>1485805.0951507266</v>
      </c>
    </row>
    <row r="20" spans="2:34">
      <c r="B20">
        <f t="shared" si="0"/>
        <v>17</v>
      </c>
      <c r="C20">
        <f t="shared" si="7"/>
        <v>2</v>
      </c>
      <c r="D20">
        <f t="shared" si="8"/>
        <v>5</v>
      </c>
      <c r="E20" s="15">
        <f>IF(C20&lt;='Input sheet(dashboard)'!$D$6, -PMT('Input sheet(dashboard)'!$E$5,'Input sheet(dashboard)'!$D$6*12,'Input sheet(dashboard)'!$D$3*'Input sheet(dashboard)'!$D$4),0)</f>
        <v>39834.137922259193</v>
      </c>
      <c r="F20" s="3">
        <f>I19*'Input sheet(dashboard)'!$E$5</f>
        <v>28431.076253136907</v>
      </c>
      <c r="G20" s="3">
        <f>IF(C20&lt;='Input sheet(dashboard)'!$D$6,E20*'Input sheet(dashboard)'!$D$7,0)</f>
        <v>3186.7310337807357</v>
      </c>
      <c r="H20" s="3">
        <f t="shared" si="1"/>
        <v>11403.061669122286</v>
      </c>
      <c r="I20" s="3">
        <f t="shared" si="2"/>
        <v>7793352.8785648001</v>
      </c>
      <c r="J20" s="3">
        <f>IF(B20&lt;='Input sheet(dashboard)'!$D$27*12,'Input sheet(dashboard)'!$D$3*(1+'Input sheet(dashboard)'!$E$24)^B20,0)</f>
        <v>9503198.7708925288</v>
      </c>
      <c r="K20" s="3">
        <f>IF(B20&lt;='Input sheet(dashboard)'!$D$27*12,J20*'Input sheet(dashboard)'!$E$8,0)</f>
        <v>9842.9002538382683</v>
      </c>
      <c r="L20" s="3">
        <f>IF(B20&lt;='Input sheet(dashboard)'!$D$27*12,'Input sheet(dashboard)'!$D$9*(1+'Input sheet(dashboard)'!$E$22)^B20,0)</f>
        <v>3106.8007216303308</v>
      </c>
      <c r="M20" s="3">
        <f>IF(B20=1,'Input sheet(dashboard)'!$D$3*'Input sheet(dashboard)'!$D$10,0)</f>
        <v>0</v>
      </c>
      <c r="N20" s="3">
        <f>IF(B20='Input sheet(dashboard)'!$D$27*12,J20*'Input sheet(dashboard)'!$D$11,0)</f>
        <v>0</v>
      </c>
      <c r="O20" s="3">
        <f>IF(SUM(F20:F31)&gt;=150000,150000/12*'Input sheet(dashboard)'!$D$28,SUM(F20:F31)/12*'Input sheet(dashboard)'!$D$28)</f>
        <v>1875</v>
      </c>
      <c r="P20" s="3">
        <f t="shared" si="6"/>
        <v>0</v>
      </c>
      <c r="Q20" s="3">
        <f>IF(B20&lt;='Input sheet(dashboard)'!$D$27*12,'Input sheet(dashboard)'!$D$12/12,0)</f>
        <v>192.5</v>
      </c>
      <c r="R20" s="3">
        <f>IF(B20&lt;='Input sheet(dashboard)'!$D$27*12,('Input sheet(dashboard)'!$D$15/12)*(1+'Input sheet(dashboard)'!$E$22)^Calculations!B20,0)</f>
        <v>345.20008018114788</v>
      </c>
      <c r="S20" s="3">
        <f>IF(B20&lt;='Input sheet(dashboard)'!$D$27*12,(E20+G20+K20+L20-O20+M20+Q20+R20),0)</f>
        <v>54633.270011689674</v>
      </c>
      <c r="T20" s="3">
        <f>IF(B20&lt;='Input sheet(dashboard)'!$D$27*12,IF(D20=12,SUM(S9:S20),0),0)</f>
        <v>0</v>
      </c>
      <c r="U20" s="3">
        <f>IF(B20&lt;='Input sheet(dashboard)'!$D$27*12,IF(S20&lt;AD20,AD20-S20,0),0)</f>
        <v>0</v>
      </c>
      <c r="V20" s="3">
        <f>IF(B20&lt;='Input sheet(dashboard)'!$D$27*12,V19*(1+'Input sheet(dashboard)'!$E$25)+U20,0)</f>
        <v>0</v>
      </c>
      <c r="W20" s="17">
        <f>IF(B20&lt;='Input sheet(dashboard)'!$D$27*12,J20-I20+V20-N20,0)</f>
        <v>1709845.8923277287</v>
      </c>
      <c r="X20" s="3">
        <f>IF(B20&lt;='Input sheet(dashboard)'!$D$27*12,'Input sheet(dashboard)'!$D$17*(1+'Input sheet(dashboard)'!$E$23)^(B20-1),0)</f>
        <v>27646.235004453258</v>
      </c>
      <c r="Y20" s="3"/>
      <c r="Z20" s="18"/>
      <c r="AA20" s="18"/>
      <c r="AB20" s="3">
        <f>IF(B20=1,'Input sheet(dashboard)'!$D$18*Calculations!X20,IF(Calculations!B20=12*'Input sheet(dashboard)'!$D$27,'Input sheet(dashboard)'!$D$18*-Calculations!X20,0))</f>
        <v>0</v>
      </c>
      <c r="AC20" s="3">
        <f>IF(B20&lt;='Input sheet(dashboard)'!$D$27*12,IF(MOD(B19,'Input sheet(dashboard)'!$D$19*12),0,'Input sheet(dashboard)'!$D$20*(1+'Input sheet(dashboard)'!$E$22)^Calculations!B20),0)</f>
        <v>0</v>
      </c>
      <c r="AD20" s="17">
        <f t="shared" si="3"/>
        <v>27646.235004453258</v>
      </c>
      <c r="AE20" s="17">
        <f>IF(B20&lt;='Input sheet(dashboard)'!$D$27*12,IF(D20=12,SUM(AD9:AD20),0),0)</f>
        <v>0</v>
      </c>
      <c r="AF20" s="17">
        <f t="shared" si="4"/>
        <v>26987.035007236416</v>
      </c>
      <c r="AG20" s="17">
        <f t="shared" si="5"/>
        <v>26987.035007236416</v>
      </c>
      <c r="AH20" s="3">
        <f>IF(B20&lt;='Input sheet(dashboard)'!$D$27*12,AH19*(1+'Input sheet(dashboard)'!$E$25)+AG20," ")</f>
        <v>1522351.8448777595</v>
      </c>
    </row>
    <row r="21" spans="2:34">
      <c r="B21">
        <f t="shared" si="0"/>
        <v>18</v>
      </c>
      <c r="C21">
        <f t="shared" si="7"/>
        <v>2</v>
      </c>
      <c r="D21">
        <f t="shared" si="8"/>
        <v>6</v>
      </c>
      <c r="E21" s="15">
        <f>IF(C21&lt;='Input sheet(dashboard)'!$D$6, -PMT('Input sheet(dashboard)'!$E$5,'Input sheet(dashboard)'!$D$6*12,'Input sheet(dashboard)'!$D$3*'Input sheet(dashboard)'!$D$4),0)</f>
        <v>39834.137922259193</v>
      </c>
      <c r="F21" s="3">
        <f>I20*'Input sheet(dashboard)'!$E$5</f>
        <v>28389.537309662355</v>
      </c>
      <c r="G21" s="3">
        <f>IF(C21&lt;='Input sheet(dashboard)'!$D$6,E21*'Input sheet(dashboard)'!$D$7,0)</f>
        <v>3186.7310337807357</v>
      </c>
      <c r="H21" s="3">
        <f t="shared" si="1"/>
        <v>11444.600612596838</v>
      </c>
      <c r="I21" s="3">
        <f t="shared" si="2"/>
        <v>7781908.2779522035</v>
      </c>
      <c r="J21" s="3">
        <f>IF(B21&lt;='Input sheet(dashboard)'!$D$27*12,'Input sheet(dashboard)'!$D$3*(1+'Input sheet(dashboard)'!$E$24)^B21,0)</f>
        <v>9541915.9790257625</v>
      </c>
      <c r="K21" s="3">
        <f>IF(B21&lt;='Input sheet(dashboard)'!$D$27*12,J21*'Input sheet(dashboard)'!$E$8,0)</f>
        <v>9883.0014478625108</v>
      </c>
      <c r="L21" s="3">
        <f>IF(B21&lt;='Input sheet(dashboard)'!$D$27*12,'Input sheet(dashboard)'!$D$9*(1+'Input sheet(dashboard)'!$E$22)^B21,0)</f>
        <v>3113.2002224399189</v>
      </c>
      <c r="M21" s="3">
        <f>IF(B21=1,'Input sheet(dashboard)'!$D$3*'Input sheet(dashboard)'!$D$10,0)</f>
        <v>0</v>
      </c>
      <c r="N21" s="3">
        <f>IF(B21='Input sheet(dashboard)'!$D$27*12,J21*'Input sheet(dashboard)'!$D$11,0)</f>
        <v>0</v>
      </c>
      <c r="O21" s="3">
        <f>IF(SUM(F21:F32)&gt;=150000,150000/12*'Input sheet(dashboard)'!$D$28,SUM(F21:F32)/12*'Input sheet(dashboard)'!$D$28)</f>
        <v>1875</v>
      </c>
      <c r="P21" s="3">
        <f t="shared" si="6"/>
        <v>0</v>
      </c>
      <c r="Q21" s="3">
        <f>IF(B21&lt;='Input sheet(dashboard)'!$D$27*12,'Input sheet(dashboard)'!$D$12/12,0)</f>
        <v>192.5</v>
      </c>
      <c r="R21" s="3">
        <f>IF(B21&lt;='Input sheet(dashboard)'!$D$27*12,('Input sheet(dashboard)'!$D$15/12)*(1+'Input sheet(dashboard)'!$E$22)^Calculations!B21,0)</f>
        <v>345.91113582665758</v>
      </c>
      <c r="S21" s="3">
        <f>IF(B21&lt;='Input sheet(dashboard)'!$D$27*12,(E21+G21+K21+L21-O21+M21+Q21+R21),0)</f>
        <v>54680.481762169016</v>
      </c>
      <c r="T21" s="3">
        <f>IF(B21&lt;='Input sheet(dashboard)'!$D$27*12,IF(D21=12,SUM(S10:S21),0),0)</f>
        <v>0</v>
      </c>
      <c r="U21" s="3">
        <f>IF(B21&lt;='Input sheet(dashboard)'!$D$27*12,IF(S21&lt;AD21,AD21-S21,0),0)</f>
        <v>0</v>
      </c>
      <c r="V21" s="3">
        <f>IF(B21&lt;='Input sheet(dashboard)'!$D$27*12,V20*(1+'Input sheet(dashboard)'!$E$25)+U21,0)</f>
        <v>0</v>
      </c>
      <c r="W21" s="17">
        <f>IF(B21&lt;='Input sheet(dashboard)'!$D$27*12,J21-I21+V21-N21,0)</f>
        <v>1760007.701073559</v>
      </c>
      <c r="X21" s="3">
        <f>IF(B21&lt;='Input sheet(dashboard)'!$D$27*12,'Input sheet(dashboard)'!$D$17*(1+'Input sheet(dashboard)'!$E$23)^(B21-1),0)</f>
        <v>27758.869188013232</v>
      </c>
      <c r="Y21" s="3"/>
      <c r="Z21" s="18"/>
      <c r="AA21" s="18"/>
      <c r="AB21" s="3">
        <f>IF(B21=1,'Input sheet(dashboard)'!$D$18*Calculations!X21,IF(Calculations!B21=12*'Input sheet(dashboard)'!$D$27,'Input sheet(dashboard)'!$D$18*-Calculations!X21,0))</f>
        <v>0</v>
      </c>
      <c r="AC21" s="3">
        <f>IF(B21&lt;='Input sheet(dashboard)'!$D$27*12,IF(MOD(B20,'Input sheet(dashboard)'!$D$19*12),0,'Input sheet(dashboard)'!$D$20*(1+'Input sheet(dashboard)'!$E$22)^Calculations!B21),0)</f>
        <v>0</v>
      </c>
      <c r="AD21" s="17">
        <f t="shared" si="3"/>
        <v>27758.869188013232</v>
      </c>
      <c r="AE21" s="17">
        <f>IF(B21&lt;='Input sheet(dashboard)'!$D$27*12,IF(D21=12,SUM(AD10:AD21),0),0)</f>
        <v>0</v>
      </c>
      <c r="AF21" s="17">
        <f t="shared" si="4"/>
        <v>26921.612574155784</v>
      </c>
      <c r="AG21" s="17">
        <f t="shared" si="5"/>
        <v>26921.612574155784</v>
      </c>
      <c r="AH21" s="3">
        <f>IF(B21&lt;='Input sheet(dashboard)'!$D$27*12,AH20*(1+'Input sheet(dashboard)'!$E$25)+AG21," ")</f>
        <v>1559068.3150598779</v>
      </c>
    </row>
    <row r="22" spans="2:34">
      <c r="B22">
        <f t="shared" si="0"/>
        <v>19</v>
      </c>
      <c r="C22">
        <f t="shared" si="7"/>
        <v>2</v>
      </c>
      <c r="D22">
        <f t="shared" si="8"/>
        <v>7</v>
      </c>
      <c r="E22" s="15">
        <f>IF(C22&lt;='Input sheet(dashboard)'!$D$6, -PMT('Input sheet(dashboard)'!$E$5,'Input sheet(dashboard)'!$D$6*12,'Input sheet(dashboard)'!$D$3*'Input sheet(dashboard)'!$D$4),0)</f>
        <v>39834.137922259193</v>
      </c>
      <c r="F22" s="3">
        <f>I21*'Input sheet(dashboard)'!$E$5</f>
        <v>28347.847048596526</v>
      </c>
      <c r="G22" s="3">
        <f>IF(C22&lt;='Input sheet(dashboard)'!$D$6,E22*'Input sheet(dashboard)'!$D$7,0)</f>
        <v>3186.7310337807357</v>
      </c>
      <c r="H22" s="3">
        <f t="shared" si="1"/>
        <v>11486.290873662667</v>
      </c>
      <c r="I22" s="3">
        <f t="shared" si="2"/>
        <v>7770421.987078541</v>
      </c>
      <c r="J22" s="3">
        <f>IF(B22&lt;='Input sheet(dashboard)'!$D$27*12,'Input sheet(dashboard)'!$D$3*(1+'Input sheet(dashboard)'!$E$24)^B22,0)</f>
        <v>9580790.9258574862</v>
      </c>
      <c r="K22" s="3">
        <f>IF(B22&lt;='Input sheet(dashboard)'!$D$27*12,J22*'Input sheet(dashboard)'!$E$8,0)</f>
        <v>9923.2660191150808</v>
      </c>
      <c r="L22" s="3">
        <f>IF(B22&lt;='Input sheet(dashboard)'!$D$27*12,'Input sheet(dashboard)'!$D$9*(1+'Input sheet(dashboard)'!$E$22)^B22,0)</f>
        <v>3119.6129051733828</v>
      </c>
      <c r="M22" s="3">
        <f>IF(B22=1,'Input sheet(dashboard)'!$D$3*'Input sheet(dashboard)'!$D$10,0)</f>
        <v>0</v>
      </c>
      <c r="N22" s="3">
        <f>IF(B22='Input sheet(dashboard)'!$D$27*12,J22*'Input sheet(dashboard)'!$D$11,0)</f>
        <v>0</v>
      </c>
      <c r="O22" s="3">
        <f>IF(SUM(F22:F33)&gt;=150000,150000/12*'Input sheet(dashboard)'!$D$28,SUM(F22:F33)/12*'Input sheet(dashboard)'!$D$28)</f>
        <v>1875</v>
      </c>
      <c r="P22" s="3">
        <f t="shared" si="6"/>
        <v>0</v>
      </c>
      <c r="Q22" s="3">
        <f>IF(B22&lt;='Input sheet(dashboard)'!$D$27*12,'Input sheet(dashboard)'!$D$12/12,0)</f>
        <v>192.5</v>
      </c>
      <c r="R22" s="3">
        <f>IF(B22&lt;='Input sheet(dashboard)'!$D$27*12,('Input sheet(dashboard)'!$D$15/12)*(1+'Input sheet(dashboard)'!$E$22)^Calculations!B22,0)</f>
        <v>346.62365613037582</v>
      </c>
      <c r="S22" s="3">
        <f>IF(B22&lt;='Input sheet(dashboard)'!$D$27*12,(E22+G22+K22+L22-O22+M22+Q22+R22),0)</f>
        <v>54727.871536458762</v>
      </c>
      <c r="T22" s="3">
        <f>IF(B22&lt;='Input sheet(dashboard)'!$D$27*12,IF(D22=12,SUM(S11:S22),0),0)</f>
        <v>0</v>
      </c>
      <c r="U22" s="3">
        <f>IF(B22&lt;='Input sheet(dashboard)'!$D$27*12,IF(S22&lt;AD22,AD22-S22,0),0)</f>
        <v>0</v>
      </c>
      <c r="V22" s="3">
        <f>IF(B22&lt;='Input sheet(dashboard)'!$D$27*12,V21*(1+'Input sheet(dashboard)'!$E$25)+U22,0)</f>
        <v>0</v>
      </c>
      <c r="W22" s="17">
        <f>IF(B22&lt;='Input sheet(dashboard)'!$D$27*12,J22-I22+V22-N22,0)</f>
        <v>1810368.9387789452</v>
      </c>
      <c r="X22" s="3">
        <f>IF(B22&lt;='Input sheet(dashboard)'!$D$27*12,'Input sheet(dashboard)'!$D$17*(1+'Input sheet(dashboard)'!$E$23)^(B22-1),0)</f>
        <v>27871.962257179304</v>
      </c>
      <c r="Y22" s="3"/>
      <c r="Z22" s="18"/>
      <c r="AA22" s="18"/>
      <c r="AB22" s="3">
        <f>IF(B22=1,'Input sheet(dashboard)'!$D$18*Calculations!X22,IF(Calculations!B22=12*'Input sheet(dashboard)'!$D$27,'Input sheet(dashboard)'!$D$18*-Calculations!X22,0))</f>
        <v>0</v>
      </c>
      <c r="AC22" s="3">
        <f>IF(B22&lt;='Input sheet(dashboard)'!$D$27*12,IF(MOD(B21,'Input sheet(dashboard)'!$D$19*12),0,'Input sheet(dashboard)'!$D$20*(1+'Input sheet(dashboard)'!$E$22)^Calculations!B22),0)</f>
        <v>0</v>
      </c>
      <c r="AD22" s="17">
        <f t="shared" si="3"/>
        <v>27871.962257179304</v>
      </c>
      <c r="AE22" s="17">
        <f>IF(B22&lt;='Input sheet(dashboard)'!$D$27*12,IF(D22=12,SUM(AD11:AD22),0),0)</f>
        <v>0</v>
      </c>
      <c r="AF22" s="17">
        <f t="shared" si="4"/>
        <v>26855.909279279458</v>
      </c>
      <c r="AG22" s="17">
        <f t="shared" si="5"/>
        <v>26855.909279279458</v>
      </c>
      <c r="AH22" s="3">
        <f>IF(B22&lt;='Input sheet(dashboard)'!$D$27*12,AH21*(1+'Input sheet(dashboard)'!$E$25)+AG22," ")</f>
        <v>1595955.316821805</v>
      </c>
    </row>
    <row r="23" spans="2:34">
      <c r="B23">
        <f t="shared" si="0"/>
        <v>20</v>
      </c>
      <c r="C23">
        <f t="shared" si="7"/>
        <v>2</v>
      </c>
      <c r="D23">
        <f t="shared" si="8"/>
        <v>8</v>
      </c>
      <c r="E23" s="15">
        <f>IF(C23&lt;='Input sheet(dashboard)'!$D$6, -PMT('Input sheet(dashboard)'!$E$5,'Input sheet(dashboard)'!$D$6*12,'Input sheet(dashboard)'!$D$3*'Input sheet(dashboard)'!$D$4),0)</f>
        <v>39834.137922259193</v>
      </c>
      <c r="F23" s="3">
        <f>I22*'Input sheet(dashboard)'!$E$5</f>
        <v>28306.004918721417</v>
      </c>
      <c r="G23" s="3">
        <f>IF(C23&lt;='Input sheet(dashboard)'!$D$6,E23*'Input sheet(dashboard)'!$D$7,0)</f>
        <v>3186.7310337807357</v>
      </c>
      <c r="H23" s="3">
        <f t="shared" si="1"/>
        <v>11528.133003537776</v>
      </c>
      <c r="I23" s="3">
        <f t="shared" si="2"/>
        <v>7758893.8540750034</v>
      </c>
      <c r="J23" s="3">
        <f>IF(B23&lt;='Input sheet(dashboard)'!$D$27*12,'Input sheet(dashboard)'!$D$3*(1+'Input sheet(dashboard)'!$E$24)^B23,0)</f>
        <v>9619824.2540346831</v>
      </c>
      <c r="K23" s="3">
        <f>IF(B23&lt;='Input sheet(dashboard)'!$D$27*12,J23*'Input sheet(dashboard)'!$E$8,0)</f>
        <v>9963.6946332150255</v>
      </c>
      <c r="L23" s="3">
        <f>IF(B23&lt;='Input sheet(dashboard)'!$D$27*12,'Input sheet(dashboard)'!$D$9*(1+'Input sheet(dashboard)'!$E$22)^B23,0)</f>
        <v>3126.0387969833287</v>
      </c>
      <c r="M23" s="3">
        <f>IF(B23=1,'Input sheet(dashboard)'!$D$3*'Input sheet(dashboard)'!$D$10,0)</f>
        <v>0</v>
      </c>
      <c r="N23" s="3">
        <f>IF(B23='Input sheet(dashboard)'!$D$27*12,J23*'Input sheet(dashboard)'!$D$11,0)</f>
        <v>0</v>
      </c>
      <c r="O23" s="3">
        <f>IF(SUM(F23:F34)&gt;=150000,150000/12*'Input sheet(dashboard)'!$D$28,SUM(F23:F34)/12*'Input sheet(dashboard)'!$D$28)</f>
        <v>1875</v>
      </c>
      <c r="P23" s="3">
        <f t="shared" si="6"/>
        <v>0</v>
      </c>
      <c r="Q23" s="3">
        <f>IF(B23&lt;='Input sheet(dashboard)'!$D$27*12,'Input sheet(dashboard)'!$D$12/12,0)</f>
        <v>192.5</v>
      </c>
      <c r="R23" s="3">
        <f>IF(B23&lt;='Input sheet(dashboard)'!$D$27*12,('Input sheet(dashboard)'!$D$15/12)*(1+'Input sheet(dashboard)'!$E$22)^Calculations!B23,0)</f>
        <v>347.33764410925875</v>
      </c>
      <c r="S23" s="3">
        <f>IF(B23&lt;='Input sheet(dashboard)'!$D$27*12,(E23+G23+K23+L23-O23+M23+Q23+R23),0)</f>
        <v>54775.440030347549</v>
      </c>
      <c r="T23" s="3">
        <f>IF(B23&lt;='Input sheet(dashboard)'!$D$27*12,IF(D23=12,SUM(S12:S23),0),0)</f>
        <v>0</v>
      </c>
      <c r="U23" s="3">
        <f>IF(B23&lt;='Input sheet(dashboard)'!$D$27*12,IF(S23&lt;AD23,AD23-S23,0),0)</f>
        <v>0</v>
      </c>
      <c r="V23" s="3">
        <f>IF(B23&lt;='Input sheet(dashboard)'!$D$27*12,V22*(1+'Input sheet(dashboard)'!$E$25)+U23,0)</f>
        <v>0</v>
      </c>
      <c r="W23" s="17">
        <f>IF(B23&lt;='Input sheet(dashboard)'!$D$27*12,J23-I23+V23-N23,0)</f>
        <v>1860930.3999596797</v>
      </c>
      <c r="X23" s="3">
        <f>IF(B23&lt;='Input sheet(dashboard)'!$D$27*12,'Input sheet(dashboard)'!$D$17*(1+'Input sheet(dashboard)'!$E$23)^(B23-1),0)</f>
        <v>27985.516081508227</v>
      </c>
      <c r="Y23" s="3"/>
      <c r="Z23" s="18"/>
      <c r="AA23" s="18"/>
      <c r="AB23" s="3">
        <f>IF(B23=1,'Input sheet(dashboard)'!$D$18*Calculations!X23,IF(Calculations!B23=12*'Input sheet(dashboard)'!$D$27,'Input sheet(dashboard)'!$D$18*-Calculations!X23,0))</f>
        <v>0</v>
      </c>
      <c r="AC23" s="3">
        <f>IF(B23&lt;='Input sheet(dashboard)'!$D$27*12,IF(MOD(B22,'Input sheet(dashboard)'!$D$19*12),0,'Input sheet(dashboard)'!$D$20*(1+'Input sheet(dashboard)'!$E$22)^Calculations!B23),0)</f>
        <v>0</v>
      </c>
      <c r="AD23" s="17">
        <f t="shared" si="3"/>
        <v>27985.516081508227</v>
      </c>
      <c r="AE23" s="17">
        <f>IF(B23&lt;='Input sheet(dashboard)'!$D$27*12,IF(D23=12,SUM(AD12:AD23),0),0)</f>
        <v>0</v>
      </c>
      <c r="AF23" s="17">
        <f t="shared" si="4"/>
        <v>26789.923948839321</v>
      </c>
      <c r="AG23" s="17">
        <f t="shared" si="5"/>
        <v>26789.923948839321</v>
      </c>
      <c r="AH23" s="3">
        <f>IF(B23&lt;='Input sheet(dashboard)'!$D$27*12,AH22*(1+'Input sheet(dashboard)'!$E$25)+AG23," ")</f>
        <v>1633013.6653332959</v>
      </c>
    </row>
    <row r="24" spans="2:34">
      <c r="B24">
        <f t="shared" si="0"/>
        <v>21</v>
      </c>
      <c r="C24">
        <f t="shared" si="7"/>
        <v>2</v>
      </c>
      <c r="D24">
        <f t="shared" si="8"/>
        <v>9</v>
      </c>
      <c r="E24" s="15">
        <f>IF(C24&lt;='Input sheet(dashboard)'!$D$6, -PMT('Input sheet(dashboard)'!$E$5,'Input sheet(dashboard)'!$D$6*12,'Input sheet(dashboard)'!$D$3*'Input sheet(dashboard)'!$D$4),0)</f>
        <v>39834.137922259193</v>
      </c>
      <c r="F24" s="3">
        <f>I23*'Input sheet(dashboard)'!$E$5</f>
        <v>28264.010366811053</v>
      </c>
      <c r="G24" s="3">
        <f>IF(C24&lt;='Input sheet(dashboard)'!$D$6,E24*'Input sheet(dashboard)'!$D$7,0)</f>
        <v>3186.7310337807357</v>
      </c>
      <c r="H24" s="3">
        <f t="shared" si="1"/>
        <v>11570.12755544814</v>
      </c>
      <c r="I24" s="3">
        <f t="shared" si="2"/>
        <v>7747323.7265195549</v>
      </c>
      <c r="J24" s="3">
        <f>IF(B24&lt;='Input sheet(dashboard)'!$D$27*12,'Input sheet(dashboard)'!$D$3*(1+'Input sheet(dashboard)'!$E$24)^B24,0)</f>
        <v>9659016.6088225637</v>
      </c>
      <c r="K24" s="3">
        <f>IF(B24&lt;='Input sheet(dashboard)'!$D$27*12,J24*'Input sheet(dashboard)'!$E$8,0)</f>
        <v>10004.287958493216</v>
      </c>
      <c r="L24" s="3">
        <f>IF(B24&lt;='Input sheet(dashboard)'!$D$27*12,'Input sheet(dashboard)'!$D$9*(1+'Input sheet(dashboard)'!$E$22)^B24,0)</f>
        <v>3132.4779250782904</v>
      </c>
      <c r="M24" s="3">
        <f>IF(B24=1,'Input sheet(dashboard)'!$D$3*'Input sheet(dashboard)'!$D$10,0)</f>
        <v>0</v>
      </c>
      <c r="N24" s="3">
        <f>IF(B24='Input sheet(dashboard)'!$D$27*12,J24*'Input sheet(dashboard)'!$D$11,0)</f>
        <v>0</v>
      </c>
      <c r="O24" s="3">
        <f>IF(SUM(F24:F35)&gt;=150000,150000/12*'Input sheet(dashboard)'!$D$28,SUM(F24:F35)/12*'Input sheet(dashboard)'!$D$28)</f>
        <v>1875</v>
      </c>
      <c r="P24" s="3">
        <f t="shared" si="6"/>
        <v>0</v>
      </c>
      <c r="Q24" s="3">
        <f>IF(B24&lt;='Input sheet(dashboard)'!$D$27*12,'Input sheet(dashboard)'!$D$12/12,0)</f>
        <v>192.5</v>
      </c>
      <c r="R24" s="3">
        <f>IF(B24&lt;='Input sheet(dashboard)'!$D$27*12,('Input sheet(dashboard)'!$D$15/12)*(1+'Input sheet(dashboard)'!$E$22)^Calculations!B24,0)</f>
        <v>348.05310278647664</v>
      </c>
      <c r="S24" s="3">
        <f>IF(B24&lt;='Input sheet(dashboard)'!$D$27*12,(E24+G24+K24+L24-O24+M24+Q24+R24),0)</f>
        <v>54823.187942397912</v>
      </c>
      <c r="T24" s="3">
        <f>IF(B24&lt;='Input sheet(dashboard)'!$D$27*12,IF(D24=12,SUM(S13:S24),0),0)</f>
        <v>0</v>
      </c>
      <c r="U24" s="3">
        <f>IF(B24&lt;='Input sheet(dashboard)'!$D$27*12,IF(S24&lt;AD24,AD24-S24,0),0)</f>
        <v>0</v>
      </c>
      <c r="V24" s="3">
        <f>IF(B24&lt;='Input sheet(dashboard)'!$D$27*12,V23*(1+'Input sheet(dashboard)'!$E$25)+U24,0)</f>
        <v>0</v>
      </c>
      <c r="W24" s="17">
        <f>IF(B24&lt;='Input sheet(dashboard)'!$D$27*12,J24-I24+V24-N24,0)</f>
        <v>1911692.8823030088</v>
      </c>
      <c r="X24" s="3">
        <f>IF(B24&lt;='Input sheet(dashboard)'!$D$27*12,'Input sheet(dashboard)'!$D$17*(1+'Input sheet(dashboard)'!$E$23)^(B24-1),0)</f>
        <v>28099.532538173571</v>
      </c>
      <c r="Y24" s="3"/>
      <c r="Z24" s="18"/>
      <c r="AA24" s="18"/>
      <c r="AB24" s="3">
        <f>IF(B24=1,'Input sheet(dashboard)'!$D$18*Calculations!X24,IF(Calculations!B24=12*'Input sheet(dashboard)'!$D$27,'Input sheet(dashboard)'!$D$18*-Calculations!X24,0))</f>
        <v>0</v>
      </c>
      <c r="AC24" s="3">
        <f>IF(B24&lt;='Input sheet(dashboard)'!$D$27*12,IF(MOD(B23,'Input sheet(dashboard)'!$D$19*12),0,'Input sheet(dashboard)'!$D$20*(1+'Input sheet(dashboard)'!$E$22)^Calculations!B24),0)</f>
        <v>0</v>
      </c>
      <c r="AD24" s="17">
        <f t="shared" si="3"/>
        <v>28099.532538173571</v>
      </c>
      <c r="AE24" s="17">
        <f>IF(B24&lt;='Input sheet(dashboard)'!$D$27*12,IF(D24=12,SUM(AD13:AD24),0),0)</f>
        <v>0</v>
      </c>
      <c r="AF24" s="17">
        <f t="shared" si="4"/>
        <v>26723.655404224341</v>
      </c>
      <c r="AG24" s="17">
        <f t="shared" si="5"/>
        <v>26723.655404224341</v>
      </c>
      <c r="AH24" s="3">
        <f>IF(B24&lt;='Input sheet(dashboard)'!$D$27*12,AH23*(1+'Input sheet(dashboard)'!$E$25)+AG24," ")</f>
        <v>1670244.1798303218</v>
      </c>
    </row>
    <row r="25" spans="2:34">
      <c r="B25">
        <f t="shared" si="0"/>
        <v>22</v>
      </c>
      <c r="C25">
        <f t="shared" si="7"/>
        <v>2</v>
      </c>
      <c r="D25">
        <f t="shared" si="8"/>
        <v>10</v>
      </c>
      <c r="E25" s="15">
        <f>IF(C25&lt;='Input sheet(dashboard)'!$D$6, -PMT('Input sheet(dashboard)'!$E$5,'Input sheet(dashboard)'!$D$6*12,'Input sheet(dashboard)'!$D$3*'Input sheet(dashboard)'!$D$4),0)</f>
        <v>39834.137922259193</v>
      </c>
      <c r="F25" s="3">
        <f>I24*'Input sheet(dashboard)'!$E$5</f>
        <v>28221.862837624172</v>
      </c>
      <c r="G25" s="3">
        <f>IF(C25&lt;='Input sheet(dashboard)'!$D$6,E25*'Input sheet(dashboard)'!$D$7,0)</f>
        <v>3186.7310337807357</v>
      </c>
      <c r="H25" s="3">
        <f t="shared" si="1"/>
        <v>11612.275084635021</v>
      </c>
      <c r="I25" s="3">
        <f t="shared" si="2"/>
        <v>7735711.4514349196</v>
      </c>
      <c r="J25" s="3">
        <f>IF(B25&lt;='Input sheet(dashboard)'!$D$27*12,'Input sheet(dashboard)'!$D$3*(1+'Input sheet(dashboard)'!$E$24)^B25,0)</f>
        <v>9698368.6381152235</v>
      </c>
      <c r="K25" s="3">
        <f>IF(B25&lt;='Input sheet(dashboard)'!$D$27*12,J25*'Input sheet(dashboard)'!$E$8,0)</f>
        <v>10045.046666003382</v>
      </c>
      <c r="L25" s="3">
        <f>IF(B25&lt;='Input sheet(dashboard)'!$D$27*12,'Input sheet(dashboard)'!$D$9*(1+'Input sheet(dashboard)'!$E$22)^B25,0)</f>
        <v>3138.9303167228481</v>
      </c>
      <c r="M25" s="3">
        <f>IF(B25=1,'Input sheet(dashboard)'!$D$3*'Input sheet(dashboard)'!$D$10,0)</f>
        <v>0</v>
      </c>
      <c r="N25" s="3">
        <f>IF(B25='Input sheet(dashboard)'!$D$27*12,J25*'Input sheet(dashboard)'!$D$11,0)</f>
        <v>0</v>
      </c>
      <c r="O25" s="3">
        <f>IF(SUM(F25:F36)&gt;=150000,150000/12*'Input sheet(dashboard)'!$D$28,SUM(F25:F36)/12*'Input sheet(dashboard)'!$D$28)</f>
        <v>1875</v>
      </c>
      <c r="P25" s="3">
        <f t="shared" si="6"/>
        <v>0</v>
      </c>
      <c r="Q25" s="3">
        <f>IF(B25&lt;='Input sheet(dashboard)'!$D$27*12,'Input sheet(dashboard)'!$D$12/12,0)</f>
        <v>192.5</v>
      </c>
      <c r="R25" s="3">
        <f>IF(B25&lt;='Input sheet(dashboard)'!$D$27*12,('Input sheet(dashboard)'!$D$15/12)*(1+'Input sheet(dashboard)'!$E$22)^Calculations!B25,0)</f>
        <v>348.77003519142755</v>
      </c>
      <c r="S25" s="3">
        <f>IF(B25&lt;='Input sheet(dashboard)'!$D$27*12,(E25+G25+K25+L25-O25+M25+Q25+R25),0)</f>
        <v>54871.115973957581</v>
      </c>
      <c r="T25" s="3">
        <f>IF(B25&lt;='Input sheet(dashboard)'!$D$27*12,IF(D25=12,SUM(S14:S25),0),0)</f>
        <v>0</v>
      </c>
      <c r="U25" s="3">
        <f>IF(B25&lt;='Input sheet(dashboard)'!$D$27*12,IF(S25&lt;AD25,AD25-S25,0),0)</f>
        <v>0</v>
      </c>
      <c r="V25" s="3">
        <f>IF(B25&lt;='Input sheet(dashboard)'!$D$27*12,V24*(1+'Input sheet(dashboard)'!$E$25)+U25,0)</f>
        <v>0</v>
      </c>
      <c r="W25" s="17">
        <f>IF(B25&lt;='Input sheet(dashboard)'!$D$27*12,J25-I25+V25-N25,0)</f>
        <v>1962657.1866803039</v>
      </c>
      <c r="X25" s="3">
        <f>IF(B25&lt;='Input sheet(dashboard)'!$D$27*12,'Input sheet(dashboard)'!$D$17*(1+'Input sheet(dashboard)'!$E$23)^(B25-1),0)</f>
        <v>28214.013511996745</v>
      </c>
      <c r="Y25" s="3"/>
      <c r="Z25" s="18"/>
      <c r="AA25" s="18"/>
      <c r="AB25" s="3">
        <f>IF(B25=1,'Input sheet(dashboard)'!$D$18*Calculations!X25,IF(Calculations!B25=12*'Input sheet(dashboard)'!$D$27,'Input sheet(dashboard)'!$D$18*-Calculations!X25,0))</f>
        <v>0</v>
      </c>
      <c r="AC25" s="3">
        <f>IF(B25&lt;='Input sheet(dashboard)'!$D$27*12,IF(MOD(B24,'Input sheet(dashboard)'!$D$19*12),0,'Input sheet(dashboard)'!$D$20*(1+'Input sheet(dashboard)'!$E$22)^Calculations!B25),0)</f>
        <v>0</v>
      </c>
      <c r="AD25" s="17">
        <f t="shared" si="3"/>
        <v>28214.013511996745</v>
      </c>
      <c r="AE25" s="17">
        <f>IF(B25&lt;='Input sheet(dashboard)'!$D$27*12,IF(D25=12,SUM(AD14:AD25),0),0)</f>
        <v>0</v>
      </c>
      <c r="AF25" s="17">
        <f t="shared" si="4"/>
        <v>26657.102461960836</v>
      </c>
      <c r="AG25" s="17">
        <f t="shared" si="5"/>
        <v>26657.102461960836</v>
      </c>
      <c r="AH25" s="3">
        <f>IF(B25&lt;='Input sheet(dashboard)'!$D$27*12,AH24*(1+'Input sheet(dashboard)'!$E$25)+AG25," ")</f>
        <v>1707647.683636369</v>
      </c>
    </row>
    <row r="26" spans="2:34">
      <c r="B26">
        <f t="shared" si="0"/>
        <v>23</v>
      </c>
      <c r="C26">
        <f t="shared" si="7"/>
        <v>2</v>
      </c>
      <c r="D26">
        <f t="shared" si="8"/>
        <v>11</v>
      </c>
      <c r="E26" s="15">
        <f>IF(C26&lt;='Input sheet(dashboard)'!$D$6, -PMT('Input sheet(dashboard)'!$E$5,'Input sheet(dashboard)'!$D$6*12,'Input sheet(dashboard)'!$D$3*'Input sheet(dashboard)'!$D$4),0)</f>
        <v>39834.137922259193</v>
      </c>
      <c r="F26" s="3">
        <f>I25*'Input sheet(dashboard)'!$E$5</f>
        <v>28179.561773896898</v>
      </c>
      <c r="G26" s="3">
        <f>IF(C26&lt;='Input sheet(dashboard)'!$D$6,E26*'Input sheet(dashboard)'!$D$7,0)</f>
        <v>3186.7310337807357</v>
      </c>
      <c r="H26" s="3">
        <f t="shared" si="1"/>
        <v>11654.576148362295</v>
      </c>
      <c r="I26" s="3">
        <f t="shared" si="2"/>
        <v>7724056.8752865577</v>
      </c>
      <c r="J26" s="3">
        <f>IF(B26&lt;='Input sheet(dashboard)'!$D$27*12,'Input sheet(dashboard)'!$D$3*(1+'Input sheet(dashboard)'!$E$24)^B26,0)</f>
        <v>9737880.9924463574</v>
      </c>
      <c r="K26" s="3">
        <f>IF(B26&lt;='Input sheet(dashboard)'!$D$27*12,J26*'Input sheet(dashboard)'!$E$8,0)</f>
        <v>10085.971429533203</v>
      </c>
      <c r="L26" s="3">
        <f>IF(B26&lt;='Input sheet(dashboard)'!$D$27*12,'Input sheet(dashboard)'!$D$9*(1+'Input sheet(dashboard)'!$E$22)^B26,0)</f>
        <v>3145.3959992377431</v>
      </c>
      <c r="M26" s="3">
        <f>IF(B26=1,'Input sheet(dashboard)'!$D$3*'Input sheet(dashboard)'!$D$10,0)</f>
        <v>0</v>
      </c>
      <c r="N26" s="3">
        <f>IF(B26='Input sheet(dashboard)'!$D$27*12,J26*'Input sheet(dashboard)'!$D$11,0)</f>
        <v>0</v>
      </c>
      <c r="O26" s="3">
        <f>IF(SUM(F26:F37)&gt;=150000,150000/12*'Input sheet(dashboard)'!$D$28,SUM(F26:F37)/12*'Input sheet(dashboard)'!$D$28)</f>
        <v>1875</v>
      </c>
      <c r="P26" s="3">
        <f t="shared" si="6"/>
        <v>0</v>
      </c>
      <c r="Q26" s="3">
        <f>IF(B26&lt;='Input sheet(dashboard)'!$D$27*12,'Input sheet(dashboard)'!$D$12/12,0)</f>
        <v>192.5</v>
      </c>
      <c r="R26" s="3">
        <f>IF(B26&lt;='Input sheet(dashboard)'!$D$27*12,('Input sheet(dashboard)'!$D$15/12)*(1+'Input sheet(dashboard)'!$E$22)^Calculations!B26,0)</f>
        <v>349.48844435974922</v>
      </c>
      <c r="S26" s="3">
        <f>IF(B26&lt;='Input sheet(dashboard)'!$D$27*12,(E26+G26+K26+L26-O26+M26+Q26+R26),0)</f>
        <v>54919.22482917062</v>
      </c>
      <c r="T26" s="3">
        <f>IF(B26&lt;='Input sheet(dashboard)'!$D$27*12,IF(D26=12,SUM(S15:S26),0),0)</f>
        <v>0</v>
      </c>
      <c r="U26" s="3">
        <f>IF(B26&lt;='Input sheet(dashboard)'!$D$27*12,IF(S26&lt;AD26,AD26-S26,0),0)</f>
        <v>0</v>
      </c>
      <c r="V26" s="3">
        <f>IF(B26&lt;='Input sheet(dashboard)'!$D$27*12,V25*(1+'Input sheet(dashboard)'!$E$25)+U26,0)</f>
        <v>0</v>
      </c>
      <c r="W26" s="17">
        <f>IF(B26&lt;='Input sheet(dashboard)'!$D$27*12,J26-I26+V26-N26,0)</f>
        <v>2013824.1171597997</v>
      </c>
      <c r="X26" s="3">
        <f>IF(B26&lt;='Input sheet(dashboard)'!$D$27*12,'Input sheet(dashboard)'!$D$17*(1+'Input sheet(dashboard)'!$E$23)^(B26-1),0)</f>
        <v>28328.960895478151</v>
      </c>
      <c r="Y26" s="3"/>
      <c r="Z26" s="18"/>
      <c r="AA26" s="18"/>
      <c r="AB26" s="3">
        <f>IF(B26=1,'Input sheet(dashboard)'!$D$18*Calculations!X26,IF(Calculations!B26=12*'Input sheet(dashboard)'!$D$27,'Input sheet(dashboard)'!$D$18*-Calculations!X26,0))</f>
        <v>0</v>
      </c>
      <c r="AC26" s="3">
        <f>IF(B26&lt;='Input sheet(dashboard)'!$D$27*12,IF(MOD(B25,'Input sheet(dashboard)'!$D$19*12),0,'Input sheet(dashboard)'!$D$20*(1+'Input sheet(dashboard)'!$E$22)^Calculations!B26),0)</f>
        <v>0</v>
      </c>
      <c r="AD26" s="17">
        <f t="shared" si="3"/>
        <v>28328.960895478151</v>
      </c>
      <c r="AE26" s="17">
        <f>IF(B26&lt;='Input sheet(dashboard)'!$D$27*12,IF(D26=12,SUM(AD15:AD26),0),0)</f>
        <v>0</v>
      </c>
      <c r="AF26" s="17">
        <f t="shared" si="4"/>
        <v>26590.263933692469</v>
      </c>
      <c r="AG26" s="17">
        <f t="shared" si="5"/>
        <v>26590.263933692469</v>
      </c>
      <c r="AH26" s="3">
        <f>IF(B26&lt;='Input sheet(dashboard)'!$D$27*12,AH25*(1+'Input sheet(dashboard)'!$E$25)+AG26," ")</f>
        <v>1745225.0041838554</v>
      </c>
    </row>
    <row r="27" spans="2:34">
      <c r="B27">
        <f t="shared" si="0"/>
        <v>24</v>
      </c>
      <c r="C27">
        <f t="shared" si="7"/>
        <v>2</v>
      </c>
      <c r="D27">
        <f t="shared" si="8"/>
        <v>12</v>
      </c>
      <c r="E27" s="15">
        <f>IF(C27&lt;='Input sheet(dashboard)'!$D$6, -PMT('Input sheet(dashboard)'!$E$5,'Input sheet(dashboard)'!$D$6*12,'Input sheet(dashboard)'!$D$3*'Input sheet(dashboard)'!$D$4),0)</f>
        <v>39834.137922259193</v>
      </c>
      <c r="F27" s="3">
        <f>I26*'Input sheet(dashboard)'!$E$5</f>
        <v>28137.106616335346</v>
      </c>
      <c r="G27" s="3">
        <f>IF(C27&lt;='Input sheet(dashboard)'!$D$6,E27*'Input sheet(dashboard)'!$D$7,0)</f>
        <v>3186.7310337807357</v>
      </c>
      <c r="H27" s="3">
        <f t="shared" si="1"/>
        <v>11697.031305923847</v>
      </c>
      <c r="I27" s="3">
        <f t="shared" si="2"/>
        <v>7712359.8439806337</v>
      </c>
      <c r="J27" s="3">
        <f>IF(B27&lt;='Input sheet(dashboard)'!$D$27*12,'Input sheet(dashboard)'!$D$3*(1+'Input sheet(dashboard)'!$E$24)^B27,0)</f>
        <v>9777554.3250000216</v>
      </c>
      <c r="K27" s="3">
        <f>IF(B27&lt;='Input sheet(dashboard)'!$D$27*12,J27*'Input sheet(dashboard)'!$E$8,0)</f>
        <v>10127.062925615463</v>
      </c>
      <c r="L27" s="3">
        <f>IF(B27&lt;='Input sheet(dashboard)'!$D$27*12,'Input sheet(dashboard)'!$D$9*(1+'Input sheet(dashboard)'!$E$22)^B27,0)</f>
        <v>3151.8749999999909</v>
      </c>
      <c r="M27" s="3">
        <f>IF(B27=1,'Input sheet(dashboard)'!$D$3*'Input sheet(dashboard)'!$D$10,0)</f>
        <v>0</v>
      </c>
      <c r="N27" s="3">
        <f>IF(B27='Input sheet(dashboard)'!$D$27*12,J27*'Input sheet(dashboard)'!$D$11,0)</f>
        <v>0</v>
      </c>
      <c r="O27" s="3">
        <f>IF(SUM(F27:F38)&gt;=150000,150000/12*'Input sheet(dashboard)'!$D$28,SUM(F27:F38)/12*'Input sheet(dashboard)'!$D$28)</f>
        <v>1875</v>
      </c>
      <c r="P27" s="3">
        <f t="shared" si="6"/>
        <v>22500</v>
      </c>
      <c r="Q27" s="3">
        <f>IF(B27&lt;='Input sheet(dashboard)'!$D$27*12,'Input sheet(dashboard)'!$D$12/12,0)</f>
        <v>192.5</v>
      </c>
      <c r="R27" s="3">
        <f>IF(B27&lt;='Input sheet(dashboard)'!$D$27*12,('Input sheet(dashboard)'!$D$15/12)*(1+'Input sheet(dashboard)'!$E$22)^Calculations!B27,0)</f>
        <v>350.20833333333235</v>
      </c>
      <c r="S27" s="3">
        <f>IF(B27&lt;='Input sheet(dashboard)'!$D$27*12,(E27+G27+K27+L27-O27+M27+Q27+R27),0)</f>
        <v>54967.515214988722</v>
      </c>
      <c r="T27" s="3">
        <f>IF(B27&lt;='Input sheet(dashboard)'!$D$27*12,IF(D27=12,SUM(S16:S27),0),0)</f>
        <v>656462.60612116032</v>
      </c>
      <c r="U27" s="3">
        <f>IF(B27&lt;='Input sheet(dashboard)'!$D$27*12,IF(S27&lt;AD27,AD27-S27,0),0)</f>
        <v>0</v>
      </c>
      <c r="V27" s="3">
        <f>IF(B27&lt;='Input sheet(dashboard)'!$D$27*12,V26*(1+'Input sheet(dashboard)'!$E$25)+U27,0)</f>
        <v>0</v>
      </c>
      <c r="W27" s="17">
        <f>IF(B27&lt;='Input sheet(dashboard)'!$D$27*12,J27-I27+V27-N27,0)</f>
        <v>2065194.481019388</v>
      </c>
      <c r="X27" s="3">
        <f>IF(B27&lt;='Input sheet(dashboard)'!$D$27*12,'Input sheet(dashboard)'!$D$17*(1+'Input sheet(dashboard)'!$E$23)^(B27-1),0)</f>
        <v>28444.376588828462</v>
      </c>
      <c r="Y27" s="3"/>
      <c r="Z27" s="18"/>
      <c r="AA27" s="18"/>
      <c r="AB27" s="3">
        <f>IF(B27=1,'Input sheet(dashboard)'!$D$18*Calculations!X27,IF(Calculations!B27=12*'Input sheet(dashboard)'!$D$27,'Input sheet(dashboard)'!$D$18*-Calculations!X27,0))</f>
        <v>0</v>
      </c>
      <c r="AC27" s="3">
        <f>IF(B27&lt;='Input sheet(dashboard)'!$D$27*12,IF(MOD(B26,'Input sheet(dashboard)'!$D$19*12),0,'Input sheet(dashboard)'!$D$20*(1+'Input sheet(dashboard)'!$E$22)^Calculations!B27),0)</f>
        <v>0</v>
      </c>
      <c r="AD27" s="17">
        <f t="shared" si="3"/>
        <v>28444.376588828462</v>
      </c>
      <c r="AE27" s="17">
        <f>IF(B27&lt;='Input sheet(dashboard)'!$D$27*12,IF(D27=12,SUM(AD16:AD27),0),0)</f>
        <v>333817.17694942892</v>
      </c>
      <c r="AF27" s="17">
        <f t="shared" si="4"/>
        <v>26523.13862616026</v>
      </c>
      <c r="AG27" s="17">
        <f t="shared" si="5"/>
        <v>26523.13862616026</v>
      </c>
      <c r="AH27" s="3">
        <f>IF(B27&lt;='Input sheet(dashboard)'!$D$27*12,AH26*(1+'Input sheet(dashboard)'!$E$25)+AG27," ")</f>
        <v>1782976.9730356655</v>
      </c>
    </row>
    <row r="28" spans="2:34">
      <c r="B28">
        <f t="shared" si="0"/>
        <v>25</v>
      </c>
      <c r="C28">
        <f t="shared" si="7"/>
        <v>3</v>
      </c>
      <c r="D28">
        <f t="shared" si="8"/>
        <v>1</v>
      </c>
      <c r="E28" s="15">
        <f>IF(C28&lt;='Input sheet(dashboard)'!$D$6, -PMT('Input sheet(dashboard)'!$E$5,'Input sheet(dashboard)'!$D$6*12,'Input sheet(dashboard)'!$D$3*'Input sheet(dashboard)'!$D$4),0)</f>
        <v>39834.137922259193</v>
      </c>
      <c r="F28" s="3">
        <f>I27*'Input sheet(dashboard)'!$E$5</f>
        <v>28094.49680360825</v>
      </c>
      <c r="G28" s="3">
        <f>IF(C28&lt;='Input sheet(dashboard)'!$D$6,E28*'Input sheet(dashboard)'!$D$7,0)</f>
        <v>3186.7310337807357</v>
      </c>
      <c r="H28" s="3">
        <f t="shared" si="1"/>
        <v>11739.641118650943</v>
      </c>
      <c r="I28" s="3">
        <f t="shared" si="2"/>
        <v>7700620.2028619824</v>
      </c>
      <c r="J28" s="3">
        <f>IF(B28&lt;='Input sheet(dashboard)'!$D$27*12,'Input sheet(dashboard)'!$D$3*(1+'Input sheet(dashboard)'!$E$24)^B28,0)</f>
        <v>9817389.2916214187</v>
      </c>
      <c r="K28" s="3">
        <f>IF(B28&lt;='Input sheet(dashboard)'!$D$27*12,J28*'Input sheet(dashboard)'!$E$8,0)</f>
        <v>10168.321833539218</v>
      </c>
      <c r="L28" s="3">
        <f>IF(B28&lt;='Input sheet(dashboard)'!$D$27*12,'Input sheet(dashboard)'!$D$9*(1+'Input sheet(dashboard)'!$E$22)^B28,0)</f>
        <v>3158.3673464430021</v>
      </c>
      <c r="M28" s="3">
        <f>IF(B28=1,'Input sheet(dashboard)'!$D$3*'Input sheet(dashboard)'!$D$10,0)</f>
        <v>0</v>
      </c>
      <c r="N28" s="3">
        <f>IF(B28='Input sheet(dashboard)'!$D$27*12,J28*'Input sheet(dashboard)'!$D$11,0)</f>
        <v>0</v>
      </c>
      <c r="O28" s="3">
        <f>IF(SUM(F28:F39)&gt;=150000,150000/12*'Input sheet(dashboard)'!$D$28,SUM(F28:F39)/12*'Input sheet(dashboard)'!$D$28)</f>
        <v>1875</v>
      </c>
      <c r="P28" s="3">
        <f t="shared" si="6"/>
        <v>0</v>
      </c>
      <c r="Q28" s="3">
        <f>IF(B28&lt;='Input sheet(dashboard)'!$D$27*12,'Input sheet(dashboard)'!$D$12/12,0)</f>
        <v>192.5</v>
      </c>
      <c r="R28" s="3">
        <f>IF(B28&lt;='Input sheet(dashboard)'!$D$27*12,('Input sheet(dashboard)'!$D$15/12)*(1+'Input sheet(dashboard)'!$E$22)^Calculations!B28,0)</f>
        <v>350.92970516033358</v>
      </c>
      <c r="S28" s="3">
        <f>IF(B28&lt;='Input sheet(dashboard)'!$D$27*12,(E28+G28+K28+L28-O28+M28+Q28+R28),0)</f>
        <v>55015.987841182483</v>
      </c>
      <c r="T28" s="3">
        <f>IF(B28&lt;='Input sheet(dashboard)'!$D$27*12,IF(D28=12,SUM(S17:S28),0),0)</f>
        <v>0</v>
      </c>
      <c r="U28" s="3">
        <f>IF(B28&lt;='Input sheet(dashboard)'!$D$27*12,IF(S28&lt;AD28,AD28-S28,0),0)</f>
        <v>0</v>
      </c>
      <c r="V28" s="3">
        <f>IF(B28&lt;='Input sheet(dashboard)'!$D$27*12,V27*(1+'Input sheet(dashboard)'!$E$25)+U28,0)</f>
        <v>0</v>
      </c>
      <c r="W28" s="17">
        <f>IF(B28&lt;='Input sheet(dashboard)'!$D$27*12,J28-I28+V28-N28,0)</f>
        <v>2116769.0887594363</v>
      </c>
      <c r="X28" s="3">
        <f>IF(B28&lt;='Input sheet(dashboard)'!$D$27*12,'Input sheet(dashboard)'!$D$17*(1+'Input sheet(dashboard)'!$E$23)^(B28-1),0)</f>
        <v>28560.262500000063</v>
      </c>
      <c r="Y28" s="3"/>
      <c r="Z28" s="18"/>
      <c r="AA28" s="18"/>
      <c r="AB28" s="3">
        <f>IF(B28=1,'Input sheet(dashboard)'!$D$18*Calculations!X28,IF(Calculations!B28=12*'Input sheet(dashboard)'!$D$27,'Input sheet(dashboard)'!$D$18*-Calculations!X28,0))</f>
        <v>0</v>
      </c>
      <c r="AC28" s="3">
        <f>IF(B28&lt;='Input sheet(dashboard)'!$D$27*12,IF(MOD(B27,'Input sheet(dashboard)'!$D$19*12),0,'Input sheet(dashboard)'!$D$20*(1+'Input sheet(dashboard)'!$E$22)^Calculations!B28),0)</f>
        <v>0</v>
      </c>
      <c r="AD28" s="17">
        <f t="shared" si="3"/>
        <v>28560.262500000063</v>
      </c>
      <c r="AE28" s="17">
        <f>IF(B28&lt;='Input sheet(dashboard)'!$D$27*12,IF(D28=12,SUM(AD17:AD28),0),0)</f>
        <v>0</v>
      </c>
      <c r="AF28" s="17">
        <f t="shared" si="4"/>
        <v>26455.72534118242</v>
      </c>
      <c r="AG28" s="17">
        <f t="shared" si="5"/>
        <v>26455.72534118242</v>
      </c>
      <c r="AH28" s="3">
        <f>IF(B28&lt;='Input sheet(dashboard)'!$D$27*12,AH27*(1+'Input sheet(dashboard)'!$E$25)+AG28," ")</f>
        <v>1820904.4259068021</v>
      </c>
    </row>
    <row r="29" spans="2:34">
      <c r="B29">
        <f t="shared" si="0"/>
        <v>26</v>
      </c>
      <c r="C29">
        <f t="shared" si="7"/>
        <v>3</v>
      </c>
      <c r="D29">
        <f t="shared" si="8"/>
        <v>2</v>
      </c>
      <c r="E29" s="15">
        <f>IF(C29&lt;='Input sheet(dashboard)'!$D$6, -PMT('Input sheet(dashboard)'!$E$5,'Input sheet(dashboard)'!$D$6*12,'Input sheet(dashboard)'!$D$3*'Input sheet(dashboard)'!$D$4),0)</f>
        <v>39834.137922259193</v>
      </c>
      <c r="F29" s="3">
        <f>I28*'Input sheet(dashboard)'!$E$5</f>
        <v>28051.731772339532</v>
      </c>
      <c r="G29" s="3">
        <f>IF(C29&lt;='Input sheet(dashboard)'!$D$6,E29*'Input sheet(dashboard)'!$D$7,0)</f>
        <v>3186.7310337807357</v>
      </c>
      <c r="H29" s="3">
        <f t="shared" si="1"/>
        <v>11782.406149919661</v>
      </c>
      <c r="I29" s="3">
        <f t="shared" si="2"/>
        <v>7688837.7967120623</v>
      </c>
      <c r="J29" s="3">
        <f>IF(B29&lt;='Input sheet(dashboard)'!$D$27*12,'Input sheet(dashboard)'!$D$3*(1+'Input sheet(dashboard)'!$E$24)^B29,0)</f>
        <v>9857386.5508277472</v>
      </c>
      <c r="K29" s="3">
        <f>IF(B29&lt;='Input sheet(dashboard)'!$D$27*12,J29*'Input sheet(dashboard)'!$E$8,0)</f>
        <v>10209.74883536103</v>
      </c>
      <c r="L29" s="3">
        <f>IF(B29&lt;='Input sheet(dashboard)'!$D$27*12,'Input sheet(dashboard)'!$D$9*(1+'Input sheet(dashboard)'!$E$22)^B29,0)</f>
        <v>3164.8730660566921</v>
      </c>
      <c r="M29" s="3">
        <f>IF(B29=1,'Input sheet(dashboard)'!$D$3*'Input sheet(dashboard)'!$D$10,0)</f>
        <v>0</v>
      </c>
      <c r="N29" s="3">
        <f>IF(B29='Input sheet(dashboard)'!$D$27*12,J29*'Input sheet(dashboard)'!$D$11,0)</f>
        <v>0</v>
      </c>
      <c r="O29" s="3">
        <f>IF(SUM(F29:F40)&gt;=150000,150000/12*'Input sheet(dashboard)'!$D$28,SUM(F29:F40)/12*'Input sheet(dashboard)'!$D$28)</f>
        <v>1875</v>
      </c>
      <c r="P29" s="3">
        <f t="shared" si="6"/>
        <v>0</v>
      </c>
      <c r="Q29" s="3">
        <f>IF(B29&lt;='Input sheet(dashboard)'!$D$27*12,'Input sheet(dashboard)'!$D$12/12,0)</f>
        <v>192.5</v>
      </c>
      <c r="R29" s="3">
        <f>IF(B29&lt;='Input sheet(dashboard)'!$D$27*12,('Input sheet(dashboard)'!$D$15/12)*(1+'Input sheet(dashboard)'!$E$22)^Calculations!B29,0)</f>
        <v>351.652562895188</v>
      </c>
      <c r="S29" s="3">
        <f>IF(B29&lt;='Input sheet(dashboard)'!$D$27*12,(E29+G29+K29+L29-O29+M29+Q29+R29),0)</f>
        <v>55064.643420352841</v>
      </c>
      <c r="T29" s="3">
        <f>IF(B29&lt;='Input sheet(dashboard)'!$D$27*12,IF(D29=12,SUM(S18:S29),0),0)</f>
        <v>0</v>
      </c>
      <c r="U29" s="3">
        <f>IF(B29&lt;='Input sheet(dashboard)'!$D$27*12,IF(S29&lt;AD29,AD29-S29,0),0)</f>
        <v>0</v>
      </c>
      <c r="V29" s="3">
        <f>IF(B29&lt;='Input sheet(dashboard)'!$D$27*12,V28*(1+'Input sheet(dashboard)'!$E$25)+U29,0)</f>
        <v>0</v>
      </c>
      <c r="W29" s="17">
        <f>IF(B29&lt;='Input sheet(dashboard)'!$D$27*12,J29-I29+V29-N29,0)</f>
        <v>2168548.7541156849</v>
      </c>
      <c r="X29" s="3">
        <f>IF(B29&lt;='Input sheet(dashboard)'!$D$27*12,'Input sheet(dashboard)'!$D$17*(1+'Input sheet(dashboard)'!$E$23)^(B29-1),0)</f>
        <v>28676.620544718557</v>
      </c>
      <c r="Y29" s="3"/>
      <c r="Z29" s="18"/>
      <c r="AA29" s="18"/>
      <c r="AB29" s="3">
        <f>IF(B29=1,'Input sheet(dashboard)'!$D$18*Calculations!X29,IF(Calculations!B29=12*'Input sheet(dashboard)'!$D$27,'Input sheet(dashboard)'!$D$18*-Calculations!X29,0))</f>
        <v>0</v>
      </c>
      <c r="AC29" s="3">
        <f>IF(B29&lt;='Input sheet(dashboard)'!$D$27*12,IF(MOD(B28,'Input sheet(dashboard)'!$D$19*12),0,'Input sheet(dashboard)'!$D$20*(1+'Input sheet(dashboard)'!$E$22)^Calculations!B29),0)</f>
        <v>0</v>
      </c>
      <c r="AD29" s="17">
        <f t="shared" si="3"/>
        <v>28676.620544718557</v>
      </c>
      <c r="AE29" s="17">
        <f>IF(B29&lt;='Input sheet(dashboard)'!$D$27*12,IF(D29=12,SUM(AD18:AD29),0),0)</f>
        <v>0</v>
      </c>
      <c r="AF29" s="17">
        <f t="shared" si="4"/>
        <v>26388.022875634284</v>
      </c>
      <c r="AG29" s="17">
        <f t="shared" si="5"/>
        <v>26388.022875634284</v>
      </c>
      <c r="AH29" s="3">
        <f>IF(B29&lt;='Input sheet(dashboard)'!$D$27*12,AH28*(1+'Input sheet(dashboard)'!$E$25)+AG29," ")</f>
        <v>1859008.2026861592</v>
      </c>
    </row>
    <row r="30" spans="2:34">
      <c r="B30">
        <f t="shared" si="0"/>
        <v>27</v>
      </c>
      <c r="C30">
        <f t="shared" si="7"/>
        <v>3</v>
      </c>
      <c r="D30">
        <f t="shared" si="8"/>
        <v>3</v>
      </c>
      <c r="E30" s="15">
        <f>IF(C30&lt;='Input sheet(dashboard)'!$D$6, -PMT('Input sheet(dashboard)'!$E$5,'Input sheet(dashboard)'!$D$6*12,'Input sheet(dashboard)'!$D$3*'Input sheet(dashboard)'!$D$4),0)</f>
        <v>39834.137922259193</v>
      </c>
      <c r="F30" s="3">
        <f>I29*'Input sheet(dashboard)'!$E$5</f>
        <v>28008.810957100846</v>
      </c>
      <c r="G30" s="3">
        <f>IF(C30&lt;='Input sheet(dashboard)'!$D$6,E30*'Input sheet(dashboard)'!$D$7,0)</f>
        <v>3186.7310337807357</v>
      </c>
      <c r="H30" s="3">
        <f t="shared" si="1"/>
        <v>11825.326965158347</v>
      </c>
      <c r="I30" s="3">
        <f t="shared" si="2"/>
        <v>7677012.4697469035</v>
      </c>
      <c r="J30" s="3">
        <f>IF(B30&lt;='Input sheet(dashboard)'!$D$27*12,'Input sheet(dashboard)'!$D$3*(1+'Input sheet(dashboard)'!$E$24)^B30,0)</f>
        <v>9897546.763819091</v>
      </c>
      <c r="K30" s="3">
        <f>IF(B30&lt;='Input sheet(dashboard)'!$D$27*12,J30*'Input sheet(dashboard)'!$E$8,0)</f>
        <v>10251.34461591625</v>
      </c>
      <c r="L30" s="3">
        <f>IF(B30&lt;='Input sheet(dashboard)'!$D$27*12,'Input sheet(dashboard)'!$D$9*(1+'Input sheet(dashboard)'!$E$22)^B30,0)</f>
        <v>3171.3921863876039</v>
      </c>
      <c r="M30" s="3">
        <f>IF(B30=1,'Input sheet(dashboard)'!$D$3*'Input sheet(dashboard)'!$D$10,0)</f>
        <v>0</v>
      </c>
      <c r="N30" s="3">
        <f>IF(B30='Input sheet(dashboard)'!$D$27*12,J30*'Input sheet(dashboard)'!$D$11,0)</f>
        <v>0</v>
      </c>
      <c r="O30" s="3">
        <f>IF(SUM(F30:F41)&gt;=150000,150000/12*'Input sheet(dashboard)'!$D$28,SUM(F30:F41)/12*'Input sheet(dashboard)'!$D$28)</f>
        <v>1875</v>
      </c>
      <c r="P30" s="3">
        <f t="shared" si="6"/>
        <v>0</v>
      </c>
      <c r="Q30" s="3">
        <f>IF(B30&lt;='Input sheet(dashboard)'!$D$27*12,'Input sheet(dashboard)'!$D$12/12,0)</f>
        <v>192.5</v>
      </c>
      <c r="R30" s="3">
        <f>IF(B30&lt;='Input sheet(dashboard)'!$D$27*12,('Input sheet(dashboard)'!$D$15/12)*(1+'Input sheet(dashboard)'!$E$22)^Calculations!B30,0)</f>
        <v>352.37690959862266</v>
      </c>
      <c r="S30" s="3">
        <f>IF(B30&lt;='Input sheet(dashboard)'!$D$27*12,(E30+G30+K30+L30-O30+M30+Q30+R30),0)</f>
        <v>55113.4826679424</v>
      </c>
      <c r="T30" s="3">
        <f>IF(B30&lt;='Input sheet(dashboard)'!$D$27*12,IF(D30=12,SUM(S19:S30),0),0)</f>
        <v>0</v>
      </c>
      <c r="U30" s="3">
        <f>IF(B30&lt;='Input sheet(dashboard)'!$D$27*12,IF(S30&lt;AD30,AD30-S30,0),0)</f>
        <v>0</v>
      </c>
      <c r="V30" s="3">
        <f>IF(B30&lt;='Input sheet(dashboard)'!$D$27*12,V29*(1+'Input sheet(dashboard)'!$E$25)+U30,0)</f>
        <v>0</v>
      </c>
      <c r="W30" s="17">
        <f>IF(B30&lt;='Input sheet(dashboard)'!$D$27*12,J30-I30+V30-N30,0)</f>
        <v>2220534.2940721875</v>
      </c>
      <c r="X30" s="3">
        <f>IF(B30&lt;='Input sheet(dashboard)'!$D$27*12,'Input sheet(dashboard)'!$D$17*(1+'Input sheet(dashboard)'!$E$23)^(B30-1),0)</f>
        <v>28793.452646514452</v>
      </c>
      <c r="Y30" s="3"/>
      <c r="Z30" s="18"/>
      <c r="AA30" s="18"/>
      <c r="AB30" s="3">
        <f>IF(B30=1,'Input sheet(dashboard)'!$D$18*Calculations!X30,IF(Calculations!B30=12*'Input sheet(dashboard)'!$D$27,'Input sheet(dashboard)'!$D$18*-Calculations!X30,0))</f>
        <v>0</v>
      </c>
      <c r="AC30" s="3">
        <f>IF(B30&lt;='Input sheet(dashboard)'!$D$27*12,IF(MOD(B29,'Input sheet(dashboard)'!$D$19*12),0,'Input sheet(dashboard)'!$D$20*(1+'Input sheet(dashboard)'!$E$22)^Calculations!B30),0)</f>
        <v>0</v>
      </c>
      <c r="AD30" s="17">
        <f t="shared" si="3"/>
        <v>28793.452646514452</v>
      </c>
      <c r="AE30" s="17">
        <f>IF(B30&lt;='Input sheet(dashboard)'!$D$27*12,IF(D30=12,SUM(AD19:AD30),0),0)</f>
        <v>0</v>
      </c>
      <c r="AF30" s="17">
        <f t="shared" si="4"/>
        <v>26320.030021427949</v>
      </c>
      <c r="AG30" s="17">
        <f t="shared" si="5"/>
        <v>26320.030021427949</v>
      </c>
      <c r="AH30" s="3">
        <f>IF(B30&lt;='Input sheet(dashboard)'!$D$27*12,AH29*(1+'Input sheet(dashboard)'!$E$25)+AG30," ")</f>
        <v>1897289.1474584132</v>
      </c>
    </row>
    <row r="31" spans="2:34">
      <c r="B31">
        <f t="shared" si="0"/>
        <v>28</v>
      </c>
      <c r="C31">
        <f t="shared" si="7"/>
        <v>3</v>
      </c>
      <c r="D31">
        <f t="shared" si="8"/>
        <v>4</v>
      </c>
      <c r="E31" s="15">
        <f>IF(C31&lt;='Input sheet(dashboard)'!$D$6, -PMT('Input sheet(dashboard)'!$E$5,'Input sheet(dashboard)'!$D$6*12,'Input sheet(dashboard)'!$D$3*'Input sheet(dashboard)'!$D$4),0)</f>
        <v>39834.137922259193</v>
      </c>
      <c r="F31" s="3">
        <f>I30*'Input sheet(dashboard)'!$E$5</f>
        <v>27965.733790404123</v>
      </c>
      <c r="G31" s="3">
        <f>IF(C31&lt;='Input sheet(dashboard)'!$D$6,E31*'Input sheet(dashboard)'!$D$7,0)</f>
        <v>3186.7310337807357</v>
      </c>
      <c r="H31" s="3">
        <f t="shared" si="1"/>
        <v>11868.40413185507</v>
      </c>
      <c r="I31" s="3">
        <f t="shared" si="2"/>
        <v>7665144.0656150486</v>
      </c>
      <c r="J31" s="3">
        <f>IF(B31&lt;='Input sheet(dashboard)'!$D$27*12,'Input sheet(dashboard)'!$D$3*(1+'Input sheet(dashboard)'!$E$24)^B31,0)</f>
        <v>9937870.5944893379</v>
      </c>
      <c r="K31" s="3">
        <f>IF(B31&lt;='Input sheet(dashboard)'!$D$27*12,J31*'Input sheet(dashboard)'!$E$8,0)</f>
        <v>10293.10986283033</v>
      </c>
      <c r="L31" s="3">
        <f>IF(B31&lt;='Input sheet(dashboard)'!$D$27*12,'Input sheet(dashboard)'!$D$9*(1+'Input sheet(dashboard)'!$E$22)^B31,0)</f>
        <v>3177.9247350390215</v>
      </c>
      <c r="M31" s="3">
        <f>IF(B31=1,'Input sheet(dashboard)'!$D$3*'Input sheet(dashboard)'!$D$10,0)</f>
        <v>0</v>
      </c>
      <c r="N31" s="3">
        <f>IF(B31='Input sheet(dashboard)'!$D$27*12,J31*'Input sheet(dashboard)'!$D$11,0)</f>
        <v>0</v>
      </c>
      <c r="O31" s="3">
        <f>IF(SUM(F31:F42)&gt;=150000,150000/12*'Input sheet(dashboard)'!$D$28,SUM(F31:F42)/12*'Input sheet(dashboard)'!$D$28)</f>
        <v>1875</v>
      </c>
      <c r="P31" s="3">
        <f t="shared" si="6"/>
        <v>0</v>
      </c>
      <c r="Q31" s="3">
        <f>IF(B31&lt;='Input sheet(dashboard)'!$D$27*12,'Input sheet(dashboard)'!$D$12/12,0)</f>
        <v>192.5</v>
      </c>
      <c r="R31" s="3">
        <f>IF(B31&lt;='Input sheet(dashboard)'!$D$27*12,('Input sheet(dashboard)'!$D$15/12)*(1+'Input sheet(dashboard)'!$E$22)^Calculations!B31,0)</f>
        <v>353.10274833766903</v>
      </c>
      <c r="S31" s="3">
        <f>IF(B31&lt;='Input sheet(dashboard)'!$D$27*12,(E31+G31+K31+L31-O31+M31+Q31+R31),0)</f>
        <v>55162.506302246948</v>
      </c>
      <c r="T31" s="3">
        <f>IF(B31&lt;='Input sheet(dashboard)'!$D$27*12,IF(D31=12,SUM(S20:S31),0),0)</f>
        <v>0</v>
      </c>
      <c r="U31" s="3">
        <f>IF(B31&lt;='Input sheet(dashboard)'!$D$27*12,IF(S31&lt;AD31,AD31-S31,0),0)</f>
        <v>0</v>
      </c>
      <c r="V31" s="3">
        <f>IF(B31&lt;='Input sheet(dashboard)'!$D$27*12,V30*(1+'Input sheet(dashboard)'!$E$25)+U31,0)</f>
        <v>0</v>
      </c>
      <c r="W31" s="17">
        <f>IF(B31&lt;='Input sheet(dashboard)'!$D$27*12,J31-I31+V31-N31,0)</f>
        <v>2272726.5288742892</v>
      </c>
      <c r="X31" s="3">
        <f>IF(B31&lt;='Input sheet(dashboard)'!$D$27*12,'Input sheet(dashboard)'!$D$17*(1+'Input sheet(dashboard)'!$E$23)^(B31-1),0)</f>
        <v>28910.760736754968</v>
      </c>
      <c r="Y31" s="3"/>
      <c r="Z31" s="18"/>
      <c r="AA31" s="18"/>
      <c r="AB31" s="3">
        <f>IF(B31=1,'Input sheet(dashboard)'!$D$18*Calculations!X31,IF(Calculations!B31=12*'Input sheet(dashboard)'!$D$27,'Input sheet(dashboard)'!$D$18*-Calculations!X31,0))</f>
        <v>0</v>
      </c>
      <c r="AC31" s="3">
        <f>IF(B31&lt;='Input sheet(dashboard)'!$D$27*12,IF(MOD(B30,'Input sheet(dashboard)'!$D$19*12),0,'Input sheet(dashboard)'!$D$20*(1+'Input sheet(dashboard)'!$E$22)^Calculations!B31),0)</f>
        <v>0</v>
      </c>
      <c r="AD31" s="17">
        <f t="shared" si="3"/>
        <v>28910.760736754968</v>
      </c>
      <c r="AE31" s="17">
        <f>IF(B31&lt;='Input sheet(dashboard)'!$D$27*12,IF(D31=12,SUM(AD20:AD31),0),0)</f>
        <v>0</v>
      </c>
      <c r="AF31" s="17">
        <f t="shared" si="4"/>
        <v>26251.74556549198</v>
      </c>
      <c r="AG31" s="17">
        <f t="shared" si="5"/>
        <v>26251.74556549198</v>
      </c>
      <c r="AH31" s="3">
        <f>IF(B31&lt;='Input sheet(dashboard)'!$D$27*12,AH30*(1+'Input sheet(dashboard)'!$E$25)+AG31," ")</f>
        <v>1935748.1085260352</v>
      </c>
    </row>
    <row r="32" spans="2:34">
      <c r="B32">
        <f t="shared" si="0"/>
        <v>29</v>
      </c>
      <c r="C32">
        <f t="shared" si="7"/>
        <v>3</v>
      </c>
      <c r="D32">
        <f t="shared" si="8"/>
        <v>5</v>
      </c>
      <c r="E32" s="15">
        <f>IF(C32&lt;='Input sheet(dashboard)'!$D$6, -PMT('Input sheet(dashboard)'!$E$5,'Input sheet(dashboard)'!$D$6*12,'Input sheet(dashboard)'!$D$3*'Input sheet(dashboard)'!$D$4),0)</f>
        <v>39834.137922259193</v>
      </c>
      <c r="F32" s="3">
        <f>I31*'Input sheet(dashboard)'!$E$5</f>
        <v>27922.499702694047</v>
      </c>
      <c r="G32" s="3">
        <f>IF(C32&lt;='Input sheet(dashboard)'!$D$6,E32*'Input sheet(dashboard)'!$D$7,0)</f>
        <v>3186.7310337807357</v>
      </c>
      <c r="H32" s="3">
        <f t="shared" si="1"/>
        <v>11911.638219565146</v>
      </c>
      <c r="I32" s="3">
        <f t="shared" si="2"/>
        <v>7653232.4273954835</v>
      </c>
      <c r="J32" s="3">
        <f>IF(B32&lt;='Input sheet(dashboard)'!$D$27*12,'Input sheet(dashboard)'!$D$3*(1+'Input sheet(dashboard)'!$E$24)^B32,0)</f>
        <v>9978358.7094371673</v>
      </c>
      <c r="K32" s="3">
        <f>IF(B32&lt;='Input sheet(dashboard)'!$D$27*12,J32*'Input sheet(dashboard)'!$E$8,0)</f>
        <v>10335.045266530195</v>
      </c>
      <c r="L32" s="3">
        <f>IF(B32&lt;='Input sheet(dashboard)'!$D$27*12,'Input sheet(dashboard)'!$D$9*(1+'Input sheet(dashboard)'!$E$22)^B32,0)</f>
        <v>3184.4707396710846</v>
      </c>
      <c r="M32" s="3">
        <f>IF(B32=1,'Input sheet(dashboard)'!$D$3*'Input sheet(dashboard)'!$D$10,0)</f>
        <v>0</v>
      </c>
      <c r="N32" s="3">
        <f>IF(B32='Input sheet(dashboard)'!$D$27*12,J32*'Input sheet(dashboard)'!$D$11,0)</f>
        <v>0</v>
      </c>
      <c r="O32" s="3">
        <f>IF(SUM(F32:F43)&gt;=150000,150000/12*'Input sheet(dashboard)'!$D$28,SUM(F32:F43)/12*'Input sheet(dashboard)'!$D$28)</f>
        <v>1875</v>
      </c>
      <c r="P32" s="3">
        <f t="shared" si="6"/>
        <v>0</v>
      </c>
      <c r="Q32" s="3">
        <f>IF(B32&lt;='Input sheet(dashboard)'!$D$27*12,'Input sheet(dashboard)'!$D$12/12,0)</f>
        <v>192.5</v>
      </c>
      <c r="R32" s="3">
        <f>IF(B32&lt;='Input sheet(dashboard)'!$D$27*12,('Input sheet(dashboard)'!$D$15/12)*(1+'Input sheet(dashboard)'!$E$22)^Calculations!B32,0)</f>
        <v>353.83008218567602</v>
      </c>
      <c r="S32" s="3">
        <f>IF(B32&lt;='Input sheet(dashboard)'!$D$27*12,(E32+G32+K32+L32-O32+M32+Q32+R32),0)</f>
        <v>55211.715044426885</v>
      </c>
      <c r="T32" s="3">
        <f>IF(B32&lt;='Input sheet(dashboard)'!$D$27*12,IF(D32=12,SUM(S21:S32),0),0)</f>
        <v>0</v>
      </c>
      <c r="U32" s="3">
        <f>IF(B32&lt;='Input sheet(dashboard)'!$D$27*12,IF(S32&lt;AD32,AD32-S32,0),0)</f>
        <v>0</v>
      </c>
      <c r="V32" s="3">
        <f>IF(B32&lt;='Input sheet(dashboard)'!$D$27*12,V31*(1+'Input sheet(dashboard)'!$E$25)+U32,0)</f>
        <v>0</v>
      </c>
      <c r="W32" s="17">
        <f>IF(B32&lt;='Input sheet(dashboard)'!$D$27*12,J32-I32+V32-N32,0)</f>
        <v>2325126.2820416838</v>
      </c>
      <c r="X32" s="3">
        <f>IF(B32&lt;='Input sheet(dashboard)'!$D$27*12,'Input sheet(dashboard)'!$D$17*(1+'Input sheet(dashboard)'!$E$23)^(B32-1),0)</f>
        <v>29028.54675467595</v>
      </c>
      <c r="Y32" s="3"/>
      <c r="Z32" s="18"/>
      <c r="AA32" s="18"/>
      <c r="AB32" s="3">
        <f>IF(B32=1,'Input sheet(dashboard)'!$D$18*Calculations!X32,IF(Calculations!B32=12*'Input sheet(dashboard)'!$D$27,'Input sheet(dashboard)'!$D$18*-Calculations!X32,0))</f>
        <v>0</v>
      </c>
      <c r="AC32" s="3">
        <f>IF(B32&lt;='Input sheet(dashboard)'!$D$27*12,IF(MOD(B31,'Input sheet(dashboard)'!$D$19*12),0,'Input sheet(dashboard)'!$D$20*(1+'Input sheet(dashboard)'!$E$22)^Calculations!B32),0)</f>
        <v>0</v>
      </c>
      <c r="AD32" s="17">
        <f t="shared" si="3"/>
        <v>29028.54675467595</v>
      </c>
      <c r="AE32" s="17">
        <f>IF(B32&lt;='Input sheet(dashboard)'!$D$27*12,IF(D32=12,SUM(AD21:AD32),0),0)</f>
        <v>0</v>
      </c>
      <c r="AF32" s="17">
        <f t="shared" si="4"/>
        <v>26183.168289750934</v>
      </c>
      <c r="AG32" s="17">
        <f t="shared" si="5"/>
        <v>26183.168289750934</v>
      </c>
      <c r="AH32" s="3">
        <f>IF(B32&lt;='Input sheet(dashboard)'!$D$27*12,AH31*(1+'Input sheet(dashboard)'!$E$25)+AG32," ")</f>
        <v>1974385.938431425</v>
      </c>
    </row>
    <row r="33" spans="2:34">
      <c r="B33">
        <f t="shared" si="0"/>
        <v>30</v>
      </c>
      <c r="C33">
        <f t="shared" si="7"/>
        <v>3</v>
      </c>
      <c r="D33">
        <f t="shared" si="8"/>
        <v>6</v>
      </c>
      <c r="E33" s="15">
        <f>IF(C33&lt;='Input sheet(dashboard)'!$D$6, -PMT('Input sheet(dashboard)'!$E$5,'Input sheet(dashboard)'!$D$6*12,'Input sheet(dashboard)'!$D$3*'Input sheet(dashboard)'!$D$4),0)</f>
        <v>39834.137922259193</v>
      </c>
      <c r="F33" s="3">
        <f>I32*'Input sheet(dashboard)'!$E$5</f>
        <v>27879.108122340531</v>
      </c>
      <c r="G33" s="3">
        <f>IF(C33&lt;='Input sheet(dashboard)'!$D$6,E33*'Input sheet(dashboard)'!$D$7,0)</f>
        <v>3186.7310337807357</v>
      </c>
      <c r="H33" s="3">
        <f t="shared" si="1"/>
        <v>11955.029799918662</v>
      </c>
      <c r="I33" s="3">
        <f t="shared" si="2"/>
        <v>7641277.3975955648</v>
      </c>
      <c r="J33" s="3">
        <f>IF(B33&lt;='Input sheet(dashboard)'!$D$27*12,'Input sheet(dashboard)'!$D$3*(1+'Input sheet(dashboard)'!$E$24)^B33,0)</f>
        <v>10019011.777977061</v>
      </c>
      <c r="K33" s="3">
        <f>IF(B33&lt;='Input sheet(dashboard)'!$D$27*12,J33*'Input sheet(dashboard)'!$E$8,0)</f>
        <v>10377.151520255647</v>
      </c>
      <c r="L33" s="3">
        <f>IF(B33&lt;='Input sheet(dashboard)'!$D$27*12,'Input sheet(dashboard)'!$D$9*(1+'Input sheet(dashboard)'!$E$22)^B33,0)</f>
        <v>3191.0302280009118</v>
      </c>
      <c r="M33" s="3">
        <f>IF(B33=1,'Input sheet(dashboard)'!$D$3*'Input sheet(dashboard)'!$D$10,0)</f>
        <v>0</v>
      </c>
      <c r="N33" s="3">
        <f>IF(B33='Input sheet(dashboard)'!$D$27*12,J33*'Input sheet(dashboard)'!$D$11,0)</f>
        <v>0</v>
      </c>
      <c r="O33" s="3">
        <f>IF(SUM(F33:F44)&gt;=150000,150000/12*'Input sheet(dashboard)'!$D$28,SUM(F33:F44)/12*'Input sheet(dashboard)'!$D$28)</f>
        <v>1875</v>
      </c>
      <c r="P33" s="3">
        <f t="shared" si="6"/>
        <v>0</v>
      </c>
      <c r="Q33" s="3">
        <f>IF(B33&lt;='Input sheet(dashboard)'!$D$27*12,'Input sheet(dashboard)'!$D$12/12,0)</f>
        <v>192.5</v>
      </c>
      <c r="R33" s="3">
        <f>IF(B33&lt;='Input sheet(dashboard)'!$D$27*12,('Input sheet(dashboard)'!$D$15/12)*(1+'Input sheet(dashboard)'!$E$22)^Calculations!B33,0)</f>
        <v>354.55891422232355</v>
      </c>
      <c r="S33" s="3">
        <f>IF(B33&lt;='Input sheet(dashboard)'!$D$27*12,(E33+G33+K33+L33-O33+M33+Q33+R33),0)</f>
        <v>55261.109618518814</v>
      </c>
      <c r="T33" s="3">
        <f>IF(B33&lt;='Input sheet(dashboard)'!$D$27*12,IF(D33=12,SUM(S22:S33),0),0)</f>
        <v>0</v>
      </c>
      <c r="U33" s="3">
        <f>IF(B33&lt;='Input sheet(dashboard)'!$D$27*12,IF(S33&lt;AD33,AD33-S33,0),0)</f>
        <v>0</v>
      </c>
      <c r="V33" s="3">
        <f>IF(B33&lt;='Input sheet(dashboard)'!$D$27*12,V32*(1+'Input sheet(dashboard)'!$E$25)+U33,0)</f>
        <v>0</v>
      </c>
      <c r="W33" s="17">
        <f>IF(B33&lt;='Input sheet(dashboard)'!$D$27*12,J33-I33+V33-N33,0)</f>
        <v>2377734.3803814957</v>
      </c>
      <c r="X33" s="3">
        <f>IF(B33&lt;='Input sheet(dashboard)'!$D$27*12,'Input sheet(dashboard)'!$D$17*(1+'Input sheet(dashboard)'!$E$23)^(B33-1),0)</f>
        <v>29146.812647413928</v>
      </c>
      <c r="Y33" s="3"/>
      <c r="Z33" s="18"/>
      <c r="AA33" s="18"/>
      <c r="AB33" s="3">
        <f>IF(B33=1,'Input sheet(dashboard)'!$D$18*Calculations!X33,IF(Calculations!B33=12*'Input sheet(dashboard)'!$D$27,'Input sheet(dashboard)'!$D$18*-Calculations!X33,0))</f>
        <v>0</v>
      </c>
      <c r="AC33" s="3">
        <f>IF(B33&lt;='Input sheet(dashboard)'!$D$27*12,IF(MOD(B32,'Input sheet(dashboard)'!$D$19*12),0,'Input sheet(dashboard)'!$D$20*(1+'Input sheet(dashboard)'!$E$22)^Calculations!B33),0)</f>
        <v>0</v>
      </c>
      <c r="AD33" s="17">
        <f t="shared" si="3"/>
        <v>29146.812647413928</v>
      </c>
      <c r="AE33" s="17">
        <f>IF(B33&lt;='Input sheet(dashboard)'!$D$27*12,IF(D33=12,SUM(AD22:AD33),0),0)</f>
        <v>0</v>
      </c>
      <c r="AF33" s="17">
        <f t="shared" si="4"/>
        <v>26114.296971104886</v>
      </c>
      <c r="AG33" s="17">
        <f t="shared" si="5"/>
        <v>26114.296971104886</v>
      </c>
      <c r="AH33" s="3">
        <f>IF(B33&lt;='Input sheet(dashboard)'!$D$27*12,AH32*(1+'Input sheet(dashboard)'!$E$25)+AG33," ")</f>
        <v>2013203.4939791651</v>
      </c>
    </row>
    <row r="34" spans="2:34">
      <c r="B34">
        <f t="shared" si="0"/>
        <v>31</v>
      </c>
      <c r="C34">
        <f t="shared" si="7"/>
        <v>3</v>
      </c>
      <c r="D34">
        <f t="shared" si="8"/>
        <v>7</v>
      </c>
      <c r="E34" s="15">
        <f>IF(C34&lt;='Input sheet(dashboard)'!$D$6, -PMT('Input sheet(dashboard)'!$E$5,'Input sheet(dashboard)'!$D$6*12,'Input sheet(dashboard)'!$D$3*'Input sheet(dashboard)'!$D$4),0)</f>
        <v>39834.137922259193</v>
      </c>
      <c r="F34" s="3">
        <f>I33*'Input sheet(dashboard)'!$E$5</f>
        <v>27835.558475631165</v>
      </c>
      <c r="G34" s="3">
        <f>IF(C34&lt;='Input sheet(dashboard)'!$D$6,E34*'Input sheet(dashboard)'!$D$7,0)</f>
        <v>3186.7310337807357</v>
      </c>
      <c r="H34" s="3">
        <f t="shared" si="1"/>
        <v>11998.579446628028</v>
      </c>
      <c r="I34" s="3">
        <f t="shared" si="2"/>
        <v>7629278.8181489371</v>
      </c>
      <c r="J34" s="3">
        <f>IF(B34&lt;='Input sheet(dashboard)'!$D$27*12,'Input sheet(dashboard)'!$D$3*(1+'Input sheet(dashboard)'!$E$24)^B34,0)</f>
        <v>10059830.47215037</v>
      </c>
      <c r="K34" s="3">
        <f>IF(B34&lt;='Input sheet(dashboard)'!$D$27*12,J34*'Input sheet(dashboard)'!$E$8,0)</f>
        <v>10419.429320070843</v>
      </c>
      <c r="L34" s="3">
        <f>IF(B34&lt;='Input sheet(dashboard)'!$D$27*12,'Input sheet(dashboard)'!$D$9*(1+'Input sheet(dashboard)'!$E$22)^B34,0)</f>
        <v>3197.6032278027133</v>
      </c>
      <c r="M34" s="3">
        <f>IF(B34=1,'Input sheet(dashboard)'!$D$3*'Input sheet(dashboard)'!$D$10,0)</f>
        <v>0</v>
      </c>
      <c r="N34" s="3">
        <f>IF(B34='Input sheet(dashboard)'!$D$27*12,J34*'Input sheet(dashboard)'!$D$11,0)</f>
        <v>0</v>
      </c>
      <c r="O34" s="3">
        <f>IF(SUM(F34:F45)&gt;=150000,150000/12*'Input sheet(dashboard)'!$D$28,SUM(F34:F45)/12*'Input sheet(dashboard)'!$D$28)</f>
        <v>1875</v>
      </c>
      <c r="P34" s="3">
        <f t="shared" si="6"/>
        <v>0</v>
      </c>
      <c r="Q34" s="3">
        <f>IF(B34&lt;='Input sheet(dashboard)'!$D$27*12,'Input sheet(dashboard)'!$D$12/12,0)</f>
        <v>192.5</v>
      </c>
      <c r="R34" s="3">
        <f>IF(B34&lt;='Input sheet(dashboard)'!$D$27*12,('Input sheet(dashboard)'!$D$15/12)*(1+'Input sheet(dashboard)'!$E$22)^Calculations!B34,0)</f>
        <v>355.28924753363481</v>
      </c>
      <c r="S34" s="3">
        <f>IF(B34&lt;='Input sheet(dashboard)'!$D$27*12,(E34+G34+K34+L34-O34+M34+Q34+R34),0)</f>
        <v>55310.690751447117</v>
      </c>
      <c r="T34" s="3">
        <f>IF(B34&lt;='Input sheet(dashboard)'!$D$27*12,IF(D34=12,SUM(S23:S34),0),0)</f>
        <v>0</v>
      </c>
      <c r="U34" s="3">
        <f>IF(B34&lt;='Input sheet(dashboard)'!$D$27*12,IF(S34&lt;AD34,AD34-S34,0),0)</f>
        <v>0</v>
      </c>
      <c r="V34" s="3">
        <f>IF(B34&lt;='Input sheet(dashboard)'!$D$27*12,V33*(1+'Input sheet(dashboard)'!$E$25)+U34,0)</f>
        <v>0</v>
      </c>
      <c r="W34" s="17">
        <f>IF(B34&lt;='Input sheet(dashboard)'!$D$27*12,J34-I34+V34-N34,0)</f>
        <v>2430551.6540014334</v>
      </c>
      <c r="X34" s="3">
        <f>IF(B34&lt;='Input sheet(dashboard)'!$D$27*12,'Input sheet(dashboard)'!$D$17*(1+'Input sheet(dashboard)'!$E$23)^(B34-1),0)</f>
        <v>29265.5603700383</v>
      </c>
      <c r="Y34" s="3"/>
      <c r="Z34" s="18"/>
      <c r="AA34" s="18"/>
      <c r="AB34" s="3">
        <f>IF(B34=1,'Input sheet(dashboard)'!$D$18*Calculations!X34,IF(Calculations!B34=12*'Input sheet(dashboard)'!$D$27,'Input sheet(dashboard)'!$D$18*-Calculations!X34,0))</f>
        <v>0</v>
      </c>
      <c r="AC34" s="3">
        <f>IF(B34&lt;='Input sheet(dashboard)'!$D$27*12,IF(MOD(B33,'Input sheet(dashboard)'!$D$19*12),0,'Input sheet(dashboard)'!$D$20*(1+'Input sheet(dashboard)'!$E$22)^Calculations!B34),0)</f>
        <v>0</v>
      </c>
      <c r="AD34" s="17">
        <f t="shared" si="3"/>
        <v>29265.5603700383</v>
      </c>
      <c r="AE34" s="17">
        <f>IF(B34&lt;='Input sheet(dashboard)'!$D$27*12,IF(D34=12,SUM(AD23:AD34),0),0)</f>
        <v>0</v>
      </c>
      <c r="AF34" s="17">
        <f t="shared" si="4"/>
        <v>26045.130381408817</v>
      </c>
      <c r="AG34" s="17">
        <f t="shared" si="5"/>
        <v>26045.130381408817</v>
      </c>
      <c r="AH34" s="3">
        <f>IF(B34&lt;='Input sheet(dashboard)'!$D$27*12,AH33*(1+'Input sheet(dashboard)'!$E$25)+AG34," ")</f>
        <v>2052201.6362584</v>
      </c>
    </row>
    <row r="35" spans="2:34">
      <c r="B35">
        <f t="shared" si="0"/>
        <v>32</v>
      </c>
      <c r="C35">
        <f t="shared" si="7"/>
        <v>3</v>
      </c>
      <c r="D35">
        <f t="shared" si="8"/>
        <v>8</v>
      </c>
      <c r="E35" s="15">
        <f>IF(C35&lt;='Input sheet(dashboard)'!$D$6, -PMT('Input sheet(dashboard)'!$E$5,'Input sheet(dashboard)'!$D$6*12,'Input sheet(dashboard)'!$D$3*'Input sheet(dashboard)'!$D$4),0)</f>
        <v>39834.137922259193</v>
      </c>
      <c r="F35" s="3">
        <f>I34*'Input sheet(dashboard)'!$E$5</f>
        <v>27791.850186763626</v>
      </c>
      <c r="G35" s="3">
        <f>IF(C35&lt;='Input sheet(dashboard)'!$D$6,E35*'Input sheet(dashboard)'!$D$7,0)</f>
        <v>3186.7310337807357</v>
      </c>
      <c r="H35" s="3">
        <f t="shared" si="1"/>
        <v>12042.287735495567</v>
      </c>
      <c r="I35" s="3">
        <f t="shared" si="2"/>
        <v>7617236.5304134414</v>
      </c>
      <c r="J35" s="3">
        <f>IF(B35&lt;='Input sheet(dashboard)'!$D$27*12,'Input sheet(dashboard)'!$D$3*(1+'Input sheet(dashboard)'!$E$24)^B35,0)</f>
        <v>10100815.46673643</v>
      </c>
      <c r="K35" s="3">
        <f>IF(B35&lt;='Input sheet(dashboard)'!$D$27*12,J35*'Input sheet(dashboard)'!$E$8,0)</f>
        <v>10461.879364875789</v>
      </c>
      <c r="L35" s="3">
        <f>IF(B35&lt;='Input sheet(dashboard)'!$D$27*12,'Input sheet(dashboard)'!$D$9*(1+'Input sheet(dashboard)'!$E$22)^B35,0)</f>
        <v>3204.1897669079071</v>
      </c>
      <c r="M35" s="3">
        <f>IF(B35=1,'Input sheet(dashboard)'!$D$3*'Input sheet(dashboard)'!$D$10,0)</f>
        <v>0</v>
      </c>
      <c r="N35" s="3">
        <f>IF(B35='Input sheet(dashboard)'!$D$27*12,J35*'Input sheet(dashboard)'!$D$11,0)</f>
        <v>0</v>
      </c>
      <c r="O35" s="3">
        <f>IF(SUM(F35:F46)&gt;=150000,150000/12*'Input sheet(dashboard)'!$D$28,SUM(F35:F46)/12*'Input sheet(dashboard)'!$D$28)</f>
        <v>1875</v>
      </c>
      <c r="P35" s="3">
        <f t="shared" si="6"/>
        <v>0</v>
      </c>
      <c r="Q35" s="3">
        <f>IF(B35&lt;='Input sheet(dashboard)'!$D$27*12,'Input sheet(dashboard)'!$D$12/12,0)</f>
        <v>192.5</v>
      </c>
      <c r="R35" s="3">
        <f>IF(B35&lt;='Input sheet(dashboard)'!$D$27*12,('Input sheet(dashboard)'!$D$15/12)*(1+'Input sheet(dashboard)'!$E$22)^Calculations!B35,0)</f>
        <v>356.02108521198966</v>
      </c>
      <c r="S35" s="3">
        <f>IF(B35&lt;='Input sheet(dashboard)'!$D$27*12,(E35+G35+K35+L35-O35+M35+Q35+R35),0)</f>
        <v>55360.459173035619</v>
      </c>
      <c r="T35" s="3">
        <f>IF(B35&lt;='Input sheet(dashboard)'!$D$27*12,IF(D35=12,SUM(S24:S35),0),0)</f>
        <v>0</v>
      </c>
      <c r="U35" s="3">
        <f>IF(B35&lt;='Input sheet(dashboard)'!$D$27*12,IF(S35&lt;AD35,AD35-S35,0),0)</f>
        <v>0</v>
      </c>
      <c r="V35" s="3">
        <f>IF(B35&lt;='Input sheet(dashboard)'!$D$27*12,V34*(1+'Input sheet(dashboard)'!$E$25)+U35,0)</f>
        <v>0</v>
      </c>
      <c r="W35" s="17">
        <f>IF(B35&lt;='Input sheet(dashboard)'!$D$27*12,J35-I35+V35-N35,0)</f>
        <v>2483578.9363229889</v>
      </c>
      <c r="X35" s="3">
        <f>IF(B35&lt;='Input sheet(dashboard)'!$D$27*12,'Input sheet(dashboard)'!$D$17*(1+'Input sheet(dashboard)'!$E$23)^(B35-1),0)</f>
        <v>29384.791885583669</v>
      </c>
      <c r="Y35" s="3"/>
      <c r="Z35" s="18"/>
      <c r="AA35" s="18"/>
      <c r="AB35" s="3">
        <f>IF(B35=1,'Input sheet(dashboard)'!$D$18*Calculations!X35,IF(Calculations!B35=12*'Input sheet(dashboard)'!$D$27,'Input sheet(dashboard)'!$D$18*-Calculations!X35,0))</f>
        <v>0</v>
      </c>
      <c r="AC35" s="3">
        <f>IF(B35&lt;='Input sheet(dashboard)'!$D$27*12,IF(MOD(B34,'Input sheet(dashboard)'!$D$19*12),0,'Input sheet(dashboard)'!$D$20*(1+'Input sheet(dashboard)'!$E$22)^Calculations!B35),0)</f>
        <v>0</v>
      </c>
      <c r="AD35" s="17">
        <f t="shared" si="3"/>
        <v>29384.791885583669</v>
      </c>
      <c r="AE35" s="17">
        <f>IF(B35&lt;='Input sheet(dashboard)'!$D$27*12,IF(D35=12,SUM(AD24:AD35),0),0)</f>
        <v>0</v>
      </c>
      <c r="AF35" s="17">
        <f t="shared" si="4"/>
        <v>25975.66728745195</v>
      </c>
      <c r="AG35" s="17">
        <f t="shared" si="5"/>
        <v>25975.66728745195</v>
      </c>
      <c r="AH35" s="3">
        <f>IF(B35&lt;='Input sheet(dashboard)'!$D$27*12,AH34*(1+'Input sheet(dashboard)'!$E$25)+AG35," ")</f>
        <v>2091381.2306653368</v>
      </c>
    </row>
    <row r="36" spans="2:34">
      <c r="B36">
        <f t="shared" si="0"/>
        <v>33</v>
      </c>
      <c r="C36">
        <f t="shared" si="7"/>
        <v>3</v>
      </c>
      <c r="D36">
        <f t="shared" si="8"/>
        <v>9</v>
      </c>
      <c r="E36" s="15">
        <f>IF(C36&lt;='Input sheet(dashboard)'!$D$6, -PMT('Input sheet(dashboard)'!$E$5,'Input sheet(dashboard)'!$D$6*12,'Input sheet(dashboard)'!$D$3*'Input sheet(dashboard)'!$D$4),0)</f>
        <v>39834.137922259193</v>
      </c>
      <c r="F36" s="3">
        <f>I35*'Input sheet(dashboard)'!$E$5</f>
        <v>27747.982677838056</v>
      </c>
      <c r="G36" s="3">
        <f>IF(C36&lt;='Input sheet(dashboard)'!$D$6,E36*'Input sheet(dashboard)'!$D$7,0)</f>
        <v>3186.7310337807357</v>
      </c>
      <c r="H36" s="3">
        <f t="shared" si="1"/>
        <v>12086.155244421137</v>
      </c>
      <c r="I36" s="3">
        <f t="shared" si="2"/>
        <v>7605150.3751690201</v>
      </c>
      <c r="J36" s="3">
        <f>IF(B36&lt;='Input sheet(dashboard)'!$D$27*12,'Input sheet(dashboard)'!$D$3*(1+'Input sheet(dashboard)'!$E$24)^B36,0)</f>
        <v>10141967.439263703</v>
      </c>
      <c r="K36" s="3">
        <f>IF(B36&lt;='Input sheet(dashboard)'!$D$27*12,J36*'Input sheet(dashboard)'!$E$8,0)</f>
        <v>10504.502356417888</v>
      </c>
      <c r="L36" s="3">
        <f>IF(B36&lt;='Input sheet(dashboard)'!$D$27*12,'Input sheet(dashboard)'!$D$9*(1+'Input sheet(dashboard)'!$E$22)^B36,0)</f>
        <v>3210.7898732052427</v>
      </c>
      <c r="M36" s="3">
        <f>IF(B36=1,'Input sheet(dashboard)'!$D$3*'Input sheet(dashboard)'!$D$10,0)</f>
        <v>0</v>
      </c>
      <c r="N36" s="3">
        <f>IF(B36='Input sheet(dashboard)'!$D$27*12,J36*'Input sheet(dashboard)'!$D$11,0)</f>
        <v>0</v>
      </c>
      <c r="O36" s="3">
        <f>IF(SUM(F36:F47)&gt;=150000,150000/12*'Input sheet(dashboard)'!$D$28,SUM(F36:F47)/12*'Input sheet(dashboard)'!$D$28)</f>
        <v>1875</v>
      </c>
      <c r="P36" s="3">
        <f t="shared" si="6"/>
        <v>0</v>
      </c>
      <c r="Q36" s="3">
        <f>IF(B36&lt;='Input sheet(dashboard)'!$D$27*12,'Input sheet(dashboard)'!$D$12/12,0)</f>
        <v>192.5</v>
      </c>
      <c r="R36" s="3">
        <f>IF(B36&lt;='Input sheet(dashboard)'!$D$27*12,('Input sheet(dashboard)'!$D$15/12)*(1+'Input sheet(dashboard)'!$E$22)^Calculations!B36,0)</f>
        <v>356.75443035613807</v>
      </c>
      <c r="S36" s="3">
        <f>IF(B36&lt;='Input sheet(dashboard)'!$D$27*12,(E36+G36+K36+L36-O36+M36+Q36+R36),0)</f>
        <v>55410.4156160192</v>
      </c>
      <c r="T36" s="3">
        <f>IF(B36&lt;='Input sheet(dashboard)'!$D$27*12,IF(D36=12,SUM(S25:S36),0),0)</f>
        <v>0</v>
      </c>
      <c r="U36" s="3">
        <f>IF(B36&lt;='Input sheet(dashboard)'!$D$27*12,IF(S36&lt;AD36,AD36-S36,0),0)</f>
        <v>0</v>
      </c>
      <c r="V36" s="3">
        <f>IF(B36&lt;='Input sheet(dashboard)'!$D$27*12,V35*(1+'Input sheet(dashboard)'!$E$25)+U36,0)</f>
        <v>0</v>
      </c>
      <c r="W36" s="17">
        <f>IF(B36&lt;='Input sheet(dashboard)'!$D$27*12,J36-I36+V36-N36,0)</f>
        <v>2536817.0640946832</v>
      </c>
      <c r="X36" s="3">
        <f>IF(B36&lt;='Input sheet(dashboard)'!$D$27*12,'Input sheet(dashboard)'!$D$17*(1+'Input sheet(dashboard)'!$E$23)^(B36-1),0)</f>
        <v>29504.509165082287</v>
      </c>
      <c r="Y36" s="3"/>
      <c r="Z36" s="18"/>
      <c r="AA36" s="18"/>
      <c r="AB36" s="3">
        <f>IF(B36=1,'Input sheet(dashboard)'!$D$18*Calculations!X36,IF(Calculations!B36=12*'Input sheet(dashboard)'!$D$27,'Input sheet(dashboard)'!$D$18*-Calculations!X36,0))</f>
        <v>0</v>
      </c>
      <c r="AC36" s="3">
        <f>IF(B36&lt;='Input sheet(dashboard)'!$D$27*12,IF(MOD(B35,'Input sheet(dashboard)'!$D$19*12),0,'Input sheet(dashboard)'!$D$20*(1+'Input sheet(dashboard)'!$E$22)^Calculations!B36),0)</f>
        <v>0</v>
      </c>
      <c r="AD36" s="17">
        <f t="shared" si="3"/>
        <v>29504.509165082287</v>
      </c>
      <c r="AE36" s="17">
        <f>IF(B36&lt;='Input sheet(dashboard)'!$D$27*12,IF(D36=12,SUM(AD25:AD36),0),0)</f>
        <v>0</v>
      </c>
      <c r="AF36" s="17">
        <f t="shared" si="4"/>
        <v>25905.906450936913</v>
      </c>
      <c r="AG36" s="17">
        <f t="shared" si="5"/>
        <v>25905.906450936913</v>
      </c>
      <c r="AH36" s="3">
        <f>IF(B36&lt;='Input sheet(dashboard)'!$D$27*12,AH35*(1+'Input sheet(dashboard)'!$E$25)+AG36," ")</f>
        <v>2130743.1469258708</v>
      </c>
    </row>
    <row r="37" spans="2:34">
      <c r="B37">
        <f t="shared" si="0"/>
        <v>34</v>
      </c>
      <c r="C37">
        <f t="shared" si="7"/>
        <v>3</v>
      </c>
      <c r="D37">
        <f t="shared" si="8"/>
        <v>10</v>
      </c>
      <c r="E37" s="15">
        <f>IF(C37&lt;='Input sheet(dashboard)'!$D$6, -PMT('Input sheet(dashboard)'!$E$5,'Input sheet(dashboard)'!$D$6*12,'Input sheet(dashboard)'!$D$3*'Input sheet(dashboard)'!$D$4),0)</f>
        <v>39834.137922259193</v>
      </c>
      <c r="F37" s="3">
        <f>I36*'Input sheet(dashboard)'!$E$5</f>
        <v>27703.955368849445</v>
      </c>
      <c r="G37" s="3">
        <f>IF(C37&lt;='Input sheet(dashboard)'!$D$6,E37*'Input sheet(dashboard)'!$D$7,0)</f>
        <v>3186.7310337807357</v>
      </c>
      <c r="H37" s="3">
        <f t="shared" si="1"/>
        <v>12130.182553409748</v>
      </c>
      <c r="I37" s="3">
        <f t="shared" si="2"/>
        <v>7593020.1926156105</v>
      </c>
      <c r="J37" s="3">
        <f>IF(B37&lt;='Input sheet(dashboard)'!$D$27*12,'Input sheet(dashboard)'!$D$3*(1+'Input sheet(dashboard)'!$E$24)^B37,0)</f>
        <v>10183287.070020998</v>
      </c>
      <c r="K37" s="3">
        <f>IF(B37&lt;='Input sheet(dashboard)'!$D$27*12,J37*'Input sheet(dashboard)'!$E$8,0)</f>
        <v>10547.298999303564</v>
      </c>
      <c r="L37" s="3">
        <f>IF(B37&lt;='Input sheet(dashboard)'!$D$27*12,'Input sheet(dashboard)'!$D$9*(1+'Input sheet(dashboard)'!$E$22)^B37,0)</f>
        <v>3217.4035746409145</v>
      </c>
      <c r="M37" s="3">
        <f>IF(B37=1,'Input sheet(dashboard)'!$D$3*'Input sheet(dashboard)'!$D$10,0)</f>
        <v>0</v>
      </c>
      <c r="N37" s="3">
        <f>IF(B37='Input sheet(dashboard)'!$D$27*12,J37*'Input sheet(dashboard)'!$D$11,0)</f>
        <v>0</v>
      </c>
      <c r="O37" s="3">
        <f>IF(SUM(F37:F48)&gt;=150000,150000/12*'Input sheet(dashboard)'!$D$28,SUM(F37:F48)/12*'Input sheet(dashboard)'!$D$28)</f>
        <v>1875</v>
      </c>
      <c r="P37" s="3">
        <f t="shared" si="6"/>
        <v>0</v>
      </c>
      <c r="Q37" s="3">
        <f>IF(B37&lt;='Input sheet(dashboard)'!$D$27*12,'Input sheet(dashboard)'!$D$12/12,0)</f>
        <v>192.5</v>
      </c>
      <c r="R37" s="3">
        <f>IF(B37&lt;='Input sheet(dashboard)'!$D$27*12,('Input sheet(dashboard)'!$D$15/12)*(1+'Input sheet(dashboard)'!$E$22)^Calculations!B37,0)</f>
        <v>357.48928607121275</v>
      </c>
      <c r="S37" s="3">
        <f>IF(B37&lt;='Input sheet(dashboard)'!$D$27*12,(E37+G37+K37+L37-O37+M37+Q37+R37),0)</f>
        <v>55460.560816055622</v>
      </c>
      <c r="T37" s="3">
        <f>IF(B37&lt;='Input sheet(dashboard)'!$D$27*12,IF(D37=12,SUM(S26:S37),0),0)</f>
        <v>0</v>
      </c>
      <c r="U37" s="3">
        <f>IF(B37&lt;='Input sheet(dashboard)'!$D$27*12,IF(S37&lt;AD37,AD37-S37,0),0)</f>
        <v>0</v>
      </c>
      <c r="V37" s="3">
        <f>IF(B37&lt;='Input sheet(dashboard)'!$D$27*12,V36*(1+'Input sheet(dashboard)'!$E$25)+U37,0)</f>
        <v>0</v>
      </c>
      <c r="W37" s="17">
        <f>IF(B37&lt;='Input sheet(dashboard)'!$D$27*12,J37-I37+V37-N37,0)</f>
        <v>2590266.8774053873</v>
      </c>
      <c r="X37" s="3">
        <f>IF(B37&lt;='Input sheet(dashboard)'!$D$27*12,'Input sheet(dashboard)'!$D$17*(1+'Input sheet(dashboard)'!$E$23)^(B37-1),0)</f>
        <v>29624.714187596619</v>
      </c>
      <c r="Y37" s="3"/>
      <c r="Z37" s="18"/>
      <c r="AA37" s="18"/>
      <c r="AB37" s="3">
        <f>IF(B37=1,'Input sheet(dashboard)'!$D$18*Calculations!X37,IF(Calculations!B37=12*'Input sheet(dashboard)'!$D$27,'Input sheet(dashboard)'!$D$18*-Calculations!X37,0))</f>
        <v>0</v>
      </c>
      <c r="AC37" s="3">
        <f>IF(B37&lt;='Input sheet(dashboard)'!$D$27*12,IF(MOD(B36,'Input sheet(dashboard)'!$D$19*12),0,'Input sheet(dashboard)'!$D$20*(1+'Input sheet(dashboard)'!$E$22)^Calculations!B37),0)</f>
        <v>0</v>
      </c>
      <c r="AD37" s="17">
        <f t="shared" si="3"/>
        <v>29624.714187596619</v>
      </c>
      <c r="AE37" s="17">
        <f>IF(B37&lt;='Input sheet(dashboard)'!$D$27*12,IF(D37=12,SUM(AD26:AD37),0),0)</f>
        <v>0</v>
      </c>
      <c r="AF37" s="17">
        <f t="shared" si="4"/>
        <v>25835.846628459003</v>
      </c>
      <c r="AG37" s="17">
        <f t="shared" si="5"/>
        <v>25835.846628459003</v>
      </c>
      <c r="AH37" s="3">
        <f>IF(B37&lt;='Input sheet(dashboard)'!$D$27*12,AH36*(1+'Input sheet(dashboard)'!$E$25)+AG37," ")</f>
        <v>2170288.2591183344</v>
      </c>
    </row>
    <row r="38" spans="2:34">
      <c r="B38">
        <f t="shared" si="0"/>
        <v>35</v>
      </c>
      <c r="C38">
        <f t="shared" si="7"/>
        <v>3</v>
      </c>
      <c r="D38">
        <f t="shared" si="8"/>
        <v>11</v>
      </c>
      <c r="E38" s="15">
        <f>IF(C38&lt;='Input sheet(dashboard)'!$D$6, -PMT('Input sheet(dashboard)'!$E$5,'Input sheet(dashboard)'!$D$6*12,'Input sheet(dashboard)'!$D$3*'Input sheet(dashboard)'!$D$4),0)</f>
        <v>39834.137922259193</v>
      </c>
      <c r="F38" s="3">
        <f>I37*'Input sheet(dashboard)'!$E$5</f>
        <v>27659.767677679934</v>
      </c>
      <c r="G38" s="3">
        <f>IF(C38&lt;='Input sheet(dashboard)'!$D$6,E38*'Input sheet(dashboard)'!$D$7,0)</f>
        <v>3186.7310337807357</v>
      </c>
      <c r="H38" s="3">
        <f t="shared" si="1"/>
        <v>12174.370244579259</v>
      </c>
      <c r="I38" s="3">
        <f t="shared" si="2"/>
        <v>7580845.8223710312</v>
      </c>
      <c r="J38" s="3">
        <f>IF(B38&lt;='Input sheet(dashboard)'!$D$27*12,'Input sheet(dashboard)'!$D$3*(1+'Input sheet(dashboard)'!$E$24)^B38,0)</f>
        <v>10224775.042068688</v>
      </c>
      <c r="K38" s="3">
        <f>IF(B38&lt;='Input sheet(dashboard)'!$D$27*12,J38*'Input sheet(dashboard)'!$E$8,0)</f>
        <v>10590.270001009876</v>
      </c>
      <c r="L38" s="3">
        <f>IF(B38&lt;='Input sheet(dashboard)'!$D$27*12,'Input sheet(dashboard)'!$D$9*(1+'Input sheet(dashboard)'!$E$22)^B38,0)</f>
        <v>3224.0308992186815</v>
      </c>
      <c r="M38" s="3">
        <f>IF(B38=1,'Input sheet(dashboard)'!$D$3*'Input sheet(dashboard)'!$D$10,0)</f>
        <v>0</v>
      </c>
      <c r="N38" s="3">
        <f>IF(B38='Input sheet(dashboard)'!$D$27*12,J38*'Input sheet(dashboard)'!$D$11,0)</f>
        <v>0</v>
      </c>
      <c r="O38" s="3">
        <f>IF(SUM(F38:F49)&gt;=150000,150000/12*'Input sheet(dashboard)'!$D$28,SUM(F38:F49)/12*'Input sheet(dashboard)'!$D$28)</f>
        <v>1875</v>
      </c>
      <c r="P38" s="3">
        <f t="shared" si="6"/>
        <v>0</v>
      </c>
      <c r="Q38" s="3">
        <f>IF(B38&lt;='Input sheet(dashboard)'!$D$27*12,'Input sheet(dashboard)'!$D$12/12,0)</f>
        <v>192.5</v>
      </c>
      <c r="R38" s="3">
        <f>IF(B38&lt;='Input sheet(dashboard)'!$D$27*12,('Input sheet(dashboard)'!$D$15/12)*(1+'Input sheet(dashboard)'!$E$22)^Calculations!B38,0)</f>
        <v>358.22565546874239</v>
      </c>
      <c r="S38" s="3">
        <f>IF(B38&lt;='Input sheet(dashboard)'!$D$27*12,(E38+G38+K38+L38-O38+M38+Q38+R38),0)</f>
        <v>55510.895511737232</v>
      </c>
      <c r="T38" s="3">
        <f>IF(B38&lt;='Input sheet(dashboard)'!$D$27*12,IF(D38=12,SUM(S27:S38),0),0)</f>
        <v>0</v>
      </c>
      <c r="U38" s="3">
        <f>IF(B38&lt;='Input sheet(dashboard)'!$D$27*12,IF(S38&lt;AD38,AD38-S38,0),0)</f>
        <v>0</v>
      </c>
      <c r="V38" s="3">
        <f>IF(B38&lt;='Input sheet(dashboard)'!$D$27*12,V37*(1+'Input sheet(dashboard)'!$E$25)+U38,0)</f>
        <v>0</v>
      </c>
      <c r="W38" s="17">
        <f>IF(B38&lt;='Input sheet(dashboard)'!$D$27*12,J38-I38+V38-N38,0)</f>
        <v>2643929.219697657</v>
      </c>
      <c r="X38" s="3">
        <f>IF(B38&lt;='Input sheet(dashboard)'!$D$27*12,'Input sheet(dashboard)'!$D$17*(1+'Input sheet(dashboard)'!$E$23)^(B38-1),0)</f>
        <v>29745.408940252099</v>
      </c>
      <c r="Y38" s="3"/>
      <c r="Z38" s="18"/>
      <c r="AA38" s="18"/>
      <c r="AB38" s="3">
        <f>IF(B38=1,'Input sheet(dashboard)'!$D$18*Calculations!X38,IF(Calculations!B38=12*'Input sheet(dashboard)'!$D$27,'Input sheet(dashboard)'!$D$18*-Calculations!X38,0))</f>
        <v>0</v>
      </c>
      <c r="AC38" s="3">
        <f>IF(B38&lt;='Input sheet(dashboard)'!$D$27*12,IF(MOD(B37,'Input sheet(dashboard)'!$D$19*12),0,'Input sheet(dashboard)'!$D$20*(1+'Input sheet(dashboard)'!$E$22)^Calculations!B38),0)</f>
        <v>0</v>
      </c>
      <c r="AD38" s="17">
        <f t="shared" si="3"/>
        <v>29745.408940252099</v>
      </c>
      <c r="AE38" s="17">
        <f>IF(B38&lt;='Input sheet(dashboard)'!$D$27*12,IF(D38=12,SUM(AD27:AD38),0),0)</f>
        <v>0</v>
      </c>
      <c r="AF38" s="17">
        <f t="shared" si="4"/>
        <v>25765.486571485133</v>
      </c>
      <c r="AG38" s="17">
        <f t="shared" si="5"/>
        <v>25765.486571485133</v>
      </c>
      <c r="AH38" s="3">
        <f>IF(B38&lt;='Input sheet(dashboard)'!$D$27*12,AH37*(1+'Input sheet(dashboard)'!$E$25)+AG38," ")</f>
        <v>2210017.4456963739</v>
      </c>
    </row>
    <row r="39" spans="2:34">
      <c r="B39">
        <f t="shared" si="0"/>
        <v>36</v>
      </c>
      <c r="C39">
        <f t="shared" si="7"/>
        <v>3</v>
      </c>
      <c r="D39">
        <f t="shared" si="8"/>
        <v>12</v>
      </c>
      <c r="E39" s="15">
        <f>IF(C39&lt;='Input sheet(dashboard)'!$D$6, -PMT('Input sheet(dashboard)'!$E$5,'Input sheet(dashboard)'!$D$6*12,'Input sheet(dashboard)'!$D$3*'Input sheet(dashboard)'!$D$4),0)</f>
        <v>39834.137922259193</v>
      </c>
      <c r="F39" s="3">
        <f>I38*'Input sheet(dashboard)'!$E$5</f>
        <v>27615.419020091136</v>
      </c>
      <c r="G39" s="3">
        <f>IF(C39&lt;='Input sheet(dashboard)'!$D$6,E39*'Input sheet(dashboard)'!$D$7,0)</f>
        <v>3186.7310337807357</v>
      </c>
      <c r="H39" s="3">
        <f t="shared" si="1"/>
        <v>12218.718902168057</v>
      </c>
      <c r="I39" s="3">
        <f t="shared" si="2"/>
        <v>7568627.1034688633</v>
      </c>
      <c r="J39" s="3">
        <f>IF(B39&lt;='Input sheet(dashboard)'!$D$27*12,'Input sheet(dashboard)'!$D$3*(1+'Input sheet(dashboard)'!$E$24)^B39,0)</f>
        <v>10266432.041250035</v>
      </c>
      <c r="K39" s="3">
        <f>IF(B39&lt;='Input sheet(dashboard)'!$D$27*12,J39*'Input sheet(dashboard)'!$E$8,0)</f>
        <v>10633.416071896248</v>
      </c>
      <c r="L39" s="3">
        <f>IF(B39&lt;='Input sheet(dashboard)'!$D$27*12,'Input sheet(dashboard)'!$D$9*(1+'Input sheet(dashboard)'!$E$22)^B39,0)</f>
        <v>3230.6718749999864</v>
      </c>
      <c r="M39" s="3">
        <f>IF(B39=1,'Input sheet(dashboard)'!$D$3*'Input sheet(dashboard)'!$D$10,0)</f>
        <v>0</v>
      </c>
      <c r="N39" s="3">
        <f>IF(B39='Input sheet(dashboard)'!$D$27*12,J39*'Input sheet(dashboard)'!$D$11,0)</f>
        <v>0</v>
      </c>
      <c r="O39" s="3">
        <f>IF(SUM(F39:F50)&gt;=150000,150000/12*'Input sheet(dashboard)'!$D$28,SUM(F39:F50)/12*'Input sheet(dashboard)'!$D$28)</f>
        <v>1875</v>
      </c>
      <c r="P39" s="3">
        <f t="shared" si="6"/>
        <v>22500</v>
      </c>
      <c r="Q39" s="3">
        <f>IF(B39&lt;='Input sheet(dashboard)'!$D$27*12,'Input sheet(dashboard)'!$D$12/12,0)</f>
        <v>192.5</v>
      </c>
      <c r="R39" s="3">
        <f>IF(B39&lt;='Input sheet(dashboard)'!$D$27*12,('Input sheet(dashboard)'!$D$15/12)*(1+'Input sheet(dashboard)'!$E$22)^Calculations!B39,0)</f>
        <v>358.96354166666515</v>
      </c>
      <c r="S39" s="3">
        <f>IF(B39&lt;='Input sheet(dashboard)'!$D$27*12,(E39+G39+K39+L39-O39+M39+Q39+R39),0)</f>
        <v>55561.420444602823</v>
      </c>
      <c r="T39" s="3">
        <f>IF(B39&lt;='Input sheet(dashboard)'!$D$27*12,IF(D39=12,SUM(S28:S39),0),0)</f>
        <v>663443.88720756792</v>
      </c>
      <c r="U39" s="3">
        <f>IF(B39&lt;='Input sheet(dashboard)'!$D$27*12,IF(S39&lt;AD39,AD39-S39,0),0)</f>
        <v>0</v>
      </c>
      <c r="V39" s="3">
        <f>IF(B39&lt;='Input sheet(dashboard)'!$D$27*12,V38*(1+'Input sheet(dashboard)'!$E$25)+U39,0)</f>
        <v>0</v>
      </c>
      <c r="W39" s="17">
        <f>IF(B39&lt;='Input sheet(dashboard)'!$D$27*12,J39-I39+V39-N39,0)</f>
        <v>2697804.9377811719</v>
      </c>
      <c r="X39" s="3">
        <f>IF(B39&lt;='Input sheet(dashboard)'!$D$27*12,'Input sheet(dashboard)'!$D$17*(1+'Input sheet(dashboard)'!$E$23)^(B39-1),0)</f>
        <v>29866.595418269924</v>
      </c>
      <c r="Y39" s="3"/>
      <c r="Z39" s="18"/>
      <c r="AA39" s="18"/>
      <c r="AB39" s="3">
        <f>IF(B39=1,'Input sheet(dashboard)'!$D$18*Calculations!X39,IF(Calculations!B39=12*'Input sheet(dashboard)'!$D$27,'Input sheet(dashboard)'!$D$18*-Calculations!X39,0))</f>
        <v>0</v>
      </c>
      <c r="AC39" s="3">
        <f>IF(B39&lt;='Input sheet(dashboard)'!$D$27*12,IF(MOD(B38,'Input sheet(dashboard)'!$D$19*12),0,'Input sheet(dashboard)'!$D$20*(1+'Input sheet(dashboard)'!$E$22)^Calculations!B39),0)</f>
        <v>0</v>
      </c>
      <c r="AD39" s="17">
        <f t="shared" si="3"/>
        <v>29866.595418269924</v>
      </c>
      <c r="AE39" s="17">
        <f>IF(B39&lt;='Input sheet(dashboard)'!$D$27*12,IF(D39=12,SUM(AD28:AD39),0),0)</f>
        <v>350508.0357969008</v>
      </c>
      <c r="AF39" s="17">
        <f t="shared" si="4"/>
        <v>25694.825026332899</v>
      </c>
      <c r="AG39" s="17">
        <f t="shared" si="5"/>
        <v>25694.825026332899</v>
      </c>
      <c r="AH39" s="3">
        <f>IF(B39&lt;='Input sheet(dashboard)'!$D$27*12,AH38*(1+'Input sheet(dashboard)'!$E$25)+AG39," ")</f>
        <v>2249931.58951195</v>
      </c>
    </row>
    <row r="40" spans="2:34">
      <c r="B40">
        <f t="shared" si="0"/>
        <v>37</v>
      </c>
      <c r="C40">
        <f t="shared" si="7"/>
        <v>4</v>
      </c>
      <c r="D40">
        <f t="shared" si="8"/>
        <v>1</v>
      </c>
      <c r="E40" s="15">
        <f>IF(C40&lt;='Input sheet(dashboard)'!$D$6, -PMT('Input sheet(dashboard)'!$E$5,'Input sheet(dashboard)'!$D$6*12,'Input sheet(dashboard)'!$D$3*'Input sheet(dashboard)'!$D$4),0)</f>
        <v>39834.137922259193</v>
      </c>
      <c r="F40" s="3">
        <f>I39*'Input sheet(dashboard)'!$E$5</f>
        <v>27570.908809716413</v>
      </c>
      <c r="G40" s="3">
        <f>IF(C40&lt;='Input sheet(dashboard)'!$D$6,E40*'Input sheet(dashboard)'!$D$7,0)</f>
        <v>3186.7310337807357</v>
      </c>
      <c r="H40" s="3">
        <f t="shared" si="1"/>
        <v>12263.22911254278</v>
      </c>
      <c r="I40" s="3">
        <f t="shared" si="2"/>
        <v>7556363.8743563201</v>
      </c>
      <c r="J40" s="3">
        <f>IF(B40&lt;='Input sheet(dashboard)'!$D$27*12,'Input sheet(dashboard)'!$D$3*(1+'Input sheet(dashboard)'!$E$24)^B40,0)</f>
        <v>10308258.7562025</v>
      </c>
      <c r="K40" s="3">
        <f>IF(B40&lt;='Input sheet(dashboard)'!$D$27*12,J40*'Input sheet(dashboard)'!$E$8,0)</f>
        <v>10676.73792521619</v>
      </c>
      <c r="L40" s="3">
        <f>IF(B40&lt;='Input sheet(dashboard)'!$D$27*12,'Input sheet(dashboard)'!$D$9*(1+'Input sheet(dashboard)'!$E$22)^B40,0)</f>
        <v>3237.3265301040719</v>
      </c>
      <c r="M40" s="3">
        <f>IF(B40=1,'Input sheet(dashboard)'!$D$3*'Input sheet(dashboard)'!$D$10,0)</f>
        <v>0</v>
      </c>
      <c r="N40" s="3">
        <f>IF(B40='Input sheet(dashboard)'!$D$27*12,J40*'Input sheet(dashboard)'!$D$11,0)</f>
        <v>0</v>
      </c>
      <c r="O40" s="3">
        <f>IF(SUM(F40:F51)&gt;=150000,150000/12*'Input sheet(dashboard)'!$D$28,SUM(F40:F51)/12*'Input sheet(dashboard)'!$D$28)</f>
        <v>1875</v>
      </c>
      <c r="P40" s="3">
        <f t="shared" si="6"/>
        <v>0</v>
      </c>
      <c r="Q40" s="3">
        <f>IF(B40&lt;='Input sheet(dashboard)'!$D$27*12,'Input sheet(dashboard)'!$D$12/12,0)</f>
        <v>192.5</v>
      </c>
      <c r="R40" s="3">
        <f>IF(B40&lt;='Input sheet(dashboard)'!$D$27*12,('Input sheet(dashboard)'!$D$15/12)*(1+'Input sheet(dashboard)'!$E$22)^Calculations!B40,0)</f>
        <v>359.70294778934135</v>
      </c>
      <c r="S40" s="3">
        <f>IF(B40&lt;='Input sheet(dashboard)'!$D$27*12,(E40+G40+K40+L40-O40+M40+Q40+R40),0)</f>
        <v>55612.136359149539</v>
      </c>
      <c r="T40" s="3">
        <f>IF(B40&lt;='Input sheet(dashboard)'!$D$27*12,IF(D40=12,SUM(S29:S40),0),0)</f>
        <v>0</v>
      </c>
      <c r="U40" s="3">
        <f>IF(B40&lt;='Input sheet(dashboard)'!$D$27*12,IF(S40&lt;AD40,AD40-S40,0),0)</f>
        <v>0</v>
      </c>
      <c r="V40" s="3">
        <f>IF(B40&lt;='Input sheet(dashboard)'!$D$27*12,V39*(1+'Input sheet(dashboard)'!$E$25)+U40,0)</f>
        <v>0</v>
      </c>
      <c r="W40" s="17">
        <f>IF(B40&lt;='Input sheet(dashboard)'!$D$27*12,J40-I40+V40-N40,0)</f>
        <v>2751894.8818461802</v>
      </c>
      <c r="X40" s="3">
        <f>IF(B40&lt;='Input sheet(dashboard)'!$D$27*12,'Input sheet(dashboard)'!$D$17*(1+'Input sheet(dashboard)'!$E$23)^(B40-1),0)</f>
        <v>29988.2756250001</v>
      </c>
      <c r="Y40" s="3"/>
      <c r="Z40" s="18"/>
      <c r="AA40" s="18"/>
      <c r="AB40" s="3">
        <f>IF(B40=1,'Input sheet(dashboard)'!$D$18*Calculations!X40,IF(Calculations!B40=12*'Input sheet(dashboard)'!$D$27,'Input sheet(dashboard)'!$D$18*-Calculations!X40,0))</f>
        <v>0</v>
      </c>
      <c r="AC40" s="3">
        <f>IF(B40&lt;='Input sheet(dashboard)'!$D$27*12,IF(MOD(B39,'Input sheet(dashboard)'!$D$19*12),0,'Input sheet(dashboard)'!$D$20*(1+'Input sheet(dashboard)'!$E$22)^Calculations!B40),0)</f>
        <v>0</v>
      </c>
      <c r="AD40" s="17">
        <f t="shared" si="3"/>
        <v>29988.2756250001</v>
      </c>
      <c r="AE40" s="17">
        <f>IF(B40&lt;='Input sheet(dashboard)'!$D$27*12,IF(D40=12,SUM(AD29:AD40),0),0)</f>
        <v>0</v>
      </c>
      <c r="AF40" s="17">
        <f t="shared" si="4"/>
        <v>25623.860734149439</v>
      </c>
      <c r="AG40" s="17">
        <f t="shared" si="5"/>
        <v>25623.860734149439</v>
      </c>
      <c r="AH40" s="3">
        <f>IF(B40&lt;='Input sheet(dashboard)'!$D$27*12,AH39*(1+'Input sheet(dashboard)'!$E$25)+AG40," ")</f>
        <v>2290031.577838467</v>
      </c>
    </row>
    <row r="41" spans="2:34">
      <c r="B41">
        <f t="shared" si="0"/>
        <v>38</v>
      </c>
      <c r="C41">
        <f t="shared" si="7"/>
        <v>4</v>
      </c>
      <c r="D41">
        <f t="shared" si="8"/>
        <v>2</v>
      </c>
      <c r="E41" s="15">
        <f>IF(C41&lt;='Input sheet(dashboard)'!$D$6, -PMT('Input sheet(dashboard)'!$E$5,'Input sheet(dashboard)'!$D$6*12,'Input sheet(dashboard)'!$D$3*'Input sheet(dashboard)'!$D$4),0)</f>
        <v>39834.137922259193</v>
      </c>
      <c r="F41" s="3">
        <f>I40*'Input sheet(dashboard)'!$E$5</f>
        <v>27526.236458053107</v>
      </c>
      <c r="G41" s="3">
        <f>IF(C41&lt;='Input sheet(dashboard)'!$D$6,E41*'Input sheet(dashboard)'!$D$7,0)</f>
        <v>3186.7310337807357</v>
      </c>
      <c r="H41" s="3">
        <f t="shared" si="1"/>
        <v>12307.901464206087</v>
      </c>
      <c r="I41" s="3">
        <f t="shared" si="2"/>
        <v>7544055.972892114</v>
      </c>
      <c r="J41" s="3">
        <f>IF(B41&lt;='Input sheet(dashboard)'!$D$27*12,'Input sheet(dashboard)'!$D$3*(1+'Input sheet(dashboard)'!$E$24)^B41,0)</f>
        <v>10350255.878369147</v>
      </c>
      <c r="K41" s="3">
        <f>IF(B41&lt;='Input sheet(dashboard)'!$D$27*12,J41*'Input sheet(dashboard)'!$E$8,0)</f>
        <v>10720.236277129094</v>
      </c>
      <c r="L41" s="3">
        <f>IF(B41&lt;='Input sheet(dashboard)'!$D$27*12,'Input sheet(dashboard)'!$D$9*(1+'Input sheet(dashboard)'!$E$22)^B41,0)</f>
        <v>3243.9948927081045</v>
      </c>
      <c r="M41" s="3">
        <f>IF(B41=1,'Input sheet(dashboard)'!$D$3*'Input sheet(dashboard)'!$D$10,0)</f>
        <v>0</v>
      </c>
      <c r="N41" s="3">
        <f>IF(B41='Input sheet(dashboard)'!$D$27*12,J41*'Input sheet(dashboard)'!$D$11,0)</f>
        <v>0</v>
      </c>
      <c r="O41" s="3">
        <f>IF(SUM(F41:F52)&gt;=150000,150000/12*'Input sheet(dashboard)'!$D$28,SUM(F41:F52)/12*'Input sheet(dashboard)'!$D$28)</f>
        <v>1875</v>
      </c>
      <c r="P41" s="3">
        <f t="shared" si="6"/>
        <v>0</v>
      </c>
      <c r="Q41" s="3">
        <f>IF(B41&lt;='Input sheet(dashboard)'!$D$27*12,'Input sheet(dashboard)'!$D$12/12,0)</f>
        <v>192.5</v>
      </c>
      <c r="R41" s="3">
        <f>IF(B41&lt;='Input sheet(dashboard)'!$D$27*12,('Input sheet(dashboard)'!$D$15/12)*(1+'Input sheet(dashboard)'!$E$22)^Calculations!B41,0)</f>
        <v>360.44387696756712</v>
      </c>
      <c r="S41" s="3">
        <f>IF(B41&lt;='Input sheet(dashboard)'!$D$27*12,(E41+G41+K41+L41-O41+M41+Q41+R41),0)</f>
        <v>55663.044002844697</v>
      </c>
      <c r="T41" s="3">
        <f>IF(B41&lt;='Input sheet(dashboard)'!$D$27*12,IF(D41=12,SUM(S30:S41),0),0)</f>
        <v>0</v>
      </c>
      <c r="U41" s="3">
        <f>IF(B41&lt;='Input sheet(dashboard)'!$D$27*12,IF(S41&lt;AD41,AD41-S41,0),0)</f>
        <v>0</v>
      </c>
      <c r="V41" s="3">
        <f>IF(B41&lt;='Input sheet(dashboard)'!$D$27*12,V40*(1+'Input sheet(dashboard)'!$E$25)+U41,0)</f>
        <v>0</v>
      </c>
      <c r="W41" s="17">
        <f>IF(B41&lt;='Input sheet(dashboard)'!$D$27*12,J41-I41+V41-N41,0)</f>
        <v>2806199.905477033</v>
      </c>
      <c r="X41" s="3">
        <f>IF(B41&lt;='Input sheet(dashboard)'!$D$27*12,'Input sheet(dashboard)'!$D$17*(1+'Input sheet(dashboard)'!$E$23)^(B41-1),0)</f>
        <v>30110.451571954512</v>
      </c>
      <c r="Y41" s="3"/>
      <c r="Z41" s="18"/>
      <c r="AA41" s="18"/>
      <c r="AB41" s="3">
        <f>IF(B41=1,'Input sheet(dashboard)'!$D$18*Calculations!X41,IF(Calculations!B41=12*'Input sheet(dashboard)'!$D$27,'Input sheet(dashboard)'!$D$18*-Calculations!X41,0))</f>
        <v>0</v>
      </c>
      <c r="AC41" s="3">
        <f>IF(B41&lt;='Input sheet(dashboard)'!$D$27*12,IF(MOD(B40,'Input sheet(dashboard)'!$D$19*12),0,'Input sheet(dashboard)'!$D$20*(1+'Input sheet(dashboard)'!$E$22)^Calculations!B41),0)</f>
        <v>0</v>
      </c>
      <c r="AD41" s="17">
        <f t="shared" si="3"/>
        <v>30110.451571954512</v>
      </c>
      <c r="AE41" s="17">
        <f>IF(B41&lt;='Input sheet(dashboard)'!$D$27*12,IF(D41=12,SUM(AD30:AD41),0),0)</f>
        <v>0</v>
      </c>
      <c r="AF41" s="17">
        <f t="shared" si="4"/>
        <v>25552.592430890185</v>
      </c>
      <c r="AG41" s="17">
        <f t="shared" si="5"/>
        <v>25552.592430890185</v>
      </c>
      <c r="AH41" s="3">
        <f>IF(B41&lt;='Input sheet(dashboard)'!$D$27*12,AH40*(1+'Input sheet(dashboard)'!$E$25)+AG41," ")</f>
        <v>2330318.3023940283</v>
      </c>
    </row>
    <row r="42" spans="2:34">
      <c r="B42">
        <f t="shared" si="0"/>
        <v>39</v>
      </c>
      <c r="C42">
        <f t="shared" si="7"/>
        <v>4</v>
      </c>
      <c r="D42">
        <f t="shared" si="8"/>
        <v>3</v>
      </c>
      <c r="E42" s="15">
        <f>IF(C42&lt;='Input sheet(dashboard)'!$D$6, -PMT('Input sheet(dashboard)'!$E$5,'Input sheet(dashboard)'!$D$6*12,'Input sheet(dashboard)'!$D$3*'Input sheet(dashboard)'!$D$4),0)</f>
        <v>39834.137922259193</v>
      </c>
      <c r="F42" s="3">
        <f>I41*'Input sheet(dashboard)'!$E$5</f>
        <v>27481.401374454781</v>
      </c>
      <c r="G42" s="3">
        <f>IF(C42&lt;='Input sheet(dashboard)'!$D$6,E42*'Input sheet(dashboard)'!$D$7,0)</f>
        <v>3186.7310337807357</v>
      </c>
      <c r="H42" s="3">
        <f t="shared" si="1"/>
        <v>12352.736547804412</v>
      </c>
      <c r="I42" s="3">
        <f t="shared" si="2"/>
        <v>7531703.2363443095</v>
      </c>
      <c r="J42" s="3">
        <f>IF(B42&lt;='Input sheet(dashboard)'!$D$27*12,'Input sheet(dashboard)'!$D$3*(1+'Input sheet(dashboard)'!$E$24)^B42,0)</f>
        <v>10392424.102010056</v>
      </c>
      <c r="K42" s="3">
        <f>IF(B42&lt;='Input sheet(dashboard)'!$D$27*12,J42*'Input sheet(dashboard)'!$E$8,0)</f>
        <v>10763.911846712075</v>
      </c>
      <c r="L42" s="3">
        <f>IF(B42&lt;='Input sheet(dashboard)'!$D$27*12,'Input sheet(dashboard)'!$D$9*(1+'Input sheet(dashboard)'!$E$22)^B42,0)</f>
        <v>3250.6769910472899</v>
      </c>
      <c r="M42" s="3">
        <f>IF(B42=1,'Input sheet(dashboard)'!$D$3*'Input sheet(dashboard)'!$D$10,0)</f>
        <v>0</v>
      </c>
      <c r="N42" s="3">
        <f>IF(B42='Input sheet(dashboard)'!$D$27*12,J42*'Input sheet(dashboard)'!$D$11,0)</f>
        <v>0</v>
      </c>
      <c r="O42" s="3">
        <f>IF(SUM(F42:F53)&gt;=150000,150000/12*'Input sheet(dashboard)'!$D$28,SUM(F42:F53)/12*'Input sheet(dashboard)'!$D$28)</f>
        <v>1875</v>
      </c>
      <c r="P42" s="3">
        <f t="shared" si="6"/>
        <v>0</v>
      </c>
      <c r="Q42" s="3">
        <f>IF(B42&lt;='Input sheet(dashboard)'!$D$27*12,'Input sheet(dashboard)'!$D$12/12,0)</f>
        <v>192.5</v>
      </c>
      <c r="R42" s="3">
        <f>IF(B42&lt;='Input sheet(dashboard)'!$D$27*12,('Input sheet(dashboard)'!$D$15/12)*(1+'Input sheet(dashboard)'!$E$22)^Calculations!B42,0)</f>
        <v>361.18633233858776</v>
      </c>
      <c r="S42" s="3">
        <f>IF(B42&lt;='Input sheet(dashboard)'!$D$27*12,(E42+G42+K42+L42-O42+M42+Q42+R42),0)</f>
        <v>55714.144126137879</v>
      </c>
      <c r="T42" s="3">
        <f>IF(B42&lt;='Input sheet(dashboard)'!$D$27*12,IF(D42=12,SUM(S31:S42),0),0)</f>
        <v>0</v>
      </c>
      <c r="U42" s="3">
        <f>IF(B42&lt;='Input sheet(dashboard)'!$D$27*12,IF(S42&lt;AD42,AD42-S42,0),0)</f>
        <v>0</v>
      </c>
      <c r="V42" s="3">
        <f>IF(B42&lt;='Input sheet(dashboard)'!$D$27*12,V41*(1+'Input sheet(dashboard)'!$E$25)+U42,0)</f>
        <v>0</v>
      </c>
      <c r="W42" s="17">
        <f>IF(B42&lt;='Input sheet(dashboard)'!$D$27*12,J42-I42+V42-N42,0)</f>
        <v>2860720.8656657469</v>
      </c>
      <c r="X42" s="3">
        <f>IF(B42&lt;='Input sheet(dashboard)'!$D$27*12,'Input sheet(dashboard)'!$D$17*(1+'Input sheet(dashboard)'!$E$23)^(B42-1),0)</f>
        <v>30233.125278840209</v>
      </c>
      <c r="Y42" s="3"/>
      <c r="Z42" s="18"/>
      <c r="AA42" s="18"/>
      <c r="AB42" s="3">
        <f>IF(B42=1,'Input sheet(dashboard)'!$D$18*Calculations!X42,IF(Calculations!B42=12*'Input sheet(dashboard)'!$D$27,'Input sheet(dashboard)'!$D$18*-Calculations!X42,0))</f>
        <v>0</v>
      </c>
      <c r="AC42" s="3">
        <f>IF(B42&lt;='Input sheet(dashboard)'!$D$27*12,IF(MOD(B41,'Input sheet(dashboard)'!$D$19*12),0,'Input sheet(dashboard)'!$D$20*(1+'Input sheet(dashboard)'!$E$22)^Calculations!B42),0)</f>
        <v>0</v>
      </c>
      <c r="AD42" s="17">
        <f t="shared" si="3"/>
        <v>30233.125278840209</v>
      </c>
      <c r="AE42" s="17">
        <f>IF(B42&lt;='Input sheet(dashboard)'!$D$27*12,IF(D42=12,SUM(AD31:AD42),0),0)</f>
        <v>0</v>
      </c>
      <c r="AF42" s="17">
        <f t="shared" si="4"/>
        <v>25481.01884729767</v>
      </c>
      <c r="AG42" s="17">
        <f t="shared" si="5"/>
        <v>25481.01884729767</v>
      </c>
      <c r="AH42" s="3">
        <f>IF(B42&lt;='Input sheet(dashboard)'!$D$27*12,AH41*(1+'Input sheet(dashboard)'!$E$25)+AG42," ")</f>
        <v>2370792.6593648214</v>
      </c>
    </row>
    <row r="43" spans="2:34">
      <c r="B43">
        <f t="shared" si="0"/>
        <v>40</v>
      </c>
      <c r="C43">
        <f t="shared" si="7"/>
        <v>4</v>
      </c>
      <c r="D43">
        <f t="shared" si="8"/>
        <v>4</v>
      </c>
      <c r="E43" s="15">
        <f>IF(C43&lt;='Input sheet(dashboard)'!$D$6, -PMT('Input sheet(dashboard)'!$E$5,'Input sheet(dashboard)'!$D$6*12,'Input sheet(dashboard)'!$D$3*'Input sheet(dashboard)'!$D$4),0)</f>
        <v>39834.137922259193</v>
      </c>
      <c r="F43" s="3">
        <f>I42*'Input sheet(dashboard)'!$E$5</f>
        <v>27436.402966123384</v>
      </c>
      <c r="G43" s="3">
        <f>IF(C43&lt;='Input sheet(dashboard)'!$D$6,E43*'Input sheet(dashboard)'!$D$7,0)</f>
        <v>3186.7310337807357</v>
      </c>
      <c r="H43" s="3">
        <f t="shared" si="1"/>
        <v>12397.73495613581</v>
      </c>
      <c r="I43" s="3">
        <f t="shared" si="2"/>
        <v>7519305.5013881736</v>
      </c>
      <c r="J43" s="3">
        <f>IF(B43&lt;='Input sheet(dashboard)'!$D$27*12,'Input sheet(dashboard)'!$D$3*(1+'Input sheet(dashboard)'!$E$24)^B43,0)</f>
        <v>10434764.124213818</v>
      </c>
      <c r="K43" s="3">
        <f>IF(B43&lt;='Input sheet(dashboard)'!$D$27*12,J43*'Input sheet(dashboard)'!$E$8,0)</f>
        <v>10807.765355971862</v>
      </c>
      <c r="L43" s="3">
        <f>IF(B43&lt;='Input sheet(dashboard)'!$D$27*12,'Input sheet(dashboard)'!$D$9*(1+'Input sheet(dashboard)'!$E$22)^B43,0)</f>
        <v>3257.3728534149918</v>
      </c>
      <c r="M43" s="3">
        <f>IF(B43=1,'Input sheet(dashboard)'!$D$3*'Input sheet(dashboard)'!$D$10,0)</f>
        <v>0</v>
      </c>
      <c r="N43" s="3">
        <f>IF(B43='Input sheet(dashboard)'!$D$27*12,J43*'Input sheet(dashboard)'!$D$11,0)</f>
        <v>0</v>
      </c>
      <c r="O43" s="3">
        <f>IF(SUM(F43:F54)&gt;=150000,150000/12*'Input sheet(dashboard)'!$D$28,SUM(F43:F54)/12*'Input sheet(dashboard)'!$D$28)</f>
        <v>1875</v>
      </c>
      <c r="P43" s="3">
        <f t="shared" si="6"/>
        <v>0</v>
      </c>
      <c r="Q43" s="3">
        <f>IF(B43&lt;='Input sheet(dashboard)'!$D$27*12,'Input sheet(dashboard)'!$D$12/12,0)</f>
        <v>192.5</v>
      </c>
      <c r="R43" s="3">
        <f>IF(B43&lt;='Input sheet(dashboard)'!$D$27*12,('Input sheet(dashboard)'!$D$15/12)*(1+'Input sheet(dashboard)'!$E$22)^Calculations!B43,0)</f>
        <v>361.93031704611019</v>
      </c>
      <c r="S43" s="3">
        <f>IF(B43&lt;='Input sheet(dashboard)'!$D$27*12,(E43+G43+K43+L43-O43+M43+Q43+R43),0)</f>
        <v>55765.437482472895</v>
      </c>
      <c r="T43" s="3">
        <f>IF(B43&lt;='Input sheet(dashboard)'!$D$27*12,IF(D43=12,SUM(S32:S43),0),0)</f>
        <v>0</v>
      </c>
      <c r="U43" s="3">
        <f>IF(B43&lt;='Input sheet(dashboard)'!$D$27*12,IF(S43&lt;AD43,AD43-S43,0),0)</f>
        <v>0</v>
      </c>
      <c r="V43" s="3">
        <f>IF(B43&lt;='Input sheet(dashboard)'!$D$27*12,V42*(1+'Input sheet(dashboard)'!$E$25)+U43,0)</f>
        <v>0</v>
      </c>
      <c r="W43" s="17">
        <f>IF(B43&lt;='Input sheet(dashboard)'!$D$27*12,J43-I43+V43-N43,0)</f>
        <v>2915458.6228256449</v>
      </c>
      <c r="X43" s="3">
        <f>IF(B43&lt;='Input sheet(dashboard)'!$D$27*12,'Input sheet(dashboard)'!$D$17*(1+'Input sheet(dashboard)'!$E$23)^(B43-1),0)</f>
        <v>30356.298773592753</v>
      </c>
      <c r="Y43" s="3"/>
      <c r="Z43" s="18"/>
      <c r="AA43" s="18"/>
      <c r="AB43" s="3">
        <f>IF(B43=1,'Input sheet(dashboard)'!$D$18*Calculations!X43,IF(Calculations!B43=12*'Input sheet(dashboard)'!$D$27,'Input sheet(dashboard)'!$D$18*-Calculations!X43,0))</f>
        <v>0</v>
      </c>
      <c r="AC43" s="3">
        <f>IF(B43&lt;='Input sheet(dashboard)'!$D$27*12,IF(MOD(B42,'Input sheet(dashboard)'!$D$19*12),0,'Input sheet(dashboard)'!$D$20*(1+'Input sheet(dashboard)'!$E$22)^Calculations!B43),0)</f>
        <v>0</v>
      </c>
      <c r="AD43" s="17">
        <f t="shared" si="3"/>
        <v>30356.298773592753</v>
      </c>
      <c r="AE43" s="17">
        <f>IF(B43&lt;='Input sheet(dashboard)'!$D$27*12,IF(D43=12,SUM(AD32:AD43),0),0)</f>
        <v>0</v>
      </c>
      <c r="AF43" s="17">
        <f t="shared" si="4"/>
        <v>25409.138708880142</v>
      </c>
      <c r="AG43" s="17">
        <f t="shared" si="5"/>
        <v>25409.138708880142</v>
      </c>
      <c r="AH43" s="3">
        <f>IF(B43&lt;='Input sheet(dashboard)'!$D$27*12,AH42*(1+'Input sheet(dashboard)'!$E$25)+AG43," ")</f>
        <v>2411455.5494286302</v>
      </c>
    </row>
    <row r="44" spans="2:34">
      <c r="B44">
        <f t="shared" si="0"/>
        <v>41</v>
      </c>
      <c r="C44">
        <f t="shared" si="7"/>
        <v>4</v>
      </c>
      <c r="D44">
        <f t="shared" si="8"/>
        <v>5</v>
      </c>
      <c r="E44" s="15">
        <f>IF(C44&lt;='Input sheet(dashboard)'!$D$6, -PMT('Input sheet(dashboard)'!$E$5,'Input sheet(dashboard)'!$D$6*12,'Input sheet(dashboard)'!$D$3*'Input sheet(dashboard)'!$D$4),0)</f>
        <v>39834.137922259193</v>
      </c>
      <c r="F44" s="3">
        <f>I43*'Input sheet(dashboard)'!$E$5</f>
        <v>27391.240638101437</v>
      </c>
      <c r="G44" s="3">
        <f>IF(C44&lt;='Input sheet(dashboard)'!$D$6,E44*'Input sheet(dashboard)'!$D$7,0)</f>
        <v>3186.7310337807357</v>
      </c>
      <c r="H44" s="3">
        <f t="shared" si="1"/>
        <v>12442.897284157756</v>
      </c>
      <c r="I44" s="3">
        <f t="shared" si="2"/>
        <v>7506862.604104016</v>
      </c>
      <c r="J44" s="3">
        <f>IF(B44&lt;='Input sheet(dashboard)'!$D$27*12,'Input sheet(dashboard)'!$D$3*(1+'Input sheet(dashboard)'!$E$24)^B44,0)</f>
        <v>10477276.644909039</v>
      </c>
      <c r="K44" s="3">
        <f>IF(B44&lt;='Input sheet(dashboard)'!$D$27*12,J44*'Input sheet(dashboard)'!$E$8,0)</f>
        <v>10851.797529856718</v>
      </c>
      <c r="L44" s="3">
        <f>IF(B44&lt;='Input sheet(dashboard)'!$D$27*12,'Input sheet(dashboard)'!$D$9*(1+'Input sheet(dashboard)'!$E$22)^B44,0)</f>
        <v>3264.0825081628577</v>
      </c>
      <c r="M44" s="3">
        <f>IF(B44=1,'Input sheet(dashboard)'!$D$3*'Input sheet(dashboard)'!$D$10,0)</f>
        <v>0</v>
      </c>
      <c r="N44" s="3">
        <f>IF(B44='Input sheet(dashboard)'!$D$27*12,J44*'Input sheet(dashboard)'!$D$11,0)</f>
        <v>0</v>
      </c>
      <c r="O44" s="3">
        <f>IF(SUM(F44:F55)&gt;=150000,150000/12*'Input sheet(dashboard)'!$D$28,SUM(F44:F55)/12*'Input sheet(dashboard)'!$D$28)</f>
        <v>1875</v>
      </c>
      <c r="P44" s="3">
        <f t="shared" si="6"/>
        <v>0</v>
      </c>
      <c r="Q44" s="3">
        <f>IF(B44&lt;='Input sheet(dashboard)'!$D$27*12,'Input sheet(dashboard)'!$D$12/12,0)</f>
        <v>192.5</v>
      </c>
      <c r="R44" s="3">
        <f>IF(B44&lt;='Input sheet(dashboard)'!$D$27*12,('Input sheet(dashboard)'!$D$15/12)*(1+'Input sheet(dashboard)'!$E$22)^Calculations!B44,0)</f>
        <v>362.6758342403175</v>
      </c>
      <c r="S44" s="3">
        <f>IF(B44&lt;='Input sheet(dashboard)'!$D$27*12,(E44+G44+K44+L44-O44+M44+Q44+R44),0)</f>
        <v>55816.924828299823</v>
      </c>
      <c r="T44" s="3">
        <f>IF(B44&lt;='Input sheet(dashboard)'!$D$27*12,IF(D44=12,SUM(S33:S44),0),0)</f>
        <v>0</v>
      </c>
      <c r="U44" s="3">
        <f>IF(B44&lt;='Input sheet(dashboard)'!$D$27*12,IF(S44&lt;AD44,AD44-S44,0),0)</f>
        <v>0</v>
      </c>
      <c r="V44" s="3">
        <f>IF(B44&lt;='Input sheet(dashboard)'!$D$27*12,V43*(1+'Input sheet(dashboard)'!$E$25)+U44,0)</f>
        <v>0</v>
      </c>
      <c r="W44" s="17">
        <f>IF(B44&lt;='Input sheet(dashboard)'!$D$27*12,J44-I44+V44-N44,0)</f>
        <v>2970414.0408050232</v>
      </c>
      <c r="X44" s="3">
        <f>IF(B44&lt;='Input sheet(dashboard)'!$D$27*12,'Input sheet(dashboard)'!$D$17*(1+'Input sheet(dashboard)'!$E$23)^(B44-1),0)</f>
        <v>30479.974092409786</v>
      </c>
      <c r="Y44" s="3"/>
      <c r="Z44" s="18"/>
      <c r="AA44" s="18"/>
      <c r="AB44" s="3">
        <f>IF(B44=1,'Input sheet(dashboard)'!$D$18*Calculations!X44,IF(Calculations!B44=12*'Input sheet(dashboard)'!$D$27,'Input sheet(dashboard)'!$D$18*-Calculations!X44,0))</f>
        <v>0</v>
      </c>
      <c r="AC44" s="3">
        <f>IF(B44&lt;='Input sheet(dashboard)'!$D$27*12,IF(MOD(B43,'Input sheet(dashboard)'!$D$19*12),0,'Input sheet(dashboard)'!$D$20*(1+'Input sheet(dashboard)'!$E$22)^Calculations!B44),0)</f>
        <v>0</v>
      </c>
      <c r="AD44" s="17">
        <f t="shared" si="3"/>
        <v>30479.974092409786</v>
      </c>
      <c r="AE44" s="17">
        <f>IF(B44&lt;='Input sheet(dashboard)'!$D$27*12,IF(D44=12,SUM(AD33:AD44),0),0)</f>
        <v>0</v>
      </c>
      <c r="AF44" s="17">
        <f t="shared" si="4"/>
        <v>25336.950735890037</v>
      </c>
      <c r="AG44" s="17">
        <f t="shared" si="5"/>
        <v>25336.950735890037</v>
      </c>
      <c r="AH44" s="3">
        <f>IF(B44&lt;='Input sheet(dashboard)'!$D$27*12,AH43*(1+'Input sheet(dashboard)'!$E$25)+AG44," ")</f>
        <v>2452307.8777784789</v>
      </c>
    </row>
    <row r="45" spans="2:34">
      <c r="B45">
        <f t="shared" si="0"/>
        <v>42</v>
      </c>
      <c r="C45">
        <f t="shared" si="7"/>
        <v>4</v>
      </c>
      <c r="D45">
        <f t="shared" si="8"/>
        <v>6</v>
      </c>
      <c r="E45" s="15">
        <f>IF(C45&lt;='Input sheet(dashboard)'!$D$6, -PMT('Input sheet(dashboard)'!$E$5,'Input sheet(dashboard)'!$D$6*12,'Input sheet(dashboard)'!$D$3*'Input sheet(dashboard)'!$D$4),0)</f>
        <v>39834.137922259193</v>
      </c>
      <c r="F45" s="3">
        <f>I44*'Input sheet(dashboard)'!$E$5</f>
        <v>27345.913793264153</v>
      </c>
      <c r="G45" s="3">
        <f>IF(C45&lt;='Input sheet(dashboard)'!$D$6,E45*'Input sheet(dashboard)'!$D$7,0)</f>
        <v>3186.7310337807357</v>
      </c>
      <c r="H45" s="3">
        <f t="shared" si="1"/>
        <v>12488.22412899504</v>
      </c>
      <c r="I45" s="3">
        <f t="shared" si="2"/>
        <v>7494374.3799750209</v>
      </c>
      <c r="J45" s="3">
        <f>IF(B45&lt;='Input sheet(dashboard)'!$D$27*12,'Input sheet(dashboard)'!$D$3*(1+'Input sheet(dashboard)'!$E$24)^B45,0)</f>
        <v>10519962.366875926</v>
      </c>
      <c r="K45" s="3">
        <f>IF(B45&lt;='Input sheet(dashboard)'!$D$27*12,J45*'Input sheet(dashboard)'!$E$8,0)</f>
        <v>10896.009096268443</v>
      </c>
      <c r="L45" s="3">
        <f>IF(B45&lt;='Input sheet(dashboard)'!$D$27*12,'Input sheet(dashboard)'!$D$9*(1+'Input sheet(dashboard)'!$E$22)^B45,0)</f>
        <v>3270.80598370093</v>
      </c>
      <c r="M45" s="3">
        <f>IF(B45=1,'Input sheet(dashboard)'!$D$3*'Input sheet(dashboard)'!$D$10,0)</f>
        <v>0</v>
      </c>
      <c r="N45" s="3">
        <f>IF(B45='Input sheet(dashboard)'!$D$27*12,J45*'Input sheet(dashboard)'!$D$11,0)</f>
        <v>0</v>
      </c>
      <c r="O45" s="3">
        <f>IF(SUM(F45:F56)&gt;=150000,150000/12*'Input sheet(dashboard)'!$D$28,SUM(F45:F56)/12*'Input sheet(dashboard)'!$D$28)</f>
        <v>1875</v>
      </c>
      <c r="P45" s="3">
        <f t="shared" si="6"/>
        <v>0</v>
      </c>
      <c r="Q45" s="3">
        <f>IF(B45&lt;='Input sheet(dashboard)'!$D$27*12,'Input sheet(dashboard)'!$D$12/12,0)</f>
        <v>192.5</v>
      </c>
      <c r="R45" s="3">
        <f>IF(B45&lt;='Input sheet(dashboard)'!$D$27*12,('Input sheet(dashboard)'!$D$15/12)*(1+'Input sheet(dashboard)'!$E$22)^Calculations!B45,0)</f>
        <v>363.42288707788111</v>
      </c>
      <c r="S45" s="3">
        <f>IF(B45&lt;='Input sheet(dashboard)'!$D$27*12,(E45+G45+K45+L45-O45+M45+Q45+R45),0)</f>
        <v>55868.60692308718</v>
      </c>
      <c r="T45" s="3">
        <f>IF(B45&lt;='Input sheet(dashboard)'!$D$27*12,IF(D45=12,SUM(S34:S45),0),0)</f>
        <v>0</v>
      </c>
      <c r="U45" s="3">
        <f>IF(B45&lt;='Input sheet(dashboard)'!$D$27*12,IF(S45&lt;AD45,AD45-S45,0),0)</f>
        <v>0</v>
      </c>
      <c r="V45" s="3">
        <f>IF(B45&lt;='Input sheet(dashboard)'!$D$27*12,V44*(1+'Input sheet(dashboard)'!$E$25)+U45,0)</f>
        <v>0</v>
      </c>
      <c r="W45" s="17">
        <f>IF(B45&lt;='Input sheet(dashboard)'!$D$27*12,J45-I45+V45-N45,0)</f>
        <v>3025587.9869009051</v>
      </c>
      <c r="X45" s="3">
        <f>IF(B45&lt;='Input sheet(dashboard)'!$D$27*12,'Input sheet(dashboard)'!$D$17*(1+'Input sheet(dashboard)'!$E$23)^(B45-1),0)</f>
        <v>30604.153279784663</v>
      </c>
      <c r="Y45" s="3"/>
      <c r="Z45" s="18"/>
      <c r="AA45" s="18"/>
      <c r="AB45" s="3">
        <f>IF(B45=1,'Input sheet(dashboard)'!$D$18*Calculations!X45,IF(Calculations!B45=12*'Input sheet(dashboard)'!$D$27,'Input sheet(dashboard)'!$D$18*-Calculations!X45,0))</f>
        <v>0</v>
      </c>
      <c r="AC45" s="3">
        <f>IF(B45&lt;='Input sheet(dashboard)'!$D$27*12,IF(MOD(B44,'Input sheet(dashboard)'!$D$19*12),0,'Input sheet(dashboard)'!$D$20*(1+'Input sheet(dashboard)'!$E$22)^Calculations!B45),0)</f>
        <v>0</v>
      </c>
      <c r="AD45" s="17">
        <f t="shared" si="3"/>
        <v>30604.153279784663</v>
      </c>
      <c r="AE45" s="17">
        <f>IF(B45&lt;='Input sheet(dashboard)'!$D$27*12,IF(D45=12,SUM(AD34:AD45),0),0)</f>
        <v>0</v>
      </c>
      <c r="AF45" s="17">
        <f t="shared" si="4"/>
        <v>25264.453643302517</v>
      </c>
      <c r="AG45" s="17">
        <f t="shared" si="5"/>
        <v>25264.453643302517</v>
      </c>
      <c r="AH45" s="3">
        <f>IF(B45&lt;='Input sheet(dashboard)'!$D$27*12,AH44*(1+'Input sheet(dashboard)'!$E$25)+AG45," ")</f>
        <v>2493350.5541464067</v>
      </c>
    </row>
    <row r="46" spans="2:34">
      <c r="B46">
        <f t="shared" si="0"/>
        <v>43</v>
      </c>
      <c r="C46">
        <f t="shared" si="7"/>
        <v>4</v>
      </c>
      <c r="D46">
        <f t="shared" si="8"/>
        <v>7</v>
      </c>
      <c r="E46" s="15">
        <f>IF(C46&lt;='Input sheet(dashboard)'!$D$6, -PMT('Input sheet(dashboard)'!$E$5,'Input sheet(dashboard)'!$D$6*12,'Input sheet(dashboard)'!$D$3*'Input sheet(dashboard)'!$D$4),0)</f>
        <v>39834.137922259193</v>
      </c>
      <c r="F46" s="3">
        <f>I45*'Input sheet(dashboard)'!$E$5</f>
        <v>27300.421832311549</v>
      </c>
      <c r="G46" s="3">
        <f>IF(C46&lt;='Input sheet(dashboard)'!$D$6,E46*'Input sheet(dashboard)'!$D$7,0)</f>
        <v>3186.7310337807357</v>
      </c>
      <c r="H46" s="3">
        <f t="shared" si="1"/>
        <v>12533.716089947644</v>
      </c>
      <c r="I46" s="3">
        <f t="shared" si="2"/>
        <v>7481840.6638850728</v>
      </c>
      <c r="J46" s="3">
        <f>IF(B46&lt;='Input sheet(dashboard)'!$D$27*12,'Input sheet(dashboard)'!$D$3*(1+'Input sheet(dashboard)'!$E$24)^B46,0)</f>
        <v>10562821.995757902</v>
      </c>
      <c r="K46" s="3">
        <f>IF(B46&lt;='Input sheet(dashboard)'!$D$27*12,J46*'Input sheet(dashboard)'!$E$8,0)</f>
        <v>10940.4007860744</v>
      </c>
      <c r="L46" s="3">
        <f>IF(B46&lt;='Input sheet(dashboard)'!$D$27*12,'Input sheet(dashboard)'!$D$9*(1+'Input sheet(dashboard)'!$E$22)^B46,0)</f>
        <v>3277.5433084977763</v>
      </c>
      <c r="M46" s="3">
        <f>IF(B46=1,'Input sheet(dashboard)'!$D$3*'Input sheet(dashboard)'!$D$10,0)</f>
        <v>0</v>
      </c>
      <c r="N46" s="3">
        <f>IF(B46='Input sheet(dashboard)'!$D$27*12,J46*'Input sheet(dashboard)'!$D$11,0)</f>
        <v>0</v>
      </c>
      <c r="O46" s="3">
        <f>IF(SUM(F46:F57)&gt;=150000,150000/12*'Input sheet(dashboard)'!$D$28,SUM(F46:F57)/12*'Input sheet(dashboard)'!$D$28)</f>
        <v>1875</v>
      </c>
      <c r="P46" s="3">
        <f t="shared" si="6"/>
        <v>0</v>
      </c>
      <c r="Q46" s="3">
        <f>IF(B46&lt;='Input sheet(dashboard)'!$D$27*12,'Input sheet(dashboard)'!$D$12/12,0)</f>
        <v>192.5</v>
      </c>
      <c r="R46" s="3">
        <f>IF(B46&lt;='Input sheet(dashboard)'!$D$27*12,('Input sheet(dashboard)'!$D$15/12)*(1+'Input sheet(dashboard)'!$E$22)^Calculations!B46,0)</f>
        <v>364.17147872197512</v>
      </c>
      <c r="S46" s="3">
        <f>IF(B46&lt;='Input sheet(dashboard)'!$D$27*12,(E46+G46+K46+L46-O46+M46+Q46+R46),0)</f>
        <v>55920.484529334084</v>
      </c>
      <c r="T46" s="3">
        <f>IF(B46&lt;='Input sheet(dashboard)'!$D$27*12,IF(D46=12,SUM(S35:S46),0),0)</f>
        <v>0</v>
      </c>
      <c r="U46" s="3">
        <f>IF(B46&lt;='Input sheet(dashboard)'!$D$27*12,IF(S46&lt;AD46,AD46-S46,0),0)</f>
        <v>0</v>
      </c>
      <c r="V46" s="3">
        <f>IF(B46&lt;='Input sheet(dashboard)'!$D$27*12,V45*(1+'Input sheet(dashboard)'!$E$25)+U46,0)</f>
        <v>0</v>
      </c>
      <c r="W46" s="17">
        <f>IF(B46&lt;='Input sheet(dashboard)'!$D$27*12,J46-I46+V46-N46,0)</f>
        <v>3080981.3318728292</v>
      </c>
      <c r="X46" s="3">
        <f>IF(B46&lt;='Input sheet(dashboard)'!$D$27*12,'Input sheet(dashboard)'!$D$17*(1+'Input sheet(dashboard)'!$E$23)^(B46-1),0)</f>
        <v>30728.838388540251</v>
      </c>
      <c r="Y46" s="3"/>
      <c r="Z46" s="18"/>
      <c r="AA46" s="18"/>
      <c r="AB46" s="3">
        <f>IF(B46=1,'Input sheet(dashboard)'!$D$18*Calculations!X46,IF(Calculations!B46=12*'Input sheet(dashboard)'!$D$27,'Input sheet(dashboard)'!$D$18*-Calculations!X46,0))</f>
        <v>0</v>
      </c>
      <c r="AC46" s="3">
        <f>IF(B46&lt;='Input sheet(dashboard)'!$D$27*12,IF(MOD(B45,'Input sheet(dashboard)'!$D$19*12),0,'Input sheet(dashboard)'!$D$20*(1+'Input sheet(dashboard)'!$E$22)^Calculations!B46),0)</f>
        <v>0</v>
      </c>
      <c r="AD46" s="17">
        <f t="shared" si="3"/>
        <v>30728.838388540251</v>
      </c>
      <c r="AE46" s="17">
        <f>IF(B46&lt;='Input sheet(dashboard)'!$D$27*12,IF(D46=12,SUM(AD35:AD46),0),0)</f>
        <v>0</v>
      </c>
      <c r="AF46" s="17">
        <f t="shared" si="4"/>
        <v>25191.646140793833</v>
      </c>
      <c r="AG46" s="17">
        <f t="shared" si="5"/>
        <v>25191.646140793833</v>
      </c>
      <c r="AH46" s="3">
        <f>IF(B46&lt;='Input sheet(dashboard)'!$D$27*12,AH45*(1+'Input sheet(dashboard)'!$E$25)+AG46," ")</f>
        <v>2534584.4928273722</v>
      </c>
    </row>
    <row r="47" spans="2:34">
      <c r="B47">
        <f t="shared" si="0"/>
        <v>44</v>
      </c>
      <c r="C47">
        <f t="shared" si="7"/>
        <v>4</v>
      </c>
      <c r="D47">
        <f t="shared" si="8"/>
        <v>8</v>
      </c>
      <c r="E47" s="15">
        <f>IF(C47&lt;='Input sheet(dashboard)'!$D$6, -PMT('Input sheet(dashboard)'!$E$5,'Input sheet(dashboard)'!$D$6*12,'Input sheet(dashboard)'!$D$3*'Input sheet(dashboard)'!$D$4),0)</f>
        <v>39834.137922259193</v>
      </c>
      <c r="F47" s="3">
        <f>I46*'Input sheet(dashboard)'!$E$5</f>
        <v>27254.764153760516</v>
      </c>
      <c r="G47" s="3">
        <f>IF(C47&lt;='Input sheet(dashboard)'!$D$6,E47*'Input sheet(dashboard)'!$D$7,0)</f>
        <v>3186.7310337807357</v>
      </c>
      <c r="H47" s="3">
        <f t="shared" si="1"/>
        <v>12579.373768498677</v>
      </c>
      <c r="I47" s="3">
        <f t="shared" si="2"/>
        <v>7469261.2901165737</v>
      </c>
      <c r="J47" s="3">
        <f>IF(B47&lt;='Input sheet(dashboard)'!$D$27*12,'Input sheet(dashboard)'!$D$3*(1+'Input sheet(dashboard)'!$E$24)^B47,0)</f>
        <v>10605856.240073262</v>
      </c>
      <c r="K47" s="3">
        <f>IF(B47&lt;='Input sheet(dashboard)'!$D$27*12,J47*'Input sheet(dashboard)'!$E$8,0)</f>
        <v>10984.973333119589</v>
      </c>
      <c r="L47" s="3">
        <f>IF(B47&lt;='Input sheet(dashboard)'!$D$27*12,'Input sheet(dashboard)'!$D$9*(1+'Input sheet(dashboard)'!$E$22)^B47,0)</f>
        <v>3284.2945110806004</v>
      </c>
      <c r="M47" s="3">
        <f>IF(B47=1,'Input sheet(dashboard)'!$D$3*'Input sheet(dashboard)'!$D$10,0)</f>
        <v>0</v>
      </c>
      <c r="N47" s="3">
        <f>IF(B47='Input sheet(dashboard)'!$D$27*12,J47*'Input sheet(dashboard)'!$D$11,0)</f>
        <v>0</v>
      </c>
      <c r="O47" s="3">
        <f>IF(SUM(F47:F58)&gt;=150000,150000/12*'Input sheet(dashboard)'!$D$28,SUM(F47:F58)/12*'Input sheet(dashboard)'!$D$28)</f>
        <v>1875</v>
      </c>
      <c r="P47" s="3">
        <f t="shared" si="6"/>
        <v>0</v>
      </c>
      <c r="Q47" s="3">
        <f>IF(B47&lt;='Input sheet(dashboard)'!$D$27*12,'Input sheet(dashboard)'!$D$12/12,0)</f>
        <v>192.5</v>
      </c>
      <c r="R47" s="3">
        <f>IF(B47&lt;='Input sheet(dashboard)'!$D$27*12,('Input sheet(dashboard)'!$D$15/12)*(1+'Input sheet(dashboard)'!$E$22)^Calculations!B47,0)</f>
        <v>364.92161234228888</v>
      </c>
      <c r="S47" s="3">
        <f>IF(B47&lt;='Input sheet(dashboard)'!$D$27*12,(E47+G47+K47+L47-O47+M47+Q47+R47),0)</f>
        <v>55972.55841258241</v>
      </c>
      <c r="T47" s="3">
        <f>IF(B47&lt;='Input sheet(dashboard)'!$D$27*12,IF(D47=12,SUM(S36:S47),0),0)</f>
        <v>0</v>
      </c>
      <c r="U47" s="3">
        <f>IF(B47&lt;='Input sheet(dashboard)'!$D$27*12,IF(S47&lt;AD47,AD47-S47,0),0)</f>
        <v>0</v>
      </c>
      <c r="V47" s="3">
        <f>IF(B47&lt;='Input sheet(dashboard)'!$D$27*12,V46*(1+'Input sheet(dashboard)'!$E$25)+U47,0)</f>
        <v>0</v>
      </c>
      <c r="W47" s="17">
        <f>IF(B47&lt;='Input sheet(dashboard)'!$D$27*12,J47-I47+V47-N47,0)</f>
        <v>3136594.9499566881</v>
      </c>
      <c r="X47" s="3">
        <f>IF(B47&lt;='Input sheet(dashboard)'!$D$27*12,'Input sheet(dashboard)'!$D$17*(1+'Input sheet(dashboard)'!$E$23)^(B47-1),0)</f>
        <v>30854.03147986289</v>
      </c>
      <c r="Y47" s="3"/>
      <c r="Z47" s="18"/>
      <c r="AA47" s="18"/>
      <c r="AB47" s="3">
        <f>IF(B47=1,'Input sheet(dashboard)'!$D$18*Calculations!X47,IF(Calculations!B47=12*'Input sheet(dashboard)'!$D$27,'Input sheet(dashboard)'!$D$18*-Calculations!X47,0))</f>
        <v>0</v>
      </c>
      <c r="AC47" s="3">
        <f>IF(B47&lt;='Input sheet(dashboard)'!$D$27*12,IF(MOD(B46,'Input sheet(dashboard)'!$D$19*12),0,'Input sheet(dashboard)'!$D$20*(1+'Input sheet(dashboard)'!$E$22)^Calculations!B47),0)</f>
        <v>0</v>
      </c>
      <c r="AD47" s="17">
        <f t="shared" si="3"/>
        <v>30854.03147986289</v>
      </c>
      <c r="AE47" s="17">
        <f>IF(B47&lt;='Input sheet(dashboard)'!$D$27*12,IF(D47=12,SUM(AD36:AD47),0),0)</f>
        <v>0</v>
      </c>
      <c r="AF47" s="17">
        <f t="shared" si="4"/>
        <v>25118.52693271952</v>
      </c>
      <c r="AG47" s="17">
        <f t="shared" si="5"/>
        <v>25118.52693271952</v>
      </c>
      <c r="AH47" s="3">
        <f>IF(B47&lt;='Input sheet(dashboard)'!$D$27*12,AH46*(1+'Input sheet(dashboard)'!$E$25)+AG47," ")</f>
        <v>2576010.6127032908</v>
      </c>
    </row>
    <row r="48" spans="2:34">
      <c r="B48">
        <f t="shared" si="0"/>
        <v>45</v>
      </c>
      <c r="C48">
        <f t="shared" si="7"/>
        <v>4</v>
      </c>
      <c r="D48">
        <f t="shared" si="8"/>
        <v>9</v>
      </c>
      <c r="E48" s="15">
        <f>IF(C48&lt;='Input sheet(dashboard)'!$D$6, -PMT('Input sheet(dashboard)'!$E$5,'Input sheet(dashboard)'!$D$6*12,'Input sheet(dashboard)'!$D$3*'Input sheet(dashboard)'!$D$4),0)</f>
        <v>39834.137922259193</v>
      </c>
      <c r="F48" s="3">
        <f>I47*'Input sheet(dashboard)'!$E$5</f>
        <v>27208.940153936866</v>
      </c>
      <c r="G48" s="3">
        <f>IF(C48&lt;='Input sheet(dashboard)'!$D$6,E48*'Input sheet(dashboard)'!$D$7,0)</f>
        <v>3186.7310337807357</v>
      </c>
      <c r="H48" s="3">
        <f t="shared" si="1"/>
        <v>12625.197768322327</v>
      </c>
      <c r="I48" s="3">
        <f t="shared" si="2"/>
        <v>7456636.0923482515</v>
      </c>
      <c r="J48" s="3">
        <f>IF(B48&lt;='Input sheet(dashboard)'!$D$27*12,'Input sheet(dashboard)'!$D$3*(1+'Input sheet(dashboard)'!$E$24)^B48,0)</f>
        <v>10649065.811226901</v>
      </c>
      <c r="K48" s="3">
        <f>IF(B48&lt;='Input sheet(dashboard)'!$D$27*12,J48*'Input sheet(dashboard)'!$E$8,0)</f>
        <v>11029.727474238796</v>
      </c>
      <c r="L48" s="3">
        <f>IF(B48&lt;='Input sheet(dashboard)'!$D$27*12,'Input sheet(dashboard)'!$D$9*(1+'Input sheet(dashboard)'!$E$22)^B48,0)</f>
        <v>3291.0596200353693</v>
      </c>
      <c r="M48" s="3">
        <f>IF(B48=1,'Input sheet(dashboard)'!$D$3*'Input sheet(dashboard)'!$D$10,0)</f>
        <v>0</v>
      </c>
      <c r="N48" s="3">
        <f>IF(B48='Input sheet(dashboard)'!$D$27*12,J48*'Input sheet(dashboard)'!$D$11,0)</f>
        <v>0</v>
      </c>
      <c r="O48" s="3">
        <f>IF(SUM(F48:F59)&gt;=150000,150000/12*'Input sheet(dashboard)'!$D$28,SUM(F48:F59)/12*'Input sheet(dashboard)'!$D$28)</f>
        <v>1875</v>
      </c>
      <c r="P48" s="3">
        <f t="shared" si="6"/>
        <v>0</v>
      </c>
      <c r="Q48" s="3">
        <f>IF(B48&lt;='Input sheet(dashboard)'!$D$27*12,'Input sheet(dashboard)'!$D$12/12,0)</f>
        <v>192.5</v>
      </c>
      <c r="R48" s="3">
        <f>IF(B48&lt;='Input sheet(dashboard)'!$D$27*12,('Input sheet(dashboard)'!$D$15/12)*(1+'Input sheet(dashboard)'!$E$22)^Calculations!B48,0)</f>
        <v>365.67329111504102</v>
      </c>
      <c r="S48" s="3">
        <f>IF(B48&lt;='Input sheet(dashboard)'!$D$27*12,(E48+G48+K48+L48-O48+M48+Q48+R48),0)</f>
        <v>56024.829341429133</v>
      </c>
      <c r="T48" s="3">
        <f>IF(B48&lt;='Input sheet(dashboard)'!$D$27*12,IF(D48=12,SUM(S37:S48),0),0)</f>
        <v>0</v>
      </c>
      <c r="U48" s="3">
        <f>IF(B48&lt;='Input sheet(dashboard)'!$D$27*12,IF(S48&lt;AD48,AD48-S48,0),0)</f>
        <v>0</v>
      </c>
      <c r="V48" s="3">
        <f>IF(B48&lt;='Input sheet(dashboard)'!$D$27*12,V47*(1+'Input sheet(dashboard)'!$E$25)+U48,0)</f>
        <v>0</v>
      </c>
      <c r="W48" s="17">
        <f>IF(B48&lt;='Input sheet(dashboard)'!$D$27*12,J48-I48+V48-N48,0)</f>
        <v>3192429.7188786492</v>
      </c>
      <c r="X48" s="3">
        <f>IF(B48&lt;='Input sheet(dashboard)'!$D$27*12,'Input sheet(dashboard)'!$D$17*(1+'Input sheet(dashboard)'!$E$23)^(B48-1),0)</f>
        <v>30979.734623336433</v>
      </c>
      <c r="Y48" s="3"/>
      <c r="Z48" s="18"/>
      <c r="AA48" s="18"/>
      <c r="AB48" s="3">
        <f>IF(B48=1,'Input sheet(dashboard)'!$D$18*Calculations!X48,IF(Calculations!B48=12*'Input sheet(dashboard)'!$D$27,'Input sheet(dashboard)'!$D$18*-Calculations!X48,0))</f>
        <v>0</v>
      </c>
      <c r="AC48" s="3">
        <f>IF(B48&lt;='Input sheet(dashboard)'!$D$27*12,IF(MOD(B47,'Input sheet(dashboard)'!$D$19*12),0,'Input sheet(dashboard)'!$D$20*(1+'Input sheet(dashboard)'!$E$22)^Calculations!B48),0)</f>
        <v>0</v>
      </c>
      <c r="AD48" s="17">
        <f t="shared" si="3"/>
        <v>30979.734623336433</v>
      </c>
      <c r="AE48" s="17">
        <f>IF(B48&lt;='Input sheet(dashboard)'!$D$27*12,IF(D48=12,SUM(AD37:AD48),0),0)</f>
        <v>0</v>
      </c>
      <c r="AF48" s="17">
        <f t="shared" si="4"/>
        <v>25045.0947180927</v>
      </c>
      <c r="AG48" s="17">
        <f t="shared" si="5"/>
        <v>25045.0947180927</v>
      </c>
      <c r="AH48" s="3">
        <f>IF(B48&lt;='Input sheet(dashboard)'!$D$27*12,AH47*(1+'Input sheet(dashboard)'!$E$25)+AG48," ")</f>
        <v>2617629.8372672047</v>
      </c>
    </row>
    <row r="49" spans="2:34">
      <c r="B49">
        <f t="shared" si="0"/>
        <v>46</v>
      </c>
      <c r="C49">
        <f t="shared" si="7"/>
        <v>4</v>
      </c>
      <c r="D49">
        <f t="shared" si="8"/>
        <v>10</v>
      </c>
      <c r="E49" s="15">
        <f>IF(C49&lt;='Input sheet(dashboard)'!$D$6, -PMT('Input sheet(dashboard)'!$E$5,'Input sheet(dashboard)'!$D$6*12,'Input sheet(dashboard)'!$D$3*'Input sheet(dashboard)'!$D$4),0)</f>
        <v>39834.137922259193</v>
      </c>
      <c r="F49" s="3">
        <f>I48*'Input sheet(dashboard)'!$E$5</f>
        <v>27162.949226967361</v>
      </c>
      <c r="G49" s="3">
        <f>IF(C49&lt;='Input sheet(dashboard)'!$D$6,E49*'Input sheet(dashboard)'!$D$7,0)</f>
        <v>3186.7310337807357</v>
      </c>
      <c r="H49" s="3">
        <f t="shared" si="1"/>
        <v>12671.188695291832</v>
      </c>
      <c r="I49" s="3">
        <f t="shared" si="2"/>
        <v>7443964.9036529595</v>
      </c>
      <c r="J49" s="3">
        <f>IF(B49&lt;='Input sheet(dashboard)'!$D$27*12,'Input sheet(dashboard)'!$D$3*(1+'Input sheet(dashboard)'!$E$24)^B49,0)</f>
        <v>10692451.423522057</v>
      </c>
      <c r="K49" s="3">
        <f>IF(B49&lt;='Input sheet(dashboard)'!$D$27*12,J49*'Input sheet(dashboard)'!$E$8,0)</f>
        <v>11074.663949268752</v>
      </c>
      <c r="L49" s="3">
        <f>IF(B49&lt;='Input sheet(dashboard)'!$D$27*12,'Input sheet(dashboard)'!$D$9*(1+'Input sheet(dashboard)'!$E$22)^B49,0)</f>
        <v>3297.8386640069334</v>
      </c>
      <c r="M49" s="3">
        <f>IF(B49=1,'Input sheet(dashboard)'!$D$3*'Input sheet(dashboard)'!$D$10,0)</f>
        <v>0</v>
      </c>
      <c r="N49" s="3">
        <f>IF(B49='Input sheet(dashboard)'!$D$27*12,J49*'Input sheet(dashboard)'!$D$11,0)</f>
        <v>0</v>
      </c>
      <c r="O49" s="3">
        <f>IF(SUM(F49:F60)&gt;=150000,150000/12*'Input sheet(dashboard)'!$D$28,SUM(F49:F60)/12*'Input sheet(dashboard)'!$D$28)</f>
        <v>1875</v>
      </c>
      <c r="P49" s="3">
        <f t="shared" si="6"/>
        <v>0</v>
      </c>
      <c r="Q49" s="3">
        <f>IF(B49&lt;='Input sheet(dashboard)'!$D$27*12,'Input sheet(dashboard)'!$D$12/12,0)</f>
        <v>192.5</v>
      </c>
      <c r="R49" s="3">
        <f>IF(B49&lt;='Input sheet(dashboard)'!$D$27*12,('Input sheet(dashboard)'!$D$15/12)*(1+'Input sheet(dashboard)'!$E$22)^Calculations!B49,0)</f>
        <v>366.42651822299257</v>
      </c>
      <c r="S49" s="3">
        <f>IF(B49&lt;='Input sheet(dashboard)'!$D$27*12,(E49+G49+K49+L49-O49+M49+Q49+R49),0)</f>
        <v>56077.298087538613</v>
      </c>
      <c r="T49" s="3">
        <f>IF(B49&lt;='Input sheet(dashboard)'!$D$27*12,IF(D49=12,SUM(S38:S49),0),0)</f>
        <v>0</v>
      </c>
      <c r="U49" s="3">
        <f>IF(B49&lt;='Input sheet(dashboard)'!$D$27*12,IF(S49&lt;AD49,AD49-S49,0),0)</f>
        <v>0</v>
      </c>
      <c r="V49" s="3">
        <f>IF(B49&lt;='Input sheet(dashboard)'!$D$27*12,V48*(1+'Input sheet(dashboard)'!$E$25)+U49,0)</f>
        <v>0</v>
      </c>
      <c r="W49" s="17">
        <f>IF(B49&lt;='Input sheet(dashboard)'!$D$27*12,J49-I49+V49-N49,0)</f>
        <v>3248486.5198690975</v>
      </c>
      <c r="X49" s="3">
        <f>IF(B49&lt;='Input sheet(dashboard)'!$D$27*12,'Input sheet(dashboard)'!$D$17*(1+'Input sheet(dashboard)'!$E$23)^(B49-1),0)</f>
        <v>31105.949896976483</v>
      </c>
      <c r="Y49" s="3"/>
      <c r="Z49" s="18"/>
      <c r="AA49" s="18"/>
      <c r="AB49" s="3">
        <f>IF(B49=1,'Input sheet(dashboard)'!$D$18*Calculations!X49,IF(Calculations!B49=12*'Input sheet(dashboard)'!$D$27,'Input sheet(dashboard)'!$D$18*-Calculations!X49,0))</f>
        <v>0</v>
      </c>
      <c r="AC49" s="3">
        <f>IF(B49&lt;='Input sheet(dashboard)'!$D$27*12,IF(MOD(B48,'Input sheet(dashboard)'!$D$19*12),0,'Input sheet(dashboard)'!$D$20*(1+'Input sheet(dashboard)'!$E$22)^Calculations!B49),0)</f>
        <v>0</v>
      </c>
      <c r="AD49" s="17">
        <f t="shared" si="3"/>
        <v>31105.949896976483</v>
      </c>
      <c r="AE49" s="17">
        <f>IF(B49&lt;='Input sheet(dashboard)'!$D$27*12,IF(D49=12,SUM(AD38:AD49),0),0)</f>
        <v>0</v>
      </c>
      <c r="AF49" s="17">
        <f t="shared" si="4"/>
        <v>24971.34819056213</v>
      </c>
      <c r="AG49" s="17">
        <f t="shared" si="5"/>
        <v>24971.34819056213</v>
      </c>
      <c r="AH49" s="3">
        <f>IF(B49&lt;='Input sheet(dashboard)'!$D$27*12,AH48*(1+'Input sheet(dashboard)'!$E$25)+AG49," ")</f>
        <v>2659443.0946475877</v>
      </c>
    </row>
    <row r="50" spans="2:34">
      <c r="B50">
        <f t="shared" si="0"/>
        <v>47</v>
      </c>
      <c r="C50">
        <f t="shared" si="7"/>
        <v>4</v>
      </c>
      <c r="D50">
        <f t="shared" si="8"/>
        <v>11</v>
      </c>
      <c r="E50" s="15">
        <f>IF(C50&lt;='Input sheet(dashboard)'!$D$6, -PMT('Input sheet(dashboard)'!$E$5,'Input sheet(dashboard)'!$D$6*12,'Input sheet(dashboard)'!$D$3*'Input sheet(dashboard)'!$D$4),0)</f>
        <v>39834.137922259193</v>
      </c>
      <c r="F50" s="3">
        <f>I49*'Input sheet(dashboard)'!$E$5</f>
        <v>27116.790764771689</v>
      </c>
      <c r="G50" s="3">
        <f>IF(C50&lt;='Input sheet(dashboard)'!$D$6,E50*'Input sheet(dashboard)'!$D$7,0)</f>
        <v>3186.7310337807357</v>
      </c>
      <c r="H50" s="3">
        <f t="shared" si="1"/>
        <v>12717.347157487504</v>
      </c>
      <c r="I50" s="3">
        <f t="shared" si="2"/>
        <v>7431247.5564954719</v>
      </c>
      <c r="J50" s="3">
        <f>IF(B50&lt;='Input sheet(dashboard)'!$D$27*12,'Input sheet(dashboard)'!$D$3*(1+'Input sheet(dashboard)'!$E$24)^B50,0)</f>
        <v>10736013.794172134</v>
      </c>
      <c r="K50" s="3">
        <f>IF(B50&lt;='Input sheet(dashboard)'!$D$27*12,J50*'Input sheet(dashboard)'!$E$8,0)</f>
        <v>11119.783501060383</v>
      </c>
      <c r="L50" s="3">
        <f>IF(B50&lt;='Input sheet(dashboard)'!$D$27*12,'Input sheet(dashboard)'!$D$9*(1+'Input sheet(dashboard)'!$E$22)^B50,0)</f>
        <v>3304.6316716991446</v>
      </c>
      <c r="M50" s="3">
        <f>IF(B50=1,'Input sheet(dashboard)'!$D$3*'Input sheet(dashboard)'!$D$10,0)</f>
        <v>0</v>
      </c>
      <c r="N50" s="3">
        <f>IF(B50='Input sheet(dashboard)'!$D$27*12,J50*'Input sheet(dashboard)'!$D$11,0)</f>
        <v>0</v>
      </c>
      <c r="O50" s="3">
        <f>IF(SUM(F50:F61)&gt;=150000,150000/12*'Input sheet(dashboard)'!$D$28,SUM(F50:F61)/12*'Input sheet(dashboard)'!$D$28)</f>
        <v>1875</v>
      </c>
      <c r="P50" s="3">
        <f t="shared" si="6"/>
        <v>0</v>
      </c>
      <c r="Q50" s="3">
        <f>IF(B50&lt;='Input sheet(dashboard)'!$D$27*12,'Input sheet(dashboard)'!$D$12/12,0)</f>
        <v>192.5</v>
      </c>
      <c r="R50" s="3">
        <f>IF(B50&lt;='Input sheet(dashboard)'!$D$27*12,('Input sheet(dashboard)'!$D$15/12)*(1+'Input sheet(dashboard)'!$E$22)^Calculations!B50,0)</f>
        <v>367.18129685546046</v>
      </c>
      <c r="S50" s="3">
        <f>IF(B50&lt;='Input sheet(dashboard)'!$D$27*12,(E50+G50+K50+L50-O50+M50+Q50+R50),0)</f>
        <v>56129.965425654911</v>
      </c>
      <c r="T50" s="3">
        <f>IF(B50&lt;='Input sheet(dashboard)'!$D$27*12,IF(D50=12,SUM(S39:S50),0),0)</f>
        <v>0</v>
      </c>
      <c r="U50" s="3">
        <f>IF(B50&lt;='Input sheet(dashboard)'!$D$27*12,IF(S50&lt;AD50,AD50-S50,0),0)</f>
        <v>0</v>
      </c>
      <c r="V50" s="3">
        <f>IF(B50&lt;='Input sheet(dashboard)'!$D$27*12,V49*(1+'Input sheet(dashboard)'!$E$25)+U50,0)</f>
        <v>0</v>
      </c>
      <c r="W50" s="17">
        <f>IF(B50&lt;='Input sheet(dashboard)'!$D$27*12,J50-I50+V50-N50,0)</f>
        <v>3304766.2376766624</v>
      </c>
      <c r="X50" s="3">
        <f>IF(B50&lt;='Input sheet(dashboard)'!$D$27*12,'Input sheet(dashboard)'!$D$17*(1+'Input sheet(dashboard)'!$E$23)^(B50-1),0)</f>
        <v>31232.679387264732</v>
      </c>
      <c r="Y50" s="3"/>
      <c r="Z50" s="18"/>
      <c r="AA50" s="18"/>
      <c r="AB50" s="3">
        <f>IF(B50=1,'Input sheet(dashboard)'!$D$18*Calculations!X50,IF(Calculations!B50=12*'Input sheet(dashboard)'!$D$27,'Input sheet(dashboard)'!$D$18*-Calculations!X50,0))</f>
        <v>0</v>
      </c>
      <c r="AC50" s="3">
        <f>IF(B50&lt;='Input sheet(dashboard)'!$D$27*12,IF(MOD(B49,'Input sheet(dashboard)'!$D$19*12),0,'Input sheet(dashboard)'!$D$20*(1+'Input sheet(dashboard)'!$E$22)^Calculations!B50),0)</f>
        <v>0</v>
      </c>
      <c r="AD50" s="17">
        <f t="shared" si="3"/>
        <v>31232.679387264732</v>
      </c>
      <c r="AE50" s="17">
        <f>IF(B50&lt;='Input sheet(dashboard)'!$D$27*12,IF(D50=12,SUM(AD39:AD50),0),0)</f>
        <v>0</v>
      </c>
      <c r="AF50" s="17">
        <f t="shared" si="4"/>
        <v>24897.286038390179</v>
      </c>
      <c r="AG50" s="17">
        <f t="shared" si="5"/>
        <v>24897.286038390179</v>
      </c>
      <c r="AH50" s="3">
        <f>IF(B50&lt;='Input sheet(dashboard)'!$D$27*12,AH49*(1+'Input sheet(dashboard)'!$E$25)+AG50," ")</f>
        <v>2701451.3176327813</v>
      </c>
    </row>
    <row r="51" spans="2:34">
      <c r="B51">
        <f t="shared" si="0"/>
        <v>48</v>
      </c>
      <c r="C51">
        <f t="shared" si="7"/>
        <v>4</v>
      </c>
      <c r="D51">
        <f t="shared" si="8"/>
        <v>12</v>
      </c>
      <c r="E51" s="15">
        <f>IF(C51&lt;='Input sheet(dashboard)'!$D$6, -PMT('Input sheet(dashboard)'!$E$5,'Input sheet(dashboard)'!$D$6*12,'Input sheet(dashboard)'!$D$3*'Input sheet(dashboard)'!$D$4),0)</f>
        <v>39834.137922259193</v>
      </c>
      <c r="F51" s="3">
        <f>I50*'Input sheet(dashboard)'!$E$5</f>
        <v>27070.464157054434</v>
      </c>
      <c r="G51" s="3">
        <f>IF(C51&lt;='Input sheet(dashboard)'!$D$6,E51*'Input sheet(dashboard)'!$D$7,0)</f>
        <v>3186.7310337807357</v>
      </c>
      <c r="H51" s="3">
        <f t="shared" si="1"/>
        <v>12763.67376520476</v>
      </c>
      <c r="I51" s="3">
        <f t="shared" si="2"/>
        <v>7418483.882730267</v>
      </c>
      <c r="J51" s="3">
        <f>IF(B51&lt;='Input sheet(dashboard)'!$D$27*12,'Input sheet(dashboard)'!$D$3*(1+'Input sheet(dashboard)'!$E$24)^B51,0)</f>
        <v>10779753.643312549</v>
      </c>
      <c r="K51" s="3">
        <f>IF(B51&lt;='Input sheet(dashboard)'!$D$27*12,J51*'Input sheet(dashboard)'!$E$8,0)</f>
        <v>11165.086875491075</v>
      </c>
      <c r="L51" s="3">
        <f>IF(B51&lt;='Input sheet(dashboard)'!$D$27*12,'Input sheet(dashboard)'!$D$9*(1+'Input sheet(dashboard)'!$E$22)^B51,0)</f>
        <v>3311.4386718749811</v>
      </c>
      <c r="M51" s="3">
        <f>IF(B51=1,'Input sheet(dashboard)'!$D$3*'Input sheet(dashboard)'!$D$10,0)</f>
        <v>0</v>
      </c>
      <c r="N51" s="3">
        <f>IF(B51='Input sheet(dashboard)'!$D$27*12,J51*'Input sheet(dashboard)'!$D$11,0)</f>
        <v>0</v>
      </c>
      <c r="O51" s="3">
        <f>IF(SUM(F51:F62)&gt;=150000,150000/12*'Input sheet(dashboard)'!$D$28,SUM(F51:F62)/12*'Input sheet(dashboard)'!$D$28)</f>
        <v>1875</v>
      </c>
      <c r="P51" s="3">
        <f t="shared" si="6"/>
        <v>22500</v>
      </c>
      <c r="Q51" s="3">
        <f>IF(B51&lt;='Input sheet(dashboard)'!$D$27*12,'Input sheet(dashboard)'!$D$12/12,0)</f>
        <v>192.5</v>
      </c>
      <c r="R51" s="3">
        <f>IF(B51&lt;='Input sheet(dashboard)'!$D$27*12,('Input sheet(dashboard)'!$D$15/12)*(1+'Input sheet(dashboard)'!$E$22)^Calculations!B51,0)</f>
        <v>367.93763020833126</v>
      </c>
      <c r="S51" s="3">
        <f>IF(B51&lt;='Input sheet(dashboard)'!$D$27*12,(E51+G51+K51+L51-O51+M51+Q51+R51),0)</f>
        <v>56182.83213361432</v>
      </c>
      <c r="T51" s="3">
        <f>IF(B51&lt;='Input sheet(dashboard)'!$D$27*12,IF(D51=12,SUM(S40:S51),0),0)</f>
        <v>670748.26165214553</v>
      </c>
      <c r="U51" s="3">
        <f>IF(B51&lt;='Input sheet(dashboard)'!$D$27*12,IF(S51&lt;AD51,AD51-S51,0),0)</f>
        <v>0</v>
      </c>
      <c r="V51" s="3">
        <f>IF(B51&lt;='Input sheet(dashboard)'!$D$27*12,V50*(1+'Input sheet(dashboard)'!$E$25)+U51,0)</f>
        <v>0</v>
      </c>
      <c r="W51" s="17">
        <f>IF(B51&lt;='Input sheet(dashboard)'!$D$27*12,J51-I51+V51-N51,0)</f>
        <v>3361269.7605822822</v>
      </c>
      <c r="X51" s="3">
        <f>IF(B51&lt;='Input sheet(dashboard)'!$D$27*12,'Input sheet(dashboard)'!$D$17*(1+'Input sheet(dashboard)'!$E$23)^(B51-1),0)</f>
        <v>31359.925189183454</v>
      </c>
      <c r="Y51" s="3"/>
      <c r="Z51" s="18"/>
      <c r="AA51" s="18"/>
      <c r="AB51" s="3">
        <f>IF(B51=1,'Input sheet(dashboard)'!$D$18*Calculations!X51,IF(Calculations!B51=12*'Input sheet(dashboard)'!$D$27,'Input sheet(dashboard)'!$D$18*-Calculations!X51,0))</f>
        <v>0</v>
      </c>
      <c r="AC51" s="3">
        <f>IF(B51&lt;='Input sheet(dashboard)'!$D$27*12,IF(MOD(B50,'Input sheet(dashboard)'!$D$19*12),0,'Input sheet(dashboard)'!$D$20*(1+'Input sheet(dashboard)'!$E$22)^Calculations!B51),0)</f>
        <v>0</v>
      </c>
      <c r="AD51" s="17">
        <f t="shared" si="3"/>
        <v>31359.925189183454</v>
      </c>
      <c r="AE51" s="17">
        <f>IF(B51&lt;='Input sheet(dashboard)'!$D$27*12,IF(D51=12,SUM(AD40:AD51),0),0)</f>
        <v>368033.43758674624</v>
      </c>
      <c r="AF51" s="17">
        <f t="shared" si="4"/>
        <v>24822.906944430866</v>
      </c>
      <c r="AG51" s="17">
        <f t="shared" si="5"/>
        <v>24822.906944430866</v>
      </c>
      <c r="AH51" s="3">
        <f>IF(B51&lt;='Input sheet(dashboard)'!$D$27*12,AH50*(1+'Input sheet(dashboard)'!$E$25)+AG51," ")</f>
        <v>2743655.4436955699</v>
      </c>
    </row>
    <row r="52" spans="2:34">
      <c r="B52">
        <f t="shared" si="0"/>
        <v>49</v>
      </c>
      <c r="C52">
        <f t="shared" si="7"/>
        <v>5</v>
      </c>
      <c r="D52">
        <f t="shared" si="8"/>
        <v>1</v>
      </c>
      <c r="E52" s="15">
        <f>IF(C52&lt;='Input sheet(dashboard)'!$D$6, -PMT('Input sheet(dashboard)'!$E$5,'Input sheet(dashboard)'!$D$6*12,'Input sheet(dashboard)'!$D$3*'Input sheet(dashboard)'!$D$4),0)</f>
        <v>39834.137922259193</v>
      </c>
      <c r="F52" s="3">
        <f>I51*'Input sheet(dashboard)'!$E$5</f>
        <v>27023.968791296997</v>
      </c>
      <c r="G52" s="3">
        <f>IF(C52&lt;='Input sheet(dashboard)'!$D$6,E52*'Input sheet(dashboard)'!$D$7,0)</f>
        <v>3186.7310337807357</v>
      </c>
      <c r="H52" s="3">
        <f t="shared" si="1"/>
        <v>12810.169130962197</v>
      </c>
      <c r="I52" s="3">
        <f t="shared" si="2"/>
        <v>7405673.7135993047</v>
      </c>
      <c r="J52" s="3">
        <f>IF(B52&lt;='Input sheet(dashboard)'!$D$27*12,'Input sheet(dashboard)'!$D$3*(1+'Input sheet(dashboard)'!$E$24)^B52,0)</f>
        <v>10823671.694012636</v>
      </c>
      <c r="K52" s="3">
        <f>IF(B52&lt;='Input sheet(dashboard)'!$D$27*12,J52*'Input sheet(dashboard)'!$E$8,0)</f>
        <v>11210.57482147701</v>
      </c>
      <c r="L52" s="3">
        <f>IF(B52&lt;='Input sheet(dashboard)'!$D$27*12,'Input sheet(dashboard)'!$D$9*(1+'Input sheet(dashboard)'!$E$22)^B52,0)</f>
        <v>3318.2596933566692</v>
      </c>
      <c r="M52" s="3">
        <f>IF(B52=1,'Input sheet(dashboard)'!$D$3*'Input sheet(dashboard)'!$D$10,0)</f>
        <v>0</v>
      </c>
      <c r="N52" s="3">
        <f>IF(B52='Input sheet(dashboard)'!$D$27*12,J52*'Input sheet(dashboard)'!$D$11,0)</f>
        <v>0</v>
      </c>
      <c r="O52" s="3">
        <f>IF(SUM(F52:F63)&gt;=150000,150000/12*'Input sheet(dashboard)'!$D$28,SUM(F52:F63)/12*'Input sheet(dashboard)'!$D$28)</f>
        <v>1875</v>
      </c>
      <c r="P52" s="3">
        <f t="shared" si="6"/>
        <v>0</v>
      </c>
      <c r="Q52" s="3">
        <f>IF(B52&lt;='Input sheet(dashboard)'!$D$27*12,'Input sheet(dashboard)'!$D$12/12,0)</f>
        <v>192.5</v>
      </c>
      <c r="R52" s="3">
        <f>IF(B52&lt;='Input sheet(dashboard)'!$D$27*12,('Input sheet(dashboard)'!$D$15/12)*(1+'Input sheet(dashboard)'!$E$22)^Calculations!B52,0)</f>
        <v>368.69552148407433</v>
      </c>
      <c r="S52" s="3">
        <f>IF(B52&lt;='Input sheet(dashboard)'!$D$27*12,(E52+G52+K52+L52-O52+M52+Q52+R52),0)</f>
        <v>56235.898992357674</v>
      </c>
      <c r="T52" s="3">
        <f>IF(B52&lt;='Input sheet(dashboard)'!$D$27*12,IF(D52=12,SUM(S41:S52),0),0)</f>
        <v>0</v>
      </c>
      <c r="U52" s="3">
        <f>IF(B52&lt;='Input sheet(dashboard)'!$D$27*12,IF(S52&lt;AD52,AD52-S52,0),0)</f>
        <v>0</v>
      </c>
      <c r="V52" s="3">
        <f>IF(B52&lt;='Input sheet(dashboard)'!$D$27*12,V51*(1+'Input sheet(dashboard)'!$E$25)+U52,0)</f>
        <v>0</v>
      </c>
      <c r="W52" s="17">
        <f>IF(B52&lt;='Input sheet(dashboard)'!$D$27*12,J52-I52+V52-N52,0)</f>
        <v>3417997.9804133317</v>
      </c>
      <c r="X52" s="3">
        <f>IF(B52&lt;='Input sheet(dashboard)'!$D$27*12,'Input sheet(dashboard)'!$D$17*(1+'Input sheet(dashboard)'!$E$23)^(B52-1),0)</f>
        <v>31487.689406250145</v>
      </c>
      <c r="Y52" s="3"/>
      <c r="Z52" s="18"/>
      <c r="AA52" s="18"/>
      <c r="AB52" s="3">
        <f>IF(B52=1,'Input sheet(dashboard)'!$D$18*Calculations!X52,IF(Calculations!B52=12*'Input sheet(dashboard)'!$D$27,'Input sheet(dashboard)'!$D$18*-Calculations!X52,0))</f>
        <v>0</v>
      </c>
      <c r="AC52" s="3">
        <f>IF(B52&lt;='Input sheet(dashboard)'!$D$27*12,IF(MOD(B51,'Input sheet(dashboard)'!$D$19*12),0,'Input sheet(dashboard)'!$D$20*(1+'Input sheet(dashboard)'!$E$22)^Calculations!B52),0)</f>
        <v>0</v>
      </c>
      <c r="AD52" s="17">
        <f t="shared" si="3"/>
        <v>31487.689406250145</v>
      </c>
      <c r="AE52" s="17">
        <f>IF(B52&lt;='Input sheet(dashboard)'!$D$27*12,IF(D52=12,SUM(AD41:AD52),0),0)</f>
        <v>0</v>
      </c>
      <c r="AF52" s="17">
        <f t="shared" si="4"/>
        <v>24748.209586107529</v>
      </c>
      <c r="AG52" s="17">
        <f t="shared" si="5"/>
        <v>24748.209586107529</v>
      </c>
      <c r="AH52" s="3">
        <f>IF(B52&lt;='Input sheet(dashboard)'!$D$27*12,AH51*(1+'Input sheet(dashboard)'!$E$25)+AG52," ")</f>
        <v>2786056.4150178898</v>
      </c>
    </row>
    <row r="53" spans="2:34">
      <c r="B53">
        <f t="shared" si="0"/>
        <v>50</v>
      </c>
      <c r="C53">
        <f t="shared" si="7"/>
        <v>5</v>
      </c>
      <c r="D53">
        <f t="shared" si="8"/>
        <v>2</v>
      </c>
      <c r="E53" s="15">
        <f>IF(C53&lt;='Input sheet(dashboard)'!$D$6, -PMT('Input sheet(dashboard)'!$E$5,'Input sheet(dashboard)'!$D$6*12,'Input sheet(dashboard)'!$D$3*'Input sheet(dashboard)'!$D$4),0)</f>
        <v>39834.137922259193</v>
      </c>
      <c r="F53" s="3">
        <f>I52*'Input sheet(dashboard)'!$E$5</f>
        <v>26977.30405274951</v>
      </c>
      <c r="G53" s="3">
        <f>IF(C53&lt;='Input sheet(dashboard)'!$D$6,E53*'Input sheet(dashboard)'!$D$7,0)</f>
        <v>3186.7310337807357</v>
      </c>
      <c r="H53" s="3">
        <f t="shared" si="1"/>
        <v>12856.833869509683</v>
      </c>
      <c r="I53" s="3">
        <f t="shared" si="2"/>
        <v>7392816.8797297953</v>
      </c>
      <c r="J53" s="3">
        <f>IF(B53&lt;='Input sheet(dashboard)'!$D$27*12,'Input sheet(dashboard)'!$D$3*(1+'Input sheet(dashboard)'!$E$24)^B53,0)</f>
        <v>10867768.672287619</v>
      </c>
      <c r="K53" s="3">
        <f>IF(B53&lt;='Input sheet(dashboard)'!$D$27*12,J53*'Input sheet(dashboard)'!$E$8,0)</f>
        <v>11256.248090985564</v>
      </c>
      <c r="L53" s="3">
        <f>IF(B53&lt;='Input sheet(dashboard)'!$D$27*12,'Input sheet(dashboard)'!$D$9*(1+'Input sheet(dashboard)'!$E$22)^B53,0)</f>
        <v>3325.0947650258026</v>
      </c>
      <c r="M53" s="3">
        <f>IF(B53=1,'Input sheet(dashboard)'!$D$3*'Input sheet(dashboard)'!$D$10,0)</f>
        <v>0</v>
      </c>
      <c r="N53" s="3">
        <f>IF(B53='Input sheet(dashboard)'!$D$27*12,J53*'Input sheet(dashboard)'!$D$11,0)</f>
        <v>0</v>
      </c>
      <c r="O53" s="3">
        <f>IF(SUM(F53:F64)&gt;=150000,150000/12*'Input sheet(dashboard)'!$D$28,SUM(F53:F64)/12*'Input sheet(dashboard)'!$D$28)</f>
        <v>1875</v>
      </c>
      <c r="P53" s="3">
        <f t="shared" si="6"/>
        <v>0</v>
      </c>
      <c r="Q53" s="3">
        <f>IF(B53&lt;='Input sheet(dashboard)'!$D$27*12,'Input sheet(dashboard)'!$D$12/12,0)</f>
        <v>192.5</v>
      </c>
      <c r="R53" s="3">
        <f>IF(B53&lt;='Input sheet(dashboard)'!$D$27*12,('Input sheet(dashboard)'!$D$15/12)*(1+'Input sheet(dashboard)'!$E$22)^Calculations!B53,0)</f>
        <v>369.45497389175586</v>
      </c>
      <c r="S53" s="3">
        <f>IF(B53&lt;='Input sheet(dashboard)'!$D$27*12,(E53+G53+K53+L53-O53+M53+Q53+R53),0)</f>
        <v>56289.166785943053</v>
      </c>
      <c r="T53" s="3">
        <f>IF(B53&lt;='Input sheet(dashboard)'!$D$27*12,IF(D53=12,SUM(S42:S53),0),0)</f>
        <v>0</v>
      </c>
      <c r="U53" s="3">
        <f>IF(B53&lt;='Input sheet(dashboard)'!$D$27*12,IF(S53&lt;AD53,AD53-S53,0),0)</f>
        <v>0</v>
      </c>
      <c r="V53" s="3">
        <f>IF(B53&lt;='Input sheet(dashboard)'!$D$27*12,V52*(1+'Input sheet(dashboard)'!$E$25)+U53,0)</f>
        <v>0</v>
      </c>
      <c r="W53" s="17">
        <f>IF(B53&lt;='Input sheet(dashboard)'!$D$27*12,J53-I53+V53-N53,0)</f>
        <v>3474951.7925578235</v>
      </c>
      <c r="X53" s="3">
        <f>IF(B53&lt;='Input sheet(dashboard)'!$D$27*12,'Input sheet(dashboard)'!$D$17*(1+'Input sheet(dashboard)'!$E$23)^(B53-1),0)</f>
        <v>31615.974150552272</v>
      </c>
      <c r="Y53" s="3"/>
      <c r="Z53" s="18"/>
      <c r="AA53" s="18"/>
      <c r="AB53" s="3">
        <f>IF(B53=1,'Input sheet(dashboard)'!$D$18*Calculations!X53,IF(Calculations!B53=12*'Input sheet(dashboard)'!$D$27,'Input sheet(dashboard)'!$D$18*-Calculations!X53,0))</f>
        <v>0</v>
      </c>
      <c r="AC53" s="3">
        <f>IF(B53&lt;='Input sheet(dashboard)'!$D$27*12,IF(MOD(B52,'Input sheet(dashboard)'!$D$19*12),0,'Input sheet(dashboard)'!$D$20*(1+'Input sheet(dashboard)'!$E$22)^Calculations!B53),0)</f>
        <v>0</v>
      </c>
      <c r="AD53" s="17">
        <f t="shared" si="3"/>
        <v>31615.974150552272</v>
      </c>
      <c r="AE53" s="17">
        <f>IF(B53&lt;='Input sheet(dashboard)'!$D$27*12,IF(D53=12,SUM(AD42:AD53),0),0)</f>
        <v>0</v>
      </c>
      <c r="AF53" s="17">
        <f t="shared" si="4"/>
        <v>24673.19263539078</v>
      </c>
      <c r="AG53" s="17">
        <f t="shared" si="5"/>
        <v>24673.19263539078</v>
      </c>
      <c r="AH53" s="3">
        <f>IF(B53&lt;='Input sheet(dashboard)'!$D$27*12,AH52*(1+'Input sheet(dashboard)'!$E$25)+AG53," ")</f>
        <v>2828655.1785156741</v>
      </c>
    </row>
    <row r="54" spans="2:34">
      <c r="B54">
        <f t="shared" si="0"/>
        <v>51</v>
      </c>
      <c r="C54">
        <f t="shared" si="7"/>
        <v>5</v>
      </c>
      <c r="D54">
        <f t="shared" si="8"/>
        <v>3</v>
      </c>
      <c r="E54" s="15">
        <f>IF(C54&lt;='Input sheet(dashboard)'!$D$6, -PMT('Input sheet(dashboard)'!$E$5,'Input sheet(dashboard)'!$D$6*12,'Input sheet(dashboard)'!$D$3*'Input sheet(dashboard)'!$D$4),0)</f>
        <v>39834.137922259193</v>
      </c>
      <c r="F54" s="3">
        <f>I53*'Input sheet(dashboard)'!$E$5</f>
        <v>26930.469324422695</v>
      </c>
      <c r="G54" s="3">
        <f>IF(C54&lt;='Input sheet(dashboard)'!$D$6,E54*'Input sheet(dashboard)'!$D$7,0)</f>
        <v>3186.7310337807357</v>
      </c>
      <c r="H54" s="3">
        <f t="shared" si="1"/>
        <v>12903.668597836499</v>
      </c>
      <c r="I54" s="3">
        <f t="shared" si="2"/>
        <v>7379913.2111319592</v>
      </c>
      <c r="J54" s="3">
        <f>IF(B54&lt;='Input sheet(dashboard)'!$D$27*12,'Input sheet(dashboard)'!$D$3*(1+'Input sheet(dashboard)'!$E$24)^B54,0)</f>
        <v>10912045.307110572</v>
      </c>
      <c r="K54" s="3">
        <f>IF(B54&lt;='Input sheet(dashboard)'!$D$27*12,J54*'Input sheet(dashboard)'!$E$8,0)</f>
        <v>11302.107439047692</v>
      </c>
      <c r="L54" s="3">
        <f>IF(B54&lt;='Input sheet(dashboard)'!$D$27*12,'Input sheet(dashboard)'!$D$9*(1+'Input sheet(dashboard)'!$E$22)^B54,0)</f>
        <v>3331.9439158234663</v>
      </c>
      <c r="M54" s="3">
        <f>IF(B54=1,'Input sheet(dashboard)'!$D$3*'Input sheet(dashboard)'!$D$10,0)</f>
        <v>0</v>
      </c>
      <c r="N54" s="3">
        <f>IF(B54='Input sheet(dashboard)'!$D$27*12,J54*'Input sheet(dashboard)'!$D$11,0)</f>
        <v>0</v>
      </c>
      <c r="O54" s="3">
        <f>IF(SUM(F54:F65)&gt;=150000,150000/12*'Input sheet(dashboard)'!$D$28,SUM(F54:F65)/12*'Input sheet(dashboard)'!$D$28)</f>
        <v>1875</v>
      </c>
      <c r="P54" s="3">
        <f t="shared" si="6"/>
        <v>0</v>
      </c>
      <c r="Q54" s="3">
        <f>IF(B54&lt;='Input sheet(dashboard)'!$D$27*12,'Input sheet(dashboard)'!$D$12/12,0)</f>
        <v>192.5</v>
      </c>
      <c r="R54" s="3">
        <f>IF(B54&lt;='Input sheet(dashboard)'!$D$27*12,('Input sheet(dashboard)'!$D$15/12)*(1+'Input sheet(dashboard)'!$E$22)^Calculations!B54,0)</f>
        <v>370.2159906470518</v>
      </c>
      <c r="S54" s="3">
        <f>IF(B54&lt;='Input sheet(dashboard)'!$D$27*12,(E54+G54+K54+L54-O54+M54+Q54+R54),0)</f>
        <v>56342.636301558145</v>
      </c>
      <c r="T54" s="3">
        <f>IF(B54&lt;='Input sheet(dashboard)'!$D$27*12,IF(D54=12,SUM(S43:S54),0),0)</f>
        <v>0</v>
      </c>
      <c r="U54" s="3">
        <f>IF(B54&lt;='Input sheet(dashboard)'!$D$27*12,IF(S54&lt;AD54,AD54-S54,0),0)</f>
        <v>0</v>
      </c>
      <c r="V54" s="3">
        <f>IF(B54&lt;='Input sheet(dashboard)'!$D$27*12,V53*(1+'Input sheet(dashboard)'!$E$25)+U54,0)</f>
        <v>0</v>
      </c>
      <c r="W54" s="17">
        <f>IF(B54&lt;='Input sheet(dashboard)'!$D$27*12,J54-I54+V54-N54,0)</f>
        <v>3532132.095978613</v>
      </c>
      <c r="X54" s="3">
        <f>IF(B54&lt;='Input sheet(dashboard)'!$D$27*12,'Input sheet(dashboard)'!$D$17*(1+'Input sheet(dashboard)'!$E$23)^(B54-1),0)</f>
        <v>31744.781542782257</v>
      </c>
      <c r="Y54" s="3"/>
      <c r="Z54" s="18"/>
      <c r="AA54" s="18"/>
      <c r="AB54" s="3">
        <f>IF(B54=1,'Input sheet(dashboard)'!$D$18*Calculations!X54,IF(Calculations!B54=12*'Input sheet(dashboard)'!$D$27,'Input sheet(dashboard)'!$D$18*-Calculations!X54,0))</f>
        <v>0</v>
      </c>
      <c r="AC54" s="3">
        <f>IF(B54&lt;='Input sheet(dashboard)'!$D$27*12,IF(MOD(B53,'Input sheet(dashboard)'!$D$19*12),0,'Input sheet(dashboard)'!$D$20*(1+'Input sheet(dashboard)'!$E$22)^Calculations!B54),0)</f>
        <v>0</v>
      </c>
      <c r="AD54" s="17">
        <f t="shared" si="3"/>
        <v>31744.781542782257</v>
      </c>
      <c r="AE54" s="17">
        <f>IF(B54&lt;='Input sheet(dashboard)'!$D$27*12,IF(D54=12,SUM(AD43:AD54),0),0)</f>
        <v>0</v>
      </c>
      <c r="AF54" s="17">
        <f t="shared" si="4"/>
        <v>24597.854758775888</v>
      </c>
      <c r="AG54" s="17">
        <f t="shared" si="5"/>
        <v>24597.854758775888</v>
      </c>
      <c r="AH54" s="3">
        <f>IF(B54&lt;='Input sheet(dashboard)'!$D$27*12,AH53*(1+'Input sheet(dashboard)'!$E$25)+AG54," ")</f>
        <v>2871452.6858638367</v>
      </c>
    </row>
    <row r="55" spans="2:34">
      <c r="B55">
        <f t="shared" si="0"/>
        <v>52</v>
      </c>
      <c r="C55">
        <f t="shared" si="7"/>
        <v>5</v>
      </c>
      <c r="D55">
        <f t="shared" si="8"/>
        <v>4</v>
      </c>
      <c r="E55" s="15">
        <f>IF(C55&lt;='Input sheet(dashboard)'!$D$6, -PMT('Input sheet(dashboard)'!$E$5,'Input sheet(dashboard)'!$D$6*12,'Input sheet(dashboard)'!$D$3*'Input sheet(dashboard)'!$D$4),0)</f>
        <v>39834.137922259193</v>
      </c>
      <c r="F55" s="3">
        <f>I54*'Input sheet(dashboard)'!$E$5</f>
        <v>26883.463987079722</v>
      </c>
      <c r="G55" s="3">
        <f>IF(C55&lt;='Input sheet(dashboard)'!$D$6,E55*'Input sheet(dashboard)'!$D$7,0)</f>
        <v>3186.7310337807357</v>
      </c>
      <c r="H55" s="3">
        <f t="shared" si="1"/>
        <v>12950.673935179471</v>
      </c>
      <c r="I55" s="3">
        <f t="shared" si="2"/>
        <v>7366962.5371967796</v>
      </c>
      <c r="J55" s="3">
        <f>IF(B55&lt;='Input sheet(dashboard)'!$D$27*12,'Input sheet(dashboard)'!$D$3*(1+'Input sheet(dashboard)'!$E$24)^B55,0)</f>
        <v>10956502.330424521</v>
      </c>
      <c r="K55" s="3">
        <f>IF(B55&lt;='Input sheet(dashboard)'!$D$27*12,J55*'Input sheet(dashboard)'!$E$8,0)</f>
        <v>11348.153623770466</v>
      </c>
      <c r="L55" s="3">
        <f>IF(B55&lt;='Input sheet(dashboard)'!$D$27*12,'Input sheet(dashboard)'!$D$9*(1+'Input sheet(dashboard)'!$E$22)^B55,0)</f>
        <v>3338.8071747503623</v>
      </c>
      <c r="M55" s="3">
        <f>IF(B55=1,'Input sheet(dashboard)'!$D$3*'Input sheet(dashboard)'!$D$10,0)</f>
        <v>0</v>
      </c>
      <c r="N55" s="3">
        <f>IF(B55='Input sheet(dashboard)'!$D$27*12,J55*'Input sheet(dashboard)'!$D$11,0)</f>
        <v>0</v>
      </c>
      <c r="O55" s="3">
        <f>IF(SUM(F55:F66)&gt;=150000,150000/12*'Input sheet(dashboard)'!$D$28,SUM(F55:F66)/12*'Input sheet(dashboard)'!$D$28)</f>
        <v>1875</v>
      </c>
      <c r="P55" s="3">
        <f t="shared" si="6"/>
        <v>0</v>
      </c>
      <c r="Q55" s="3">
        <f>IF(B55&lt;='Input sheet(dashboard)'!$D$27*12,'Input sheet(dashboard)'!$D$12/12,0)</f>
        <v>192.5</v>
      </c>
      <c r="R55" s="3">
        <f>IF(B55&lt;='Input sheet(dashboard)'!$D$27*12,('Input sheet(dashboard)'!$D$15/12)*(1+'Input sheet(dashboard)'!$E$22)^Calculations!B55,0)</f>
        <v>370.97857497226249</v>
      </c>
      <c r="S55" s="3">
        <f>IF(B55&lt;='Input sheet(dashboard)'!$D$27*12,(E55+G55+K55+L55-O55+M55+Q55+R55),0)</f>
        <v>56396.308329533022</v>
      </c>
      <c r="T55" s="3">
        <f>IF(B55&lt;='Input sheet(dashboard)'!$D$27*12,IF(D55=12,SUM(S44:S55),0),0)</f>
        <v>0</v>
      </c>
      <c r="U55" s="3">
        <f>IF(B55&lt;='Input sheet(dashboard)'!$D$27*12,IF(S55&lt;AD55,AD55-S55,0),0)</f>
        <v>0</v>
      </c>
      <c r="V55" s="3">
        <f>IF(B55&lt;='Input sheet(dashboard)'!$D$27*12,V54*(1+'Input sheet(dashboard)'!$E$25)+U55,0)</f>
        <v>0</v>
      </c>
      <c r="W55" s="17">
        <f>IF(B55&lt;='Input sheet(dashboard)'!$D$27*12,J55-I55+V55-N55,0)</f>
        <v>3589539.7932277415</v>
      </c>
      <c r="X55" s="3">
        <f>IF(B55&lt;='Input sheet(dashboard)'!$D$27*12,'Input sheet(dashboard)'!$D$17*(1+'Input sheet(dashboard)'!$E$23)^(B55-1),0)</f>
        <v>31874.113712272429</v>
      </c>
      <c r="Y55" s="3"/>
      <c r="Z55" s="18"/>
      <c r="AA55" s="18"/>
      <c r="AB55" s="3">
        <f>IF(B55=1,'Input sheet(dashboard)'!$D$18*Calculations!X55,IF(Calculations!B55=12*'Input sheet(dashboard)'!$D$27,'Input sheet(dashboard)'!$D$18*-Calculations!X55,0))</f>
        <v>0</v>
      </c>
      <c r="AC55" s="3">
        <f>IF(B55&lt;='Input sheet(dashboard)'!$D$27*12,IF(MOD(B54,'Input sheet(dashboard)'!$D$19*12),0,'Input sheet(dashboard)'!$D$20*(1+'Input sheet(dashboard)'!$E$22)^Calculations!B55),0)</f>
        <v>0</v>
      </c>
      <c r="AD55" s="17">
        <f t="shared" si="3"/>
        <v>31874.113712272429</v>
      </c>
      <c r="AE55" s="17">
        <f>IF(B55&lt;='Input sheet(dashboard)'!$D$27*12,IF(D55=12,SUM(AD44:AD55),0),0)</f>
        <v>0</v>
      </c>
      <c r="AF55" s="17">
        <f t="shared" si="4"/>
        <v>24522.194617260593</v>
      </c>
      <c r="AG55" s="17">
        <f t="shared" si="5"/>
        <v>24522.194617260593</v>
      </c>
      <c r="AH55" s="3">
        <f>IF(B55&lt;='Input sheet(dashboard)'!$D$27*12,AH54*(1+'Input sheet(dashboard)'!$E$25)+AG55," ")</f>
        <v>2914449.8935213955</v>
      </c>
    </row>
    <row r="56" spans="2:34">
      <c r="B56">
        <f t="shared" si="0"/>
        <v>53</v>
      </c>
      <c r="C56">
        <f t="shared" si="7"/>
        <v>5</v>
      </c>
      <c r="D56">
        <f t="shared" si="8"/>
        <v>5</v>
      </c>
      <c r="E56" s="15">
        <f>IF(C56&lt;='Input sheet(dashboard)'!$D$6, -PMT('Input sheet(dashboard)'!$E$5,'Input sheet(dashboard)'!$D$6*12,'Input sheet(dashboard)'!$D$3*'Input sheet(dashboard)'!$D$4),0)</f>
        <v>39834.137922259193</v>
      </c>
      <c r="F56" s="3">
        <f>I55*'Input sheet(dashboard)'!$E$5</f>
        <v>26836.287419227996</v>
      </c>
      <c r="G56" s="3">
        <f>IF(C56&lt;='Input sheet(dashboard)'!$D$6,E56*'Input sheet(dashboard)'!$D$7,0)</f>
        <v>3186.7310337807357</v>
      </c>
      <c r="H56" s="3">
        <f t="shared" si="1"/>
        <v>12997.850503031197</v>
      </c>
      <c r="I56" s="3">
        <f t="shared" si="2"/>
        <v>7353964.6866937485</v>
      </c>
      <c r="J56" s="3">
        <f>IF(B56&lt;='Input sheet(dashboard)'!$D$27*12,'Input sheet(dashboard)'!$D$3*(1+'Input sheet(dashboard)'!$E$24)^B56,0)</f>
        <v>11001140.477154501</v>
      </c>
      <c r="K56" s="3">
        <f>IF(B56&lt;='Input sheet(dashboard)'!$D$27*12,J56*'Input sheet(dashboard)'!$E$8,0)</f>
        <v>11394.387406349564</v>
      </c>
      <c r="L56" s="3">
        <f>IF(B56&lt;='Input sheet(dashboard)'!$D$27*12,'Input sheet(dashboard)'!$D$9*(1+'Input sheet(dashboard)'!$E$22)^B56,0)</f>
        <v>3345.6845708669234</v>
      </c>
      <c r="M56" s="3">
        <f>IF(B56=1,'Input sheet(dashboard)'!$D$3*'Input sheet(dashboard)'!$D$10,0)</f>
        <v>0</v>
      </c>
      <c r="N56" s="3">
        <f>IF(B56='Input sheet(dashboard)'!$D$27*12,J56*'Input sheet(dashboard)'!$D$11,0)</f>
        <v>0</v>
      </c>
      <c r="O56" s="3">
        <f>IF(SUM(F56:F67)&gt;=150000,150000/12*'Input sheet(dashboard)'!$D$28,SUM(F56:F67)/12*'Input sheet(dashboard)'!$D$28)</f>
        <v>1875</v>
      </c>
      <c r="P56" s="3">
        <f t="shared" si="6"/>
        <v>0</v>
      </c>
      <c r="Q56" s="3">
        <f>IF(B56&lt;='Input sheet(dashboard)'!$D$27*12,'Input sheet(dashboard)'!$D$12/12,0)</f>
        <v>192.5</v>
      </c>
      <c r="R56" s="3">
        <f>IF(B56&lt;='Input sheet(dashboard)'!$D$27*12,('Input sheet(dashboard)'!$D$15/12)*(1+'Input sheet(dashboard)'!$E$22)^Calculations!B56,0)</f>
        <v>371.74273009632481</v>
      </c>
      <c r="S56" s="3">
        <f>IF(B56&lt;='Input sheet(dashboard)'!$D$27*12,(E56+G56+K56+L56-O56+M56+Q56+R56),0)</f>
        <v>56450.183663352742</v>
      </c>
      <c r="T56" s="3">
        <f>IF(B56&lt;='Input sheet(dashboard)'!$D$27*12,IF(D56=12,SUM(S45:S56),0),0)</f>
        <v>0</v>
      </c>
      <c r="U56" s="3">
        <f>IF(B56&lt;='Input sheet(dashboard)'!$D$27*12,IF(S56&lt;AD56,AD56-S56,0),0)</f>
        <v>0</v>
      </c>
      <c r="V56" s="3">
        <f>IF(B56&lt;='Input sheet(dashboard)'!$D$27*12,V55*(1+'Input sheet(dashboard)'!$E$25)+U56,0)</f>
        <v>0</v>
      </c>
      <c r="W56" s="17">
        <f>IF(B56&lt;='Input sheet(dashboard)'!$D$27*12,J56-I56+V56-N56,0)</f>
        <v>3647175.7904607523</v>
      </c>
      <c r="X56" s="3">
        <f>IF(B56&lt;='Input sheet(dashboard)'!$D$27*12,'Input sheet(dashboard)'!$D$17*(1+'Input sheet(dashboard)'!$E$23)^(B56-1),0)</f>
        <v>32003.97279703031</v>
      </c>
      <c r="Y56" s="3"/>
      <c r="Z56" s="18"/>
      <c r="AA56" s="18"/>
      <c r="AB56" s="3">
        <f>IF(B56=1,'Input sheet(dashboard)'!$D$18*Calculations!X56,IF(Calculations!B56=12*'Input sheet(dashboard)'!$D$27,'Input sheet(dashboard)'!$D$18*-Calculations!X56,0))</f>
        <v>0</v>
      </c>
      <c r="AC56" s="3">
        <f>IF(B56&lt;='Input sheet(dashboard)'!$D$27*12,IF(MOD(B55,'Input sheet(dashboard)'!$D$19*12),0,'Input sheet(dashboard)'!$D$20*(1+'Input sheet(dashboard)'!$E$22)^Calculations!B56),0)</f>
        <v>8921.8255223117958</v>
      </c>
      <c r="AD56" s="17">
        <f t="shared" si="3"/>
        <v>40925.79831934211</v>
      </c>
      <c r="AE56" s="17">
        <f>IF(B56&lt;='Input sheet(dashboard)'!$D$27*12,IF(D56=12,SUM(AD45:AD56),0),0)</f>
        <v>0</v>
      </c>
      <c r="AF56" s="17">
        <f t="shared" si="4"/>
        <v>15524.385344010632</v>
      </c>
      <c r="AG56" s="17">
        <f t="shared" si="5"/>
        <v>15524.385344010632</v>
      </c>
      <c r="AH56" s="3">
        <f>IF(B56&lt;='Input sheet(dashboard)'!$D$27*12,AH55*(1+'Input sheet(dashboard)'!$E$25)+AG56," ")</f>
        <v>2948725.9372344194</v>
      </c>
    </row>
    <row r="57" spans="2:34">
      <c r="B57">
        <f t="shared" si="0"/>
        <v>54</v>
      </c>
      <c r="C57">
        <f t="shared" si="7"/>
        <v>5</v>
      </c>
      <c r="D57">
        <f t="shared" si="8"/>
        <v>6</v>
      </c>
      <c r="E57" s="15">
        <f>IF(C57&lt;='Input sheet(dashboard)'!$D$6, -PMT('Input sheet(dashboard)'!$E$5,'Input sheet(dashboard)'!$D$6*12,'Input sheet(dashboard)'!$D$3*'Input sheet(dashboard)'!$D$4),0)</f>
        <v>39834.137922259193</v>
      </c>
      <c r="F57" s="3">
        <f>I56*'Input sheet(dashboard)'!$E$5</f>
        <v>26788.93899711097</v>
      </c>
      <c r="G57" s="3">
        <f>IF(C57&lt;='Input sheet(dashboard)'!$D$6,E57*'Input sheet(dashboard)'!$D$7,0)</f>
        <v>3186.7310337807357</v>
      </c>
      <c r="H57" s="3">
        <f t="shared" si="1"/>
        <v>13045.198925148223</v>
      </c>
      <c r="I57" s="3">
        <f t="shared" si="2"/>
        <v>7340919.4877686007</v>
      </c>
      <c r="J57" s="3">
        <f>IF(B57&lt;='Input sheet(dashboard)'!$D$27*12,'Input sheet(dashboard)'!$D$3*(1+'Input sheet(dashboard)'!$E$24)^B57,0)</f>
        <v>11045960.485219734</v>
      </c>
      <c r="K57" s="3">
        <f>IF(B57&lt;='Input sheet(dashboard)'!$D$27*12,J57*'Input sheet(dashboard)'!$E$8,0)</f>
        <v>11440.809551081877</v>
      </c>
      <c r="L57" s="3">
        <f>IF(B57&lt;='Input sheet(dashboard)'!$D$27*12,'Input sheet(dashboard)'!$D$9*(1+'Input sheet(dashboard)'!$E$22)^B57,0)</f>
        <v>3352.5761332934489</v>
      </c>
      <c r="M57" s="3">
        <f>IF(B57=1,'Input sheet(dashboard)'!$D$3*'Input sheet(dashboard)'!$D$10,0)</f>
        <v>0</v>
      </c>
      <c r="N57" s="3">
        <f>IF(B57='Input sheet(dashboard)'!$D$27*12,J57*'Input sheet(dashboard)'!$D$11,0)</f>
        <v>0</v>
      </c>
      <c r="O57" s="3">
        <f>IF(SUM(F57:F68)&gt;=150000,150000/12*'Input sheet(dashboard)'!$D$28,SUM(F57:F68)/12*'Input sheet(dashboard)'!$D$28)</f>
        <v>1875</v>
      </c>
      <c r="P57" s="3">
        <f t="shared" si="6"/>
        <v>0</v>
      </c>
      <c r="Q57" s="3">
        <f>IF(B57&lt;='Input sheet(dashboard)'!$D$27*12,'Input sheet(dashboard)'!$D$12/12,0)</f>
        <v>192.5</v>
      </c>
      <c r="R57" s="3">
        <f>IF(B57&lt;='Input sheet(dashboard)'!$D$27*12,('Input sheet(dashboard)'!$D$15/12)*(1+'Input sheet(dashboard)'!$E$22)^Calculations!B57,0)</f>
        <v>372.50845925482764</v>
      </c>
      <c r="S57" s="3">
        <f>IF(B57&lt;='Input sheet(dashboard)'!$D$27*12,(E57+G57+K57+L57-O57+M57+Q57+R57),0)</f>
        <v>56504.263099670083</v>
      </c>
      <c r="T57" s="3">
        <f>IF(B57&lt;='Input sheet(dashboard)'!$D$27*12,IF(D57=12,SUM(S46:S57),0),0)</f>
        <v>0</v>
      </c>
      <c r="U57" s="3">
        <f>IF(B57&lt;='Input sheet(dashboard)'!$D$27*12,IF(S57&lt;AD57,AD57-S57,0),0)</f>
        <v>0</v>
      </c>
      <c r="V57" s="3">
        <f>IF(B57&lt;='Input sheet(dashboard)'!$D$27*12,V56*(1+'Input sheet(dashboard)'!$E$25)+U57,0)</f>
        <v>0</v>
      </c>
      <c r="W57" s="17">
        <f>IF(B57&lt;='Input sheet(dashboard)'!$D$27*12,J57-I57+V57-N57,0)</f>
        <v>3705040.9974511331</v>
      </c>
      <c r="X57" s="3">
        <f>IF(B57&lt;='Input sheet(dashboard)'!$D$27*12,'Input sheet(dashboard)'!$D$17*(1+'Input sheet(dashboard)'!$E$23)^(B57-1),0)</f>
        <v>32134.360943773921</v>
      </c>
      <c r="Y57" s="3"/>
      <c r="Z57" s="18"/>
      <c r="AA57" s="18"/>
      <c r="AB57" s="3">
        <f>IF(B57=1,'Input sheet(dashboard)'!$D$18*Calculations!X57,IF(Calculations!B57=12*'Input sheet(dashboard)'!$D$27,'Input sheet(dashboard)'!$D$18*-Calculations!X57,0))</f>
        <v>0</v>
      </c>
      <c r="AC57" s="3">
        <f>IF(B57&lt;='Input sheet(dashboard)'!$D$27*12,IF(MOD(B56,'Input sheet(dashboard)'!$D$19*12),0,'Input sheet(dashboard)'!$D$20*(1+'Input sheet(dashboard)'!$E$22)^Calculations!B57),0)</f>
        <v>0</v>
      </c>
      <c r="AD57" s="17">
        <f t="shared" si="3"/>
        <v>32134.360943773921</v>
      </c>
      <c r="AE57" s="17">
        <f>IF(B57&lt;='Input sheet(dashboard)'!$D$27*12,IF(D57=12,SUM(AD46:AD57),0),0)</f>
        <v>0</v>
      </c>
      <c r="AF57" s="17">
        <f t="shared" si="4"/>
        <v>24369.902155896161</v>
      </c>
      <c r="AG57" s="17">
        <f t="shared" si="5"/>
        <v>24369.902155896161</v>
      </c>
      <c r="AH57" s="3">
        <f>IF(B57&lt;='Input sheet(dashboard)'!$D$27*12,AH56*(1+'Input sheet(dashboard)'!$E$25)+AG57," ")</f>
        <v>2992068.0308566298</v>
      </c>
    </row>
    <row r="58" spans="2:34">
      <c r="B58">
        <f t="shared" si="0"/>
        <v>55</v>
      </c>
      <c r="C58">
        <f t="shared" si="7"/>
        <v>5</v>
      </c>
      <c r="D58">
        <f t="shared" si="8"/>
        <v>7</v>
      </c>
      <c r="E58" s="15">
        <f>IF(C58&lt;='Input sheet(dashboard)'!$D$6, -PMT('Input sheet(dashboard)'!$E$5,'Input sheet(dashboard)'!$D$6*12,'Input sheet(dashboard)'!$D$3*'Input sheet(dashboard)'!$D$4),0)</f>
        <v>39834.137922259193</v>
      </c>
      <c r="F58" s="3">
        <f>I57*'Input sheet(dashboard)'!$E$5</f>
        <v>26741.418094699882</v>
      </c>
      <c r="G58" s="3">
        <f>IF(C58&lt;='Input sheet(dashboard)'!$D$6,E58*'Input sheet(dashboard)'!$D$7,0)</f>
        <v>3186.7310337807357</v>
      </c>
      <c r="H58" s="3">
        <f t="shared" si="1"/>
        <v>13092.719827559311</v>
      </c>
      <c r="I58" s="3">
        <f t="shared" si="2"/>
        <v>7327826.7679410409</v>
      </c>
      <c r="J58" s="3">
        <f>IF(B58&lt;='Input sheet(dashboard)'!$D$27*12,'Input sheet(dashboard)'!$D$3*(1+'Input sheet(dashboard)'!$E$24)^B58,0)</f>
        <v>11090963.095545808</v>
      </c>
      <c r="K58" s="3">
        <f>IF(B58&lt;='Input sheet(dashboard)'!$D$27*12,J58*'Input sheet(dashboard)'!$E$8,0)</f>
        <v>11487.420825378131</v>
      </c>
      <c r="L58" s="3">
        <f>IF(B58&lt;='Input sheet(dashboard)'!$D$27*12,'Input sheet(dashboard)'!$D$9*(1+'Input sheet(dashboard)'!$E$22)^B58,0)</f>
        <v>3359.481891210216</v>
      </c>
      <c r="M58" s="3">
        <f>IF(B58=1,'Input sheet(dashboard)'!$D$3*'Input sheet(dashboard)'!$D$10,0)</f>
        <v>0</v>
      </c>
      <c r="N58" s="3">
        <f>IF(B58='Input sheet(dashboard)'!$D$27*12,J58*'Input sheet(dashboard)'!$D$11,0)</f>
        <v>0</v>
      </c>
      <c r="O58" s="3">
        <f>IF(SUM(F58:F69)&gt;=150000,150000/12*'Input sheet(dashboard)'!$D$28,SUM(F58:F69)/12*'Input sheet(dashboard)'!$D$28)</f>
        <v>1875</v>
      </c>
      <c r="P58" s="3">
        <f t="shared" si="6"/>
        <v>0</v>
      </c>
      <c r="Q58" s="3">
        <f>IF(B58&lt;='Input sheet(dashboard)'!$D$27*12,'Input sheet(dashboard)'!$D$12/12,0)</f>
        <v>192.5</v>
      </c>
      <c r="R58" s="3">
        <f>IF(B58&lt;='Input sheet(dashboard)'!$D$27*12,('Input sheet(dashboard)'!$D$15/12)*(1+'Input sheet(dashboard)'!$E$22)^Calculations!B58,0)</f>
        <v>373.275765690024</v>
      </c>
      <c r="S58" s="3">
        <f>IF(B58&lt;='Input sheet(dashboard)'!$D$27*12,(E58+G58+K58+L58-O58+M58+Q58+R58),0)</f>
        <v>56558.547438318295</v>
      </c>
      <c r="T58" s="3">
        <f>IF(B58&lt;='Input sheet(dashboard)'!$D$27*12,IF(D58=12,SUM(S47:S58),0),0)</f>
        <v>0</v>
      </c>
      <c r="U58" s="3">
        <f>IF(B58&lt;='Input sheet(dashboard)'!$D$27*12,IF(S58&lt;AD58,AD58-S58,0),0)</f>
        <v>0</v>
      </c>
      <c r="V58" s="3">
        <f>IF(B58&lt;='Input sheet(dashboard)'!$D$27*12,V57*(1+'Input sheet(dashboard)'!$E$25)+U58,0)</f>
        <v>0</v>
      </c>
      <c r="W58" s="17">
        <f>IF(B58&lt;='Input sheet(dashboard)'!$D$27*12,J58-I58+V58-N58,0)</f>
        <v>3763136.3276047669</v>
      </c>
      <c r="X58" s="3">
        <f>IF(B58&lt;='Input sheet(dashboard)'!$D$27*12,'Input sheet(dashboard)'!$D$17*(1+'Input sheet(dashboard)'!$E$23)^(B58-1),0)</f>
        <v>32265.280307967296</v>
      </c>
      <c r="Y58" s="3"/>
      <c r="Z58" s="18"/>
      <c r="AA58" s="18"/>
      <c r="AB58" s="3">
        <f>IF(B58=1,'Input sheet(dashboard)'!$D$18*Calculations!X58,IF(Calculations!B58=12*'Input sheet(dashboard)'!$D$27,'Input sheet(dashboard)'!$D$18*-Calculations!X58,0))</f>
        <v>0</v>
      </c>
      <c r="AC58" s="3">
        <f>IF(B58&lt;='Input sheet(dashboard)'!$D$27*12,IF(MOD(B57,'Input sheet(dashboard)'!$D$19*12),0,'Input sheet(dashboard)'!$D$20*(1+'Input sheet(dashboard)'!$E$22)^Calculations!B58),0)</f>
        <v>0</v>
      </c>
      <c r="AD58" s="17">
        <f t="shared" si="3"/>
        <v>32265.280307967296</v>
      </c>
      <c r="AE58" s="17">
        <f>IF(B58&lt;='Input sheet(dashboard)'!$D$27*12,IF(D58=12,SUM(AD47:AD58),0),0)</f>
        <v>0</v>
      </c>
      <c r="AF58" s="17">
        <f t="shared" si="4"/>
        <v>24293.267130351</v>
      </c>
      <c r="AG58" s="17">
        <f t="shared" si="5"/>
        <v>24293.267130351</v>
      </c>
      <c r="AH58" s="3">
        <f>IF(B58&lt;='Input sheet(dashboard)'!$D$27*12,AH57*(1+'Input sheet(dashboard)'!$E$25)+AG58," ")</f>
        <v>3035612.3537886911</v>
      </c>
    </row>
    <row r="59" spans="2:34">
      <c r="B59">
        <f t="shared" si="0"/>
        <v>56</v>
      </c>
      <c r="C59">
        <f t="shared" si="7"/>
        <v>5</v>
      </c>
      <c r="D59">
        <f t="shared" si="8"/>
        <v>8</v>
      </c>
      <c r="E59" s="15">
        <f>IF(C59&lt;='Input sheet(dashboard)'!$D$6, -PMT('Input sheet(dashboard)'!$E$5,'Input sheet(dashboard)'!$D$6*12,'Input sheet(dashboard)'!$D$3*'Input sheet(dashboard)'!$D$4),0)</f>
        <v>39834.137922259193</v>
      </c>
      <c r="F59" s="3">
        <f>I58*'Input sheet(dashboard)'!$E$5</f>
        <v>26693.724083685473</v>
      </c>
      <c r="G59" s="3">
        <f>IF(C59&lt;='Input sheet(dashboard)'!$D$6,E59*'Input sheet(dashboard)'!$D$7,0)</f>
        <v>3186.7310337807357</v>
      </c>
      <c r="H59" s="3">
        <f t="shared" si="1"/>
        <v>13140.413838573721</v>
      </c>
      <c r="I59" s="3">
        <f t="shared" si="2"/>
        <v>7314686.3541024672</v>
      </c>
      <c r="J59" s="3">
        <f>IF(B59&lt;='Input sheet(dashboard)'!$D$27*12,'Input sheet(dashboard)'!$D$3*(1+'Input sheet(dashboard)'!$E$24)^B59,0)</f>
        <v>11136149.052076939</v>
      </c>
      <c r="K59" s="3">
        <f>IF(B59&lt;='Input sheet(dashboard)'!$D$27*12,J59*'Input sheet(dashboard)'!$E$8,0)</f>
        <v>11534.221999775584</v>
      </c>
      <c r="L59" s="3">
        <f>IF(B59&lt;='Input sheet(dashboard)'!$D$27*12,'Input sheet(dashboard)'!$D$9*(1+'Input sheet(dashboard)'!$E$22)^B59,0)</f>
        <v>3366.4018738576106</v>
      </c>
      <c r="M59" s="3">
        <f>IF(B59=1,'Input sheet(dashboard)'!$D$3*'Input sheet(dashboard)'!$D$10,0)</f>
        <v>0</v>
      </c>
      <c r="N59" s="3">
        <f>IF(B59='Input sheet(dashboard)'!$D$27*12,J59*'Input sheet(dashboard)'!$D$11,0)</f>
        <v>0</v>
      </c>
      <c r="O59" s="3">
        <f>IF(SUM(F59:F70)&gt;=150000,150000/12*'Input sheet(dashboard)'!$D$28,SUM(F59:F70)/12*'Input sheet(dashboard)'!$D$28)</f>
        <v>1875</v>
      </c>
      <c r="P59" s="3">
        <f t="shared" si="6"/>
        <v>0</v>
      </c>
      <c r="Q59" s="3">
        <f>IF(B59&lt;='Input sheet(dashboard)'!$D$27*12,'Input sheet(dashboard)'!$D$12/12,0)</f>
        <v>192.5</v>
      </c>
      <c r="R59" s="3">
        <f>IF(B59&lt;='Input sheet(dashboard)'!$D$27*12,('Input sheet(dashboard)'!$D$15/12)*(1+'Input sheet(dashboard)'!$E$22)^Calculations!B59,0)</f>
        <v>374.04465265084559</v>
      </c>
      <c r="S59" s="3">
        <f>IF(B59&lt;='Input sheet(dashboard)'!$D$27*12,(E59+G59+K59+L59-O59+M59+Q59+R59),0)</f>
        <v>56613.037482323969</v>
      </c>
      <c r="T59" s="3">
        <f>IF(B59&lt;='Input sheet(dashboard)'!$D$27*12,IF(D59=12,SUM(S48:S59),0),0)</f>
        <v>0</v>
      </c>
      <c r="U59" s="3">
        <f>IF(B59&lt;='Input sheet(dashboard)'!$D$27*12,IF(S59&lt;AD59,AD59-S59,0),0)</f>
        <v>0</v>
      </c>
      <c r="V59" s="3">
        <f>IF(B59&lt;='Input sheet(dashboard)'!$D$27*12,V58*(1+'Input sheet(dashboard)'!$E$25)+U59,0)</f>
        <v>0</v>
      </c>
      <c r="W59" s="17">
        <f>IF(B59&lt;='Input sheet(dashboard)'!$D$27*12,J59-I59+V59-N59,0)</f>
        <v>3821462.6979744723</v>
      </c>
      <c r="X59" s="3">
        <f>IF(B59&lt;='Input sheet(dashboard)'!$D$27*12,'Input sheet(dashboard)'!$D$17*(1+'Input sheet(dashboard)'!$E$23)^(B59-1),0)</f>
        <v>32396.733053856067</v>
      </c>
      <c r="Y59" s="3"/>
      <c r="Z59" s="18"/>
      <c r="AA59" s="18"/>
      <c r="AB59" s="3">
        <f>IF(B59=1,'Input sheet(dashboard)'!$D$18*Calculations!X59,IF(Calculations!B59=12*'Input sheet(dashboard)'!$D$27,'Input sheet(dashboard)'!$D$18*-Calculations!X59,0))</f>
        <v>0</v>
      </c>
      <c r="AC59" s="3">
        <f>IF(B59&lt;='Input sheet(dashboard)'!$D$27*12,IF(MOD(B58,'Input sheet(dashboard)'!$D$19*12),0,'Input sheet(dashboard)'!$D$20*(1+'Input sheet(dashboard)'!$E$22)^Calculations!B59),0)</f>
        <v>0</v>
      </c>
      <c r="AD59" s="17">
        <f t="shared" si="3"/>
        <v>32396.733053856067</v>
      </c>
      <c r="AE59" s="17">
        <f>IF(B59&lt;='Input sheet(dashboard)'!$D$27*12,IF(D59=12,SUM(AD48:AD59),0),0)</f>
        <v>0</v>
      </c>
      <c r="AF59" s="17">
        <f t="shared" si="4"/>
        <v>24216.304428467902</v>
      </c>
      <c r="AG59" s="17">
        <f t="shared" si="5"/>
        <v>24216.304428467902</v>
      </c>
      <c r="AH59" s="3">
        <f>IF(B59&lt;='Input sheet(dashboard)'!$D$27*12,AH58*(1+'Input sheet(dashboard)'!$E$25)+AG59," ")</f>
        <v>3079359.8795037339</v>
      </c>
    </row>
    <row r="60" spans="2:34">
      <c r="B60">
        <f t="shared" si="0"/>
        <v>57</v>
      </c>
      <c r="C60">
        <f t="shared" si="7"/>
        <v>5</v>
      </c>
      <c r="D60">
        <f t="shared" si="8"/>
        <v>9</v>
      </c>
      <c r="E60" s="15">
        <f>IF(C60&lt;='Input sheet(dashboard)'!$D$6, -PMT('Input sheet(dashboard)'!$E$5,'Input sheet(dashboard)'!$D$6*12,'Input sheet(dashboard)'!$D$3*'Input sheet(dashboard)'!$D$4),0)</f>
        <v>39834.137922259193</v>
      </c>
      <c r="F60" s="3">
        <f>I59*'Input sheet(dashboard)'!$E$5</f>
        <v>26645.856333469688</v>
      </c>
      <c r="G60" s="3">
        <f>IF(C60&lt;='Input sheet(dashboard)'!$D$6,E60*'Input sheet(dashboard)'!$D$7,0)</f>
        <v>3186.7310337807357</v>
      </c>
      <c r="H60" s="3">
        <f t="shared" si="1"/>
        <v>13188.281588789505</v>
      </c>
      <c r="I60" s="3">
        <f t="shared" si="2"/>
        <v>7301498.0725136781</v>
      </c>
      <c r="J60" s="3">
        <f>IF(B60&lt;='Input sheet(dashboard)'!$D$27*12,'Input sheet(dashboard)'!$D$3*(1+'Input sheet(dashboard)'!$E$24)^B60,0)</f>
        <v>11181519.10178826</v>
      </c>
      <c r="K60" s="3">
        <f>IF(B60&lt;='Input sheet(dashboard)'!$D$27*12,J60*'Input sheet(dashboard)'!$E$8,0)</f>
        <v>11581.21384795075</v>
      </c>
      <c r="L60" s="3">
        <f>IF(B60&lt;='Input sheet(dashboard)'!$D$27*12,'Input sheet(dashboard)'!$D$9*(1+'Input sheet(dashboard)'!$E$22)^B60,0)</f>
        <v>3373.3361105362492</v>
      </c>
      <c r="M60" s="3">
        <f>IF(B60=1,'Input sheet(dashboard)'!$D$3*'Input sheet(dashboard)'!$D$10,0)</f>
        <v>0</v>
      </c>
      <c r="N60" s="3">
        <f>IF(B60='Input sheet(dashboard)'!$D$27*12,J60*'Input sheet(dashboard)'!$D$11,0)</f>
        <v>0</v>
      </c>
      <c r="O60" s="3">
        <f>IF(SUM(F60:F71)&gt;=150000,150000/12*'Input sheet(dashboard)'!$D$28,SUM(F60:F71)/12*'Input sheet(dashboard)'!$D$28)</f>
        <v>1875</v>
      </c>
      <c r="P60" s="3">
        <f t="shared" si="6"/>
        <v>0</v>
      </c>
      <c r="Q60" s="3">
        <f>IF(B60&lt;='Input sheet(dashboard)'!$D$27*12,'Input sheet(dashboard)'!$D$12/12,0)</f>
        <v>192.5</v>
      </c>
      <c r="R60" s="3">
        <f>IF(B60&lt;='Input sheet(dashboard)'!$D$27*12,('Input sheet(dashboard)'!$D$15/12)*(1+'Input sheet(dashboard)'!$E$22)^Calculations!B60,0)</f>
        <v>374.81512339291658</v>
      </c>
      <c r="S60" s="3">
        <f>IF(B60&lt;='Input sheet(dashboard)'!$D$27*12,(E60+G60+K60+L60-O60+M60+Q60+R60),0)</f>
        <v>56667.734037919843</v>
      </c>
      <c r="T60" s="3">
        <f>IF(B60&lt;='Input sheet(dashboard)'!$D$27*12,IF(D60=12,SUM(S49:S60),0),0)</f>
        <v>0</v>
      </c>
      <c r="U60" s="3">
        <f>IF(B60&lt;='Input sheet(dashboard)'!$D$27*12,IF(S60&lt;AD60,AD60-S60,0),0)</f>
        <v>0</v>
      </c>
      <c r="V60" s="3">
        <f>IF(B60&lt;='Input sheet(dashboard)'!$D$27*12,V59*(1+'Input sheet(dashboard)'!$E$25)+U60,0)</f>
        <v>0</v>
      </c>
      <c r="W60" s="17">
        <f>IF(B60&lt;='Input sheet(dashboard)'!$D$27*12,J60-I60+V60-N60,0)</f>
        <v>3880021.0292745819</v>
      </c>
      <c r="X60" s="3">
        <f>IF(B60&lt;='Input sheet(dashboard)'!$D$27*12,'Input sheet(dashboard)'!$D$17*(1+'Input sheet(dashboard)'!$E$23)^(B60-1),0)</f>
        <v>32528.721354503294</v>
      </c>
      <c r="Y60" s="3"/>
      <c r="Z60" s="18"/>
      <c r="AA60" s="18"/>
      <c r="AB60" s="3">
        <f>IF(B60=1,'Input sheet(dashboard)'!$D$18*Calculations!X60,IF(Calculations!B60=12*'Input sheet(dashboard)'!$D$27,'Input sheet(dashboard)'!$D$18*-Calculations!X60,0))</f>
        <v>0</v>
      </c>
      <c r="AC60" s="3">
        <f>IF(B60&lt;='Input sheet(dashboard)'!$D$27*12,IF(MOD(B59,'Input sheet(dashboard)'!$D$19*12),0,'Input sheet(dashboard)'!$D$20*(1+'Input sheet(dashboard)'!$E$22)^Calculations!B60),0)</f>
        <v>0</v>
      </c>
      <c r="AD60" s="17">
        <f t="shared" si="3"/>
        <v>32528.721354503294</v>
      </c>
      <c r="AE60" s="17">
        <f>IF(B60&lt;='Input sheet(dashboard)'!$D$27*12,IF(D60=12,SUM(AD49:AD60),0),0)</f>
        <v>0</v>
      </c>
      <c r="AF60" s="17">
        <f t="shared" si="4"/>
        <v>24139.012683416549</v>
      </c>
      <c r="AG60" s="17">
        <f t="shared" si="5"/>
        <v>24139.012683416549</v>
      </c>
      <c r="AH60" s="3">
        <f>IF(B60&lt;='Input sheet(dashboard)'!$D$27*12,AH59*(1+'Input sheet(dashboard)'!$E$25)+AG60," ")</f>
        <v>3123311.5863714144</v>
      </c>
    </row>
    <row r="61" spans="2:34">
      <c r="B61">
        <f t="shared" si="0"/>
        <v>58</v>
      </c>
      <c r="C61">
        <f t="shared" si="7"/>
        <v>5</v>
      </c>
      <c r="D61">
        <f t="shared" si="8"/>
        <v>10</v>
      </c>
      <c r="E61" s="15">
        <f>IF(C61&lt;='Input sheet(dashboard)'!$D$6, -PMT('Input sheet(dashboard)'!$E$5,'Input sheet(dashboard)'!$D$6*12,'Input sheet(dashboard)'!$D$3*'Input sheet(dashboard)'!$D$4),0)</f>
        <v>39834.137922259193</v>
      </c>
      <c r="F61" s="3">
        <f>I60*'Input sheet(dashboard)'!$E$5</f>
        <v>26597.814211157343</v>
      </c>
      <c r="G61" s="3">
        <f>IF(C61&lt;='Input sheet(dashboard)'!$D$6,E61*'Input sheet(dashboard)'!$D$7,0)</f>
        <v>3186.7310337807357</v>
      </c>
      <c r="H61" s="3">
        <f t="shared" si="1"/>
        <v>13236.32371110185</v>
      </c>
      <c r="I61" s="3">
        <f t="shared" si="2"/>
        <v>7288261.7488025762</v>
      </c>
      <c r="J61" s="3">
        <f>IF(B61&lt;='Input sheet(dashboard)'!$D$27*12,'Input sheet(dashboard)'!$D$3*(1+'Input sheet(dashboard)'!$E$24)^B61,0)</f>
        <v>11227073.994698172</v>
      </c>
      <c r="K61" s="3">
        <f>IF(B61&lt;='Input sheet(dashboard)'!$D$27*12,J61*'Input sheet(dashboard)'!$E$8,0)</f>
        <v>11628.397146732203</v>
      </c>
      <c r="L61" s="3">
        <f>IF(B61&lt;='Input sheet(dashboard)'!$D$27*12,'Input sheet(dashboard)'!$D$9*(1+'Input sheet(dashboard)'!$E$22)^B61,0)</f>
        <v>3380.2846306071019</v>
      </c>
      <c r="M61" s="3">
        <f>IF(B61=1,'Input sheet(dashboard)'!$D$3*'Input sheet(dashboard)'!$D$10,0)</f>
        <v>0</v>
      </c>
      <c r="N61" s="3">
        <f>IF(B61='Input sheet(dashboard)'!$D$27*12,J61*'Input sheet(dashboard)'!$D$11,0)</f>
        <v>0</v>
      </c>
      <c r="O61" s="3">
        <f>IF(SUM(F61:F72)&gt;=150000,150000/12*'Input sheet(dashboard)'!$D$28,SUM(F61:F72)/12*'Input sheet(dashboard)'!$D$28)</f>
        <v>1875</v>
      </c>
      <c r="P61" s="3">
        <f t="shared" si="6"/>
        <v>0</v>
      </c>
      <c r="Q61" s="3">
        <f>IF(B61&lt;='Input sheet(dashboard)'!$D$27*12,'Input sheet(dashboard)'!$D$12/12,0)</f>
        <v>192.5</v>
      </c>
      <c r="R61" s="3">
        <f>IF(B61&lt;='Input sheet(dashboard)'!$D$27*12,('Input sheet(dashboard)'!$D$15/12)*(1+'Input sheet(dashboard)'!$E$22)^Calculations!B61,0)</f>
        <v>375.58718117856682</v>
      </c>
      <c r="S61" s="3">
        <f>IF(B61&lt;='Input sheet(dashboard)'!$D$27*12,(E61+G61+K61+L61-O61+M61+Q61+R61),0)</f>
        <v>56722.637914557803</v>
      </c>
      <c r="T61" s="3">
        <f>IF(B61&lt;='Input sheet(dashboard)'!$D$27*12,IF(D61=12,SUM(S50:S61),0),0)</f>
        <v>0</v>
      </c>
      <c r="U61" s="3">
        <f>IF(B61&lt;='Input sheet(dashboard)'!$D$27*12,IF(S61&lt;AD61,AD61-S61,0),0)</f>
        <v>0</v>
      </c>
      <c r="V61" s="3">
        <f>IF(B61&lt;='Input sheet(dashboard)'!$D$27*12,V60*(1+'Input sheet(dashboard)'!$E$25)+U61,0)</f>
        <v>0</v>
      </c>
      <c r="W61" s="17">
        <f>IF(B61&lt;='Input sheet(dashboard)'!$D$27*12,J61-I61+V61-N61,0)</f>
        <v>3938812.2458955962</v>
      </c>
      <c r="X61" s="3">
        <f>IF(B61&lt;='Input sheet(dashboard)'!$D$27*12,'Input sheet(dashboard)'!$D$17*(1+'Input sheet(dashboard)'!$E$23)^(B61-1),0)</f>
        <v>32661.247391825349</v>
      </c>
      <c r="Y61" s="3"/>
      <c r="Z61" s="18"/>
      <c r="AA61" s="18"/>
      <c r="AB61" s="3">
        <f>IF(B61=1,'Input sheet(dashboard)'!$D$18*Calculations!X61,IF(Calculations!B61=12*'Input sheet(dashboard)'!$D$27,'Input sheet(dashboard)'!$D$18*-Calculations!X61,0))</f>
        <v>0</v>
      </c>
      <c r="AC61" s="3">
        <f>IF(B61&lt;='Input sheet(dashboard)'!$D$27*12,IF(MOD(B60,'Input sheet(dashboard)'!$D$19*12),0,'Input sheet(dashboard)'!$D$20*(1+'Input sheet(dashboard)'!$E$22)^Calculations!B61),0)</f>
        <v>0</v>
      </c>
      <c r="AD61" s="17">
        <f t="shared" si="3"/>
        <v>32661.247391825349</v>
      </c>
      <c r="AE61" s="17">
        <f>IF(B61&lt;='Input sheet(dashboard)'!$D$27*12,IF(D61=12,SUM(AD50:AD61),0),0)</f>
        <v>0</v>
      </c>
      <c r="AF61" s="17">
        <f t="shared" si="4"/>
        <v>24061.390522732454</v>
      </c>
      <c r="AG61" s="17">
        <f t="shared" si="5"/>
        <v>24061.390522732454</v>
      </c>
      <c r="AH61" s="3">
        <f>IF(B61&lt;='Input sheet(dashboard)'!$D$27*12,AH60*(1+'Input sheet(dashboard)'!$E$25)+AG61," ")</f>
        <v>3167468.457683783</v>
      </c>
    </row>
    <row r="62" spans="2:34">
      <c r="B62">
        <f t="shared" si="0"/>
        <v>59</v>
      </c>
      <c r="C62">
        <f t="shared" si="7"/>
        <v>5</v>
      </c>
      <c r="D62">
        <f t="shared" si="8"/>
        <v>11</v>
      </c>
      <c r="E62" s="15">
        <f>IF(C62&lt;='Input sheet(dashboard)'!$D$6, -PMT('Input sheet(dashboard)'!$E$5,'Input sheet(dashboard)'!$D$6*12,'Input sheet(dashboard)'!$D$3*'Input sheet(dashboard)'!$D$4),0)</f>
        <v>39834.137922259193</v>
      </c>
      <c r="F62" s="3">
        <f>I61*'Input sheet(dashboard)'!$E$5</f>
        <v>26549.597081547745</v>
      </c>
      <c r="G62" s="3">
        <f>IF(C62&lt;='Input sheet(dashboard)'!$D$6,E62*'Input sheet(dashboard)'!$D$7,0)</f>
        <v>3186.7310337807357</v>
      </c>
      <c r="H62" s="3">
        <f t="shared" si="1"/>
        <v>13284.540840711448</v>
      </c>
      <c r="I62" s="3">
        <f t="shared" si="2"/>
        <v>7274977.2079618648</v>
      </c>
      <c r="J62" s="3">
        <f>IF(B62&lt;='Input sheet(dashboard)'!$D$27*12,'Input sheet(dashboard)'!$D$3*(1+'Input sheet(dashboard)'!$E$24)^B62,0)</f>
        <v>11272814.483880753</v>
      </c>
      <c r="K62" s="3">
        <f>IF(B62&lt;='Input sheet(dashboard)'!$D$27*12,J62*'Input sheet(dashboard)'!$E$8,0)</f>
        <v>11675.772676113414</v>
      </c>
      <c r="L62" s="3">
        <f>IF(B62&lt;='Input sheet(dashboard)'!$D$27*12,'Input sheet(dashboard)'!$D$9*(1+'Input sheet(dashboard)'!$E$22)^B62,0)</f>
        <v>3387.2474634916184</v>
      </c>
      <c r="M62" s="3">
        <f>IF(B62=1,'Input sheet(dashboard)'!$D$3*'Input sheet(dashboard)'!$D$10,0)</f>
        <v>0</v>
      </c>
      <c r="N62" s="3">
        <f>IF(B62='Input sheet(dashboard)'!$D$27*12,J62*'Input sheet(dashboard)'!$D$11,0)</f>
        <v>0</v>
      </c>
      <c r="O62" s="3">
        <f>IF(SUM(F62:F73)&gt;=150000,150000/12*'Input sheet(dashboard)'!$D$28,SUM(F62:F73)/12*'Input sheet(dashboard)'!$D$28)</f>
        <v>1875</v>
      </c>
      <c r="P62" s="3">
        <f t="shared" si="6"/>
        <v>0</v>
      </c>
      <c r="Q62" s="3">
        <f>IF(B62&lt;='Input sheet(dashboard)'!$D$27*12,'Input sheet(dashboard)'!$D$12/12,0)</f>
        <v>192.5</v>
      </c>
      <c r="R62" s="3">
        <f>IF(B62&lt;='Input sheet(dashboard)'!$D$27*12,('Input sheet(dashboard)'!$D$15/12)*(1+'Input sheet(dashboard)'!$E$22)^Calculations!B62,0)</f>
        <v>376.36082927684646</v>
      </c>
      <c r="S62" s="3">
        <f>IF(B62&lt;='Input sheet(dashboard)'!$D$27*12,(E62+G62+K62+L62-O62+M62+Q62+R62),0)</f>
        <v>56777.749924921816</v>
      </c>
      <c r="T62" s="3">
        <f>IF(B62&lt;='Input sheet(dashboard)'!$D$27*12,IF(D62=12,SUM(S51:S62),0),0)</f>
        <v>0</v>
      </c>
      <c r="U62" s="3">
        <f>IF(B62&lt;='Input sheet(dashboard)'!$D$27*12,IF(S62&lt;AD62,AD62-S62,0),0)</f>
        <v>0</v>
      </c>
      <c r="V62" s="3">
        <f>IF(B62&lt;='Input sheet(dashboard)'!$D$27*12,V61*(1+'Input sheet(dashboard)'!$E$25)+U62,0)</f>
        <v>0</v>
      </c>
      <c r="W62" s="17">
        <f>IF(B62&lt;='Input sheet(dashboard)'!$D$27*12,J62-I62+V62-N62,0)</f>
        <v>3997837.2759188879</v>
      </c>
      <c r="X62" s="3">
        <f>IF(B62&lt;='Input sheet(dashboard)'!$D$27*12,'Input sheet(dashboard)'!$D$17*(1+'Input sheet(dashboard)'!$E$23)^(B62-1),0)</f>
        <v>32794.313356628001</v>
      </c>
      <c r="Y62" s="3"/>
      <c r="Z62" s="18"/>
      <c r="AA62" s="18"/>
      <c r="AB62" s="3">
        <f>IF(B62=1,'Input sheet(dashboard)'!$D$18*Calculations!X62,IF(Calculations!B62=12*'Input sheet(dashboard)'!$D$27,'Input sheet(dashboard)'!$D$18*-Calculations!X62,0))</f>
        <v>0</v>
      </c>
      <c r="AC62" s="3">
        <f>IF(B62&lt;='Input sheet(dashboard)'!$D$27*12,IF(MOD(B61,'Input sheet(dashboard)'!$D$19*12),0,'Input sheet(dashboard)'!$D$20*(1+'Input sheet(dashboard)'!$E$22)^Calculations!B62),0)</f>
        <v>0</v>
      </c>
      <c r="AD62" s="17">
        <f t="shared" si="3"/>
        <v>32794.313356628001</v>
      </c>
      <c r="AE62" s="17">
        <f>IF(B62&lt;='Input sheet(dashboard)'!$D$27*12,IF(D62=12,SUM(AD51:AD62),0),0)</f>
        <v>0</v>
      </c>
      <c r="AF62" s="17">
        <f t="shared" si="4"/>
        <v>23983.436568293815</v>
      </c>
      <c r="AG62" s="17">
        <f t="shared" si="5"/>
        <v>23983.436568293815</v>
      </c>
      <c r="AH62" s="3">
        <f>IF(B62&lt;='Input sheet(dashboard)'!$D$27*12,AH61*(1+'Input sheet(dashboard)'!$E$25)+AG62," ")</f>
        <v>3211831.4816813003</v>
      </c>
    </row>
    <row r="63" spans="2:34">
      <c r="B63">
        <f t="shared" si="0"/>
        <v>60</v>
      </c>
      <c r="C63">
        <f t="shared" si="7"/>
        <v>5</v>
      </c>
      <c r="D63">
        <f t="shared" si="8"/>
        <v>12</v>
      </c>
      <c r="E63" s="15">
        <f>IF(C63&lt;='Input sheet(dashboard)'!$D$6, -PMT('Input sheet(dashboard)'!$E$5,'Input sheet(dashboard)'!$D$6*12,'Input sheet(dashboard)'!$D$3*'Input sheet(dashboard)'!$D$4),0)</f>
        <v>39834.137922259193</v>
      </c>
      <c r="F63" s="3">
        <f>I62*'Input sheet(dashboard)'!$E$5</f>
        <v>26501.2043071263</v>
      </c>
      <c r="G63" s="3">
        <f>IF(C63&lt;='Input sheet(dashboard)'!$D$6,E63*'Input sheet(dashboard)'!$D$7,0)</f>
        <v>3186.7310337807357</v>
      </c>
      <c r="H63" s="3">
        <f t="shared" si="1"/>
        <v>13332.933615132893</v>
      </c>
      <c r="I63" s="3">
        <f t="shared" si="2"/>
        <v>7261644.2743467316</v>
      </c>
      <c r="J63" s="3">
        <f>IF(B63&lt;='Input sheet(dashboard)'!$D$27*12,'Input sheet(dashboard)'!$D$3*(1+'Input sheet(dashboard)'!$E$24)^B63,0)</f>
        <v>11318741.325478187</v>
      </c>
      <c r="K63" s="3">
        <f>IF(B63&lt;='Input sheet(dashboard)'!$D$27*12,J63*'Input sheet(dashboard)'!$E$8,0)</f>
        <v>11723.34121926564</v>
      </c>
      <c r="L63" s="3">
        <f>IF(B63&lt;='Input sheet(dashboard)'!$D$27*12,'Input sheet(dashboard)'!$D$9*(1+'Input sheet(dashboard)'!$E$22)^B63,0)</f>
        <v>3394.2246386718512</v>
      </c>
      <c r="M63" s="3">
        <f>IF(B63=1,'Input sheet(dashboard)'!$D$3*'Input sheet(dashboard)'!$D$10,0)</f>
        <v>0</v>
      </c>
      <c r="N63" s="3">
        <f>IF(B63='Input sheet(dashboard)'!$D$27*12,J63*'Input sheet(dashboard)'!$D$11,0)</f>
        <v>0</v>
      </c>
      <c r="O63" s="3">
        <f>IF(SUM(F63:F74)&gt;=150000,150000/12*'Input sheet(dashboard)'!$D$28,SUM(F63:F74)/12*'Input sheet(dashboard)'!$D$28)</f>
        <v>1875</v>
      </c>
      <c r="P63" s="3">
        <f t="shared" si="6"/>
        <v>22500</v>
      </c>
      <c r="Q63" s="3">
        <f>IF(B63&lt;='Input sheet(dashboard)'!$D$27*12,'Input sheet(dashboard)'!$D$12/12,0)</f>
        <v>192.5</v>
      </c>
      <c r="R63" s="3">
        <f>IF(B63&lt;='Input sheet(dashboard)'!$D$27*12,('Input sheet(dashboard)'!$D$15/12)*(1+'Input sheet(dashboard)'!$E$22)^Calculations!B63,0)</f>
        <v>377.136070963539</v>
      </c>
      <c r="S63" s="3">
        <f>IF(B63&lt;='Input sheet(dashboard)'!$D$27*12,(E63+G63+K63+L63-O63+M63+Q63+R63),0)</f>
        <v>56833.070884940964</v>
      </c>
      <c r="T63" s="3">
        <f>IF(B63&lt;='Input sheet(dashboard)'!$D$27*12,IF(D63=12,SUM(S52:S63),0),0)</f>
        <v>678391.23485539726</v>
      </c>
      <c r="U63" s="3">
        <f>IF(B63&lt;='Input sheet(dashboard)'!$D$27*12,IF(S63&lt;AD63,AD63-S63,0),0)</f>
        <v>0</v>
      </c>
      <c r="V63" s="3">
        <f>IF(B63&lt;='Input sheet(dashboard)'!$D$27*12,V62*(1+'Input sheet(dashboard)'!$E$25)+U63,0)</f>
        <v>0</v>
      </c>
      <c r="W63" s="17">
        <f>IF(B63&lt;='Input sheet(dashboard)'!$D$27*12,J63-I63+V63-N63,0)</f>
        <v>4057097.0511314552</v>
      </c>
      <c r="X63" s="3">
        <f>IF(B63&lt;='Input sheet(dashboard)'!$D$27*12,'Input sheet(dashboard)'!$D$17*(1+'Input sheet(dashboard)'!$E$23)^(B63-1),0)</f>
        <v>32927.921448642664</v>
      </c>
      <c r="Y63" s="3"/>
      <c r="Z63" s="18"/>
      <c r="AA63" s="18"/>
      <c r="AB63" s="3">
        <f>IF(B63=1,'Input sheet(dashboard)'!$D$18*Calculations!X63,IF(Calculations!B63=12*'Input sheet(dashboard)'!$D$27,'Input sheet(dashboard)'!$D$18*-Calculations!X63,0))</f>
        <v>0</v>
      </c>
      <c r="AC63" s="3">
        <f>IF(B63&lt;='Input sheet(dashboard)'!$D$27*12,IF(MOD(B62,'Input sheet(dashboard)'!$D$19*12),0,'Input sheet(dashboard)'!$D$20*(1+'Input sheet(dashboard)'!$E$22)^Calculations!B63),0)</f>
        <v>0</v>
      </c>
      <c r="AD63" s="17">
        <f t="shared" si="3"/>
        <v>32927.921448642664</v>
      </c>
      <c r="AE63" s="17">
        <f>IF(B63&lt;='Input sheet(dashboard)'!$D$27*12,IF(D63=12,SUM(AD52:AD63),0),0)</f>
        <v>395356.93498839589</v>
      </c>
      <c r="AF63" s="17">
        <f t="shared" si="4"/>
        <v>23905.149436298299</v>
      </c>
      <c r="AG63" s="17">
        <f t="shared" si="5"/>
        <v>23905.149436298299</v>
      </c>
      <c r="AH63" s="3">
        <f>IF(B63&lt;='Input sheet(dashboard)'!$D$27*12,AH62*(1+'Input sheet(dashboard)'!$E$25)+AG63," ")</f>
        <v>3256401.6515789931</v>
      </c>
    </row>
    <row r="64" spans="2:34">
      <c r="B64">
        <f t="shared" si="0"/>
        <v>61</v>
      </c>
      <c r="C64">
        <f t="shared" si="7"/>
        <v>6</v>
      </c>
      <c r="D64">
        <f t="shared" si="8"/>
        <v>1</v>
      </c>
      <c r="E64" s="15">
        <f>IF(C64&lt;='Input sheet(dashboard)'!$D$6, -PMT('Input sheet(dashboard)'!$E$5,'Input sheet(dashboard)'!$D$6*12,'Input sheet(dashboard)'!$D$3*'Input sheet(dashboard)'!$D$4),0)</f>
        <v>39834.137922259193</v>
      </c>
      <c r="F64" s="3">
        <f>I63*'Input sheet(dashboard)'!$E$5</f>
        <v>26452.635248056082</v>
      </c>
      <c r="G64" s="3">
        <f>IF(C64&lt;='Input sheet(dashboard)'!$D$6,E64*'Input sheet(dashboard)'!$D$7,0)</f>
        <v>3186.7310337807357</v>
      </c>
      <c r="H64" s="3">
        <f t="shared" si="1"/>
        <v>13381.502674203111</v>
      </c>
      <c r="I64" s="3">
        <f t="shared" si="2"/>
        <v>7248262.7716725282</v>
      </c>
      <c r="J64" s="3">
        <f>IF(B64&lt;='Input sheet(dashboard)'!$D$27*12,'Input sheet(dashboard)'!$D$3*(1+'Input sheet(dashboard)'!$E$24)^B64,0)</f>
        <v>11364855.278713284</v>
      </c>
      <c r="K64" s="3">
        <f>IF(B64&lt;='Input sheet(dashboard)'!$D$27*12,J64*'Input sheet(dashboard)'!$E$8,0)</f>
        <v>11771.103562550878</v>
      </c>
      <c r="L64" s="3">
        <f>IF(B64&lt;='Input sheet(dashboard)'!$D$27*12,'Input sheet(dashboard)'!$D$9*(1+'Input sheet(dashboard)'!$E$22)^B64,0)</f>
        <v>3401.2161856905809</v>
      </c>
      <c r="M64" s="3">
        <f>IF(B64=1,'Input sheet(dashboard)'!$D$3*'Input sheet(dashboard)'!$D$10,0)</f>
        <v>0</v>
      </c>
      <c r="N64" s="3">
        <f>IF(B64='Input sheet(dashboard)'!$D$27*12,J64*'Input sheet(dashboard)'!$D$11,0)</f>
        <v>0</v>
      </c>
      <c r="O64" s="3">
        <f>IF(SUM(F64:F75)&gt;=150000,150000/12*'Input sheet(dashboard)'!$D$28,SUM(F64:F75)/12*'Input sheet(dashboard)'!$D$28)</f>
        <v>1875</v>
      </c>
      <c r="P64" s="3">
        <f t="shared" si="6"/>
        <v>0</v>
      </c>
      <c r="Q64" s="3">
        <f>IF(B64&lt;='Input sheet(dashboard)'!$D$27*12,'Input sheet(dashboard)'!$D$12/12,0)</f>
        <v>192.5</v>
      </c>
      <c r="R64" s="3">
        <f>IF(B64&lt;='Input sheet(dashboard)'!$D$27*12,('Input sheet(dashboard)'!$D$15/12)*(1+'Input sheet(dashboard)'!$E$22)^Calculations!B64,0)</f>
        <v>377.91290952117566</v>
      </c>
      <c r="S64" s="3">
        <f>IF(B64&lt;='Input sheet(dashboard)'!$D$27*12,(E64+G64+K64+L64-O64+M64+Q64+R64),0)</f>
        <v>56888.601613802559</v>
      </c>
      <c r="T64" s="3">
        <f>IF(B64&lt;='Input sheet(dashboard)'!$D$27*12,IF(D64=12,SUM(S53:S64),0),0)</f>
        <v>0</v>
      </c>
      <c r="U64" s="3">
        <f>IF(B64&lt;='Input sheet(dashboard)'!$D$27*12,IF(S64&lt;AD64,AD64-S64,0),0)</f>
        <v>0</v>
      </c>
      <c r="V64" s="3">
        <f>IF(B64&lt;='Input sheet(dashboard)'!$D$27*12,V63*(1+'Input sheet(dashboard)'!$E$25)+U64,0)</f>
        <v>0</v>
      </c>
      <c r="W64" s="17">
        <f>IF(B64&lt;='Input sheet(dashboard)'!$D$27*12,J64-I64+V64-N64,0)</f>
        <v>4116592.5070407558</v>
      </c>
      <c r="X64" s="3">
        <f>IF(B64&lt;='Input sheet(dashboard)'!$D$27*12,'Input sheet(dashboard)'!$D$17*(1+'Input sheet(dashboard)'!$E$23)^(B64-1),0)</f>
        <v>33062.073876562681</v>
      </c>
      <c r="Y64" s="3"/>
      <c r="Z64" s="18"/>
      <c r="AA64" s="18"/>
      <c r="AB64" s="3">
        <f>IF(B64=1,'Input sheet(dashboard)'!$D$18*Calculations!X64,IF(Calculations!B64=12*'Input sheet(dashboard)'!$D$27,'Input sheet(dashboard)'!$D$18*-Calculations!X64,0))</f>
        <v>0</v>
      </c>
      <c r="AC64" s="3">
        <f>IF(B64&lt;='Input sheet(dashboard)'!$D$27*12,IF(MOD(B63,'Input sheet(dashboard)'!$D$19*12),0,'Input sheet(dashboard)'!$D$20*(1+'Input sheet(dashboard)'!$E$22)^Calculations!B64),0)</f>
        <v>0</v>
      </c>
      <c r="AD64" s="17">
        <f t="shared" si="3"/>
        <v>33062.073876562681</v>
      </c>
      <c r="AE64" s="17">
        <f>IF(B64&lt;='Input sheet(dashboard)'!$D$27*12,IF(D64=12,SUM(AD53:AD64),0),0)</f>
        <v>0</v>
      </c>
      <c r="AF64" s="17">
        <f t="shared" si="4"/>
        <v>23826.527737239878</v>
      </c>
      <c r="AG64" s="17">
        <f t="shared" si="5"/>
        <v>23826.527737239878</v>
      </c>
      <c r="AH64" s="3">
        <f>IF(B64&lt;='Input sheet(dashboard)'!$D$27*12,AH63*(1+'Input sheet(dashboard)'!$E$25)+AG64," ")</f>
        <v>3301179.9655927569</v>
      </c>
    </row>
    <row r="65" spans="2:34">
      <c r="B65">
        <f t="shared" si="0"/>
        <v>62</v>
      </c>
      <c r="C65">
        <f t="shared" si="7"/>
        <v>6</v>
      </c>
      <c r="D65">
        <f t="shared" si="8"/>
        <v>2</v>
      </c>
      <c r="E65" s="15">
        <f>IF(C65&lt;='Input sheet(dashboard)'!$D$6, -PMT('Input sheet(dashboard)'!$E$5,'Input sheet(dashboard)'!$D$6*12,'Input sheet(dashboard)'!$D$3*'Input sheet(dashboard)'!$D$4),0)</f>
        <v>39834.137922259193</v>
      </c>
      <c r="F65" s="3">
        <f>I64*'Input sheet(dashboard)'!$E$5</f>
        <v>26403.889262169374</v>
      </c>
      <c r="G65" s="3">
        <f>IF(C65&lt;='Input sheet(dashboard)'!$D$6,E65*'Input sheet(dashboard)'!$D$7,0)</f>
        <v>3186.7310337807357</v>
      </c>
      <c r="H65" s="3">
        <f t="shared" si="1"/>
        <v>13430.248660089819</v>
      </c>
      <c r="I65" s="3">
        <f t="shared" si="2"/>
        <v>7234832.5230124388</v>
      </c>
      <c r="J65" s="3">
        <f>IF(B65&lt;='Input sheet(dashboard)'!$D$27*12,'Input sheet(dashboard)'!$D$3*(1+'Input sheet(dashboard)'!$E$24)^B65,0)</f>
        <v>11411157.105902011</v>
      </c>
      <c r="K65" s="3">
        <f>IF(B65&lt;='Input sheet(dashboard)'!$D$27*12,J65*'Input sheet(dashboard)'!$E$8,0)</f>
        <v>11819.060495534854</v>
      </c>
      <c r="L65" s="3">
        <f>IF(B65&lt;='Input sheet(dashboard)'!$D$27*12,'Input sheet(dashboard)'!$D$9*(1+'Input sheet(dashboard)'!$E$22)^B65,0)</f>
        <v>3408.2221341514428</v>
      </c>
      <c r="M65" s="3">
        <f>IF(B65=1,'Input sheet(dashboard)'!$D$3*'Input sheet(dashboard)'!$D$10,0)</f>
        <v>0</v>
      </c>
      <c r="N65" s="3">
        <f>IF(B65='Input sheet(dashboard)'!$D$27*12,J65*'Input sheet(dashboard)'!$D$11,0)</f>
        <v>0</v>
      </c>
      <c r="O65" s="3">
        <f>IF(SUM(F65:F76)&gt;=150000,150000/12*'Input sheet(dashboard)'!$D$28,SUM(F65:F76)/12*'Input sheet(dashboard)'!$D$28)</f>
        <v>1875</v>
      </c>
      <c r="P65" s="3">
        <f t="shared" si="6"/>
        <v>0</v>
      </c>
      <c r="Q65" s="3">
        <f>IF(B65&lt;='Input sheet(dashboard)'!$D$27*12,'Input sheet(dashboard)'!$D$12/12,0)</f>
        <v>192.5</v>
      </c>
      <c r="R65" s="3">
        <f>IF(B65&lt;='Input sheet(dashboard)'!$D$27*12,('Input sheet(dashboard)'!$D$15/12)*(1+'Input sheet(dashboard)'!$E$22)^Calculations!B65,0)</f>
        <v>378.69134823904915</v>
      </c>
      <c r="S65" s="3">
        <f>IF(B65&lt;='Input sheet(dashboard)'!$D$27*12,(E65+G65+K65+L65-O65+M65+Q65+R65),0)</f>
        <v>56944.342933965279</v>
      </c>
      <c r="T65" s="3">
        <f>IF(B65&lt;='Input sheet(dashboard)'!$D$27*12,IF(D65=12,SUM(S54:S65),0),0)</f>
        <v>0</v>
      </c>
      <c r="U65" s="3">
        <f>IF(B65&lt;='Input sheet(dashboard)'!$D$27*12,IF(S65&lt;AD65,AD65-S65,0),0)</f>
        <v>0</v>
      </c>
      <c r="V65" s="3">
        <f>IF(B65&lt;='Input sheet(dashboard)'!$D$27*12,V64*(1+'Input sheet(dashboard)'!$E$25)+U65,0)</f>
        <v>0</v>
      </c>
      <c r="W65" s="17">
        <f>IF(B65&lt;='Input sheet(dashboard)'!$D$27*12,J65-I65+V65-N65,0)</f>
        <v>4176324.5828895718</v>
      </c>
      <c r="X65" s="3">
        <f>IF(B65&lt;='Input sheet(dashboard)'!$D$27*12,'Input sheet(dashboard)'!$D$17*(1+'Input sheet(dashboard)'!$E$23)^(B65-1),0)</f>
        <v>33196.77285807993</v>
      </c>
      <c r="Y65" s="3"/>
      <c r="Z65" s="18"/>
      <c r="AA65" s="18"/>
      <c r="AB65" s="3">
        <f>IF(B65=1,'Input sheet(dashboard)'!$D$18*Calculations!X65,IF(Calculations!B65=12*'Input sheet(dashboard)'!$D$27,'Input sheet(dashboard)'!$D$18*-Calculations!X65,0))</f>
        <v>0</v>
      </c>
      <c r="AC65" s="3">
        <f>IF(B65&lt;='Input sheet(dashboard)'!$D$27*12,IF(MOD(B64,'Input sheet(dashboard)'!$D$19*12),0,'Input sheet(dashboard)'!$D$20*(1+'Input sheet(dashboard)'!$E$22)^Calculations!B65),0)</f>
        <v>0</v>
      </c>
      <c r="AD65" s="17">
        <f t="shared" si="3"/>
        <v>33196.77285807993</v>
      </c>
      <c r="AE65" s="17">
        <f>IF(B65&lt;='Input sheet(dashboard)'!$D$27*12,IF(D65=12,SUM(AD54:AD65),0),0)</f>
        <v>0</v>
      </c>
      <c r="AF65" s="17">
        <f t="shared" si="4"/>
        <v>23747.570075885349</v>
      </c>
      <c r="AG65" s="17">
        <f t="shared" si="5"/>
        <v>23747.570075885349</v>
      </c>
      <c r="AH65" s="3">
        <f>IF(B65&lt;='Input sheet(dashboard)'!$D$27*12,AH64*(1+'Input sheet(dashboard)'!$E$25)+AG65," ")</f>
        <v>3346167.4269658062</v>
      </c>
    </row>
    <row r="66" spans="2:34">
      <c r="B66">
        <f t="shared" si="0"/>
        <v>63</v>
      </c>
      <c r="C66">
        <f t="shared" si="7"/>
        <v>6</v>
      </c>
      <c r="D66">
        <f t="shared" si="8"/>
        <v>3</v>
      </c>
      <c r="E66" s="15">
        <f>IF(C66&lt;='Input sheet(dashboard)'!$D$6, -PMT('Input sheet(dashboard)'!$E$5,'Input sheet(dashboard)'!$D$6*12,'Input sheet(dashboard)'!$D$3*'Input sheet(dashboard)'!$D$4),0)</f>
        <v>39834.137922259193</v>
      </c>
      <c r="F66" s="3">
        <f>I65*'Input sheet(dashboard)'!$E$5</f>
        <v>26354.965704959188</v>
      </c>
      <c r="G66" s="3">
        <f>IF(C66&lt;='Input sheet(dashboard)'!$D$6,E66*'Input sheet(dashboard)'!$D$7,0)</f>
        <v>3186.7310337807357</v>
      </c>
      <c r="H66" s="3">
        <f t="shared" si="1"/>
        <v>13479.172217300005</v>
      </c>
      <c r="I66" s="3">
        <f t="shared" si="2"/>
        <v>7221353.3507951386</v>
      </c>
      <c r="J66" s="3">
        <f>IF(B66&lt;='Input sheet(dashboard)'!$D$27*12,'Input sheet(dashboard)'!$D$3*(1+'Input sheet(dashboard)'!$E$24)^B66,0)</f>
        <v>11457647.572466113</v>
      </c>
      <c r="K66" s="3">
        <f>IF(B66&lt;='Input sheet(dashboard)'!$D$27*12,J66*'Input sheet(dashboard)'!$E$8,0)</f>
        <v>11867.212811000089</v>
      </c>
      <c r="L66" s="3">
        <f>IF(B66&lt;='Input sheet(dashboard)'!$D$27*12,'Input sheet(dashboard)'!$D$9*(1+'Input sheet(dashboard)'!$E$22)^B66,0)</f>
        <v>3415.2425137190494</v>
      </c>
      <c r="M66" s="3">
        <f>IF(B66=1,'Input sheet(dashboard)'!$D$3*'Input sheet(dashboard)'!$D$10,0)</f>
        <v>0</v>
      </c>
      <c r="N66" s="3">
        <f>IF(B66='Input sheet(dashboard)'!$D$27*12,J66*'Input sheet(dashboard)'!$D$11,0)</f>
        <v>0</v>
      </c>
      <c r="O66" s="3">
        <f>IF(SUM(F66:F77)&gt;=150000,150000/12*'Input sheet(dashboard)'!$D$28,SUM(F66:F77)/12*'Input sheet(dashboard)'!$D$28)</f>
        <v>1875</v>
      </c>
      <c r="P66" s="3">
        <f t="shared" si="6"/>
        <v>0</v>
      </c>
      <c r="Q66" s="3">
        <f>IF(B66&lt;='Input sheet(dashboard)'!$D$27*12,'Input sheet(dashboard)'!$D$12/12,0)</f>
        <v>192.5</v>
      </c>
      <c r="R66" s="3">
        <f>IF(B66&lt;='Input sheet(dashboard)'!$D$27*12,('Input sheet(dashboard)'!$D$15/12)*(1+'Input sheet(dashboard)'!$E$22)^Calculations!B66,0)</f>
        <v>379.47139041322771</v>
      </c>
      <c r="S66" s="3">
        <f>IF(B66&lt;='Input sheet(dashboard)'!$D$27*12,(E66+G66+K66+L66-O66+M66+Q66+R66),0)</f>
        <v>57000.295671172295</v>
      </c>
      <c r="T66" s="3">
        <f>IF(B66&lt;='Input sheet(dashboard)'!$D$27*12,IF(D66=12,SUM(S55:S66),0),0)</f>
        <v>0</v>
      </c>
      <c r="U66" s="3">
        <f>IF(B66&lt;='Input sheet(dashboard)'!$D$27*12,IF(S66&lt;AD66,AD66-S66,0),0)</f>
        <v>0</v>
      </c>
      <c r="V66" s="3">
        <f>IF(B66&lt;='Input sheet(dashboard)'!$D$27*12,V65*(1+'Input sheet(dashboard)'!$E$25)+U66,0)</f>
        <v>0</v>
      </c>
      <c r="W66" s="17">
        <f>IF(B66&lt;='Input sheet(dashboard)'!$D$27*12,J66-I66+V66-N66,0)</f>
        <v>4236294.221670974</v>
      </c>
      <c r="X66" s="3">
        <f>IF(B66&lt;='Input sheet(dashboard)'!$D$27*12,'Input sheet(dashboard)'!$D$17*(1+'Input sheet(dashboard)'!$E$23)^(B66-1),0)</f>
        <v>33332.020619921401</v>
      </c>
      <c r="Y66" s="3"/>
      <c r="Z66" s="18"/>
      <c r="AA66" s="18"/>
      <c r="AB66" s="3">
        <f>IF(B66=1,'Input sheet(dashboard)'!$D$18*Calculations!X66,IF(Calculations!B66=12*'Input sheet(dashboard)'!$D$27,'Input sheet(dashboard)'!$D$18*-Calculations!X66,0))</f>
        <v>0</v>
      </c>
      <c r="AC66" s="3">
        <f>IF(B66&lt;='Input sheet(dashboard)'!$D$27*12,IF(MOD(B65,'Input sheet(dashboard)'!$D$19*12),0,'Input sheet(dashboard)'!$D$20*(1+'Input sheet(dashboard)'!$E$22)^Calculations!B66),0)</f>
        <v>0</v>
      </c>
      <c r="AD66" s="17">
        <f t="shared" si="3"/>
        <v>33332.020619921401</v>
      </c>
      <c r="AE66" s="17">
        <f>IF(B66&lt;='Input sheet(dashboard)'!$D$27*12,IF(D66=12,SUM(AD55:AD66),0),0)</f>
        <v>0</v>
      </c>
      <c r="AF66" s="17">
        <f t="shared" si="4"/>
        <v>23668.275051250894</v>
      </c>
      <c r="AG66" s="17">
        <f t="shared" si="5"/>
        <v>23668.275051250894</v>
      </c>
      <c r="AH66" s="3">
        <f>IF(B66&lt;='Input sheet(dashboard)'!$D$27*12,AH65*(1+'Input sheet(dashboard)'!$E$25)+AG66," ")</f>
        <v>3391365.0439952677</v>
      </c>
    </row>
    <row r="67" spans="2:34">
      <c r="B67">
        <f t="shared" si="0"/>
        <v>64</v>
      </c>
      <c r="C67">
        <f t="shared" si="7"/>
        <v>6</v>
      </c>
      <c r="D67">
        <f t="shared" si="8"/>
        <v>4</v>
      </c>
      <c r="E67" s="15">
        <f>IF(C67&lt;='Input sheet(dashboard)'!$D$6, -PMT('Input sheet(dashboard)'!$E$5,'Input sheet(dashboard)'!$D$6*12,'Input sheet(dashboard)'!$D$3*'Input sheet(dashboard)'!$D$4),0)</f>
        <v>39834.137922259193</v>
      </c>
      <c r="F67" s="3">
        <f>I66*'Input sheet(dashboard)'!$E$5</f>
        <v>26305.863929570714</v>
      </c>
      <c r="G67" s="3">
        <f>IF(C67&lt;='Input sheet(dashboard)'!$D$6,E67*'Input sheet(dashboard)'!$D$7,0)</f>
        <v>3186.7310337807357</v>
      </c>
      <c r="H67" s="3">
        <f t="shared" si="1"/>
        <v>13528.273992688479</v>
      </c>
      <c r="I67" s="3">
        <f t="shared" si="2"/>
        <v>7207825.0768024502</v>
      </c>
      <c r="J67" s="3">
        <f>IF(B67&lt;='Input sheet(dashboard)'!$D$27*12,'Input sheet(dashboard)'!$D$3*(1+'Input sheet(dashboard)'!$E$24)^B67,0)</f>
        <v>11504327.44694576</v>
      </c>
      <c r="K67" s="3">
        <f>IF(B67&lt;='Input sheet(dashboard)'!$D$27*12,J67*'Input sheet(dashboard)'!$E$8,0)</f>
        <v>11915.561304959003</v>
      </c>
      <c r="L67" s="3">
        <f>IF(B67&lt;='Input sheet(dashboard)'!$D$27*12,'Input sheet(dashboard)'!$D$9*(1+'Input sheet(dashboard)'!$E$22)^B67,0)</f>
        <v>3422.2773541191164</v>
      </c>
      <c r="M67" s="3">
        <f>IF(B67=1,'Input sheet(dashboard)'!$D$3*'Input sheet(dashboard)'!$D$10,0)</f>
        <v>0</v>
      </c>
      <c r="N67" s="3">
        <f>IF(B67='Input sheet(dashboard)'!$D$27*12,J67*'Input sheet(dashboard)'!$D$11,0)</f>
        <v>0</v>
      </c>
      <c r="O67" s="3">
        <f>IF(SUM(F67:F78)&gt;=150000,150000/12*'Input sheet(dashboard)'!$D$28,SUM(F67:F78)/12*'Input sheet(dashboard)'!$D$28)</f>
        <v>1875</v>
      </c>
      <c r="P67" s="3">
        <f t="shared" si="6"/>
        <v>0</v>
      </c>
      <c r="Q67" s="3">
        <f>IF(B67&lt;='Input sheet(dashboard)'!$D$27*12,'Input sheet(dashboard)'!$D$12/12,0)</f>
        <v>192.5</v>
      </c>
      <c r="R67" s="3">
        <f>IF(B67&lt;='Input sheet(dashboard)'!$D$27*12,('Input sheet(dashboard)'!$D$15/12)*(1+'Input sheet(dashboard)'!$E$22)^Calculations!B67,0)</f>
        <v>380.25303934656847</v>
      </c>
      <c r="S67" s="3">
        <f>IF(B67&lt;='Input sheet(dashboard)'!$D$27*12,(E67+G67+K67+L67-O67+M67+Q67+R67),0)</f>
        <v>57056.460654464623</v>
      </c>
      <c r="T67" s="3">
        <f>IF(B67&lt;='Input sheet(dashboard)'!$D$27*12,IF(D67=12,SUM(S56:S67),0),0)</f>
        <v>0</v>
      </c>
      <c r="U67" s="3">
        <f>IF(B67&lt;='Input sheet(dashboard)'!$D$27*12,IF(S67&lt;AD67,AD67-S67,0),0)</f>
        <v>0</v>
      </c>
      <c r="V67" s="3">
        <f>IF(B67&lt;='Input sheet(dashboard)'!$D$27*12,V66*(1+'Input sheet(dashboard)'!$E$25)+U67,0)</f>
        <v>0</v>
      </c>
      <c r="W67" s="17">
        <f>IF(B67&lt;='Input sheet(dashboard)'!$D$27*12,J67-I67+V67-N67,0)</f>
        <v>4296502.3701433102</v>
      </c>
      <c r="X67" s="3">
        <f>IF(B67&lt;='Input sheet(dashboard)'!$D$27*12,'Input sheet(dashboard)'!$D$17*(1+'Input sheet(dashboard)'!$E$23)^(B67-1),0)</f>
        <v>33467.81939788608</v>
      </c>
      <c r="Y67" s="3"/>
      <c r="Z67" s="18"/>
      <c r="AA67" s="18"/>
      <c r="AB67" s="3">
        <f>IF(B67=1,'Input sheet(dashboard)'!$D$18*Calculations!X67,IF(Calculations!B67=12*'Input sheet(dashboard)'!$D$27,'Input sheet(dashboard)'!$D$18*-Calculations!X67,0))</f>
        <v>0</v>
      </c>
      <c r="AC67" s="3">
        <f>IF(B67&lt;='Input sheet(dashboard)'!$D$27*12,IF(MOD(B66,'Input sheet(dashboard)'!$D$19*12),0,'Input sheet(dashboard)'!$D$20*(1+'Input sheet(dashboard)'!$E$22)^Calculations!B67),0)</f>
        <v>0</v>
      </c>
      <c r="AD67" s="17">
        <f t="shared" si="3"/>
        <v>33467.81939788608</v>
      </c>
      <c r="AE67" s="17">
        <f>IF(B67&lt;='Input sheet(dashboard)'!$D$27*12,IF(D67=12,SUM(AD56:AD67),0),0)</f>
        <v>0</v>
      </c>
      <c r="AF67" s="17">
        <f t="shared" si="4"/>
        <v>23588.641256578543</v>
      </c>
      <c r="AG67" s="17">
        <f t="shared" si="5"/>
        <v>23588.641256578543</v>
      </c>
      <c r="AH67" s="3">
        <f>IF(B67&lt;='Input sheet(dashboard)'!$D$27*12,AH66*(1+'Input sheet(dashboard)'!$E$25)+AG67," ")</f>
        <v>3436773.8300589253</v>
      </c>
    </row>
    <row r="68" spans="2:34">
      <c r="B68">
        <f t="shared" ref="B68:B131" si="9">B67+1</f>
        <v>65</v>
      </c>
      <c r="C68">
        <f t="shared" si="7"/>
        <v>6</v>
      </c>
      <c r="D68">
        <f t="shared" si="8"/>
        <v>5</v>
      </c>
      <c r="E68" s="15">
        <f>IF(C68&lt;='Input sheet(dashboard)'!$D$6, -PMT('Input sheet(dashboard)'!$E$5,'Input sheet(dashboard)'!$D$6*12,'Input sheet(dashboard)'!$D$3*'Input sheet(dashboard)'!$D$4),0)</f>
        <v>39834.137922259193</v>
      </c>
      <c r="F68" s="3">
        <f>I67*'Input sheet(dashboard)'!$E$5</f>
        <v>26256.5832867928</v>
      </c>
      <c r="G68" s="3">
        <f>IF(C68&lt;='Input sheet(dashboard)'!$D$6,E68*'Input sheet(dashboard)'!$D$7,0)</f>
        <v>3186.7310337807357</v>
      </c>
      <c r="H68" s="3">
        <f t="shared" ref="H68:H131" si="10">E68-F68</f>
        <v>13577.554635466393</v>
      </c>
      <c r="I68" s="3">
        <f t="shared" ref="I68:I131" si="11">I67-H68</f>
        <v>7194247.5221669842</v>
      </c>
      <c r="J68" s="3">
        <f>IF(B68&lt;='Input sheet(dashboard)'!$D$27*12,'Input sheet(dashboard)'!$D$3*(1+'Input sheet(dashboard)'!$E$24)^B68,0)</f>
        <v>11551197.50101224</v>
      </c>
      <c r="K68" s="3">
        <f>IF(B68&lt;='Input sheet(dashboard)'!$D$27*12,J68*'Input sheet(dashboard)'!$E$8,0)</f>
        <v>11964.106776667057</v>
      </c>
      <c r="L68" s="3">
        <f>IF(B68&lt;='Input sheet(dashboard)'!$D$27*12,'Input sheet(dashboard)'!$D$9*(1+'Input sheet(dashboard)'!$E$22)^B68,0)</f>
        <v>3429.326685138592</v>
      </c>
      <c r="M68" s="3">
        <f>IF(B68=1,'Input sheet(dashboard)'!$D$3*'Input sheet(dashboard)'!$D$10,0)</f>
        <v>0</v>
      </c>
      <c r="N68" s="3">
        <f>IF(B68='Input sheet(dashboard)'!$D$27*12,J68*'Input sheet(dashboard)'!$D$11,0)</f>
        <v>0</v>
      </c>
      <c r="O68" s="3">
        <f>IF(SUM(F68:F79)&gt;=150000,150000/12*'Input sheet(dashboard)'!$D$28,SUM(F68:F79)/12*'Input sheet(dashboard)'!$D$28)</f>
        <v>1875</v>
      </c>
      <c r="P68" s="3">
        <f t="shared" si="6"/>
        <v>0</v>
      </c>
      <c r="Q68" s="3">
        <f>IF(B68&lt;='Input sheet(dashboard)'!$D$27*12,'Input sheet(dashboard)'!$D$12/12,0)</f>
        <v>192.5</v>
      </c>
      <c r="R68" s="3">
        <f>IF(B68&lt;='Input sheet(dashboard)'!$D$27*12,('Input sheet(dashboard)'!$D$15/12)*(1+'Input sheet(dashboard)'!$E$22)^Calculations!B68,0)</f>
        <v>381.03629834873243</v>
      </c>
      <c r="S68" s="3">
        <f>IF(B68&lt;='Input sheet(dashboard)'!$D$27*12,(E68+G68+K68+L68-O68+M68+Q68+R68),0)</f>
        <v>57112.83871619431</v>
      </c>
      <c r="T68" s="3">
        <f>IF(B68&lt;='Input sheet(dashboard)'!$D$27*12,IF(D68=12,SUM(S57:S68),0),0)</f>
        <v>0</v>
      </c>
      <c r="U68" s="3">
        <f>IF(B68&lt;='Input sheet(dashboard)'!$D$27*12,IF(S68&lt;AD68,AD68-S68,0),0)</f>
        <v>0</v>
      </c>
      <c r="V68" s="3">
        <f>IF(B68&lt;='Input sheet(dashboard)'!$D$27*12,V67*(1+'Input sheet(dashboard)'!$E$25)+U68,0)</f>
        <v>0</v>
      </c>
      <c r="W68" s="17">
        <f>IF(B68&lt;='Input sheet(dashboard)'!$D$27*12,J68-I68+V68-N68,0)</f>
        <v>4356949.9788452554</v>
      </c>
      <c r="X68" s="3">
        <f>IF(B68&lt;='Input sheet(dashboard)'!$D$27*12,'Input sheet(dashboard)'!$D$17*(1+'Input sheet(dashboard)'!$E$23)^(B68-1),0)</f>
        <v>33604.171436881865</v>
      </c>
      <c r="Y68" s="3"/>
      <c r="Z68" s="18"/>
      <c r="AA68" s="18"/>
      <c r="AB68" s="3">
        <f>IF(B68=1,'Input sheet(dashboard)'!$D$18*Calculations!X68,IF(Calculations!B68=12*'Input sheet(dashboard)'!$D$27,'Input sheet(dashboard)'!$D$18*-Calculations!X68,0))</f>
        <v>0</v>
      </c>
      <c r="AC68" s="3">
        <f>IF(B68&lt;='Input sheet(dashboard)'!$D$27*12,IF(MOD(B67,'Input sheet(dashboard)'!$D$19*12),0,'Input sheet(dashboard)'!$D$20*(1+'Input sheet(dashboard)'!$E$22)^Calculations!B68),0)</f>
        <v>0</v>
      </c>
      <c r="AD68" s="17">
        <f t="shared" ref="AD68:AD131" si="12">X68+Y68+AB68+AC68</f>
        <v>33604.171436881865</v>
      </c>
      <c r="AE68" s="17">
        <f>IF(B68&lt;='Input sheet(dashboard)'!$D$27*12,IF(D68=12,SUM(AD57:AD68),0),0)</f>
        <v>0</v>
      </c>
      <c r="AF68" s="17">
        <f t="shared" ref="AF68:AF131" si="13">S68-AD68</f>
        <v>23508.667279312445</v>
      </c>
      <c r="AG68" s="17">
        <f t="shared" ref="AG68:AG131" si="14">IF(AF68&gt;0,AF68,0)</f>
        <v>23508.667279312445</v>
      </c>
      <c r="AH68" s="3">
        <f>IF(B68&lt;='Input sheet(dashboard)'!$D$27*12,AH67*(1+'Input sheet(dashboard)'!$E$25)+AG68," ")</f>
        <v>3482394.8036421086</v>
      </c>
    </row>
    <row r="69" spans="2:34">
      <c r="B69">
        <f t="shared" si="9"/>
        <v>66</v>
      </c>
      <c r="C69">
        <f t="shared" si="7"/>
        <v>6</v>
      </c>
      <c r="D69">
        <f t="shared" si="8"/>
        <v>6</v>
      </c>
      <c r="E69" s="15">
        <f>IF(C69&lt;='Input sheet(dashboard)'!$D$6, -PMT('Input sheet(dashboard)'!$E$5,'Input sheet(dashboard)'!$D$6*12,'Input sheet(dashboard)'!$D$3*'Input sheet(dashboard)'!$D$4),0)</f>
        <v>39834.137922259193</v>
      </c>
      <c r="F69" s="3">
        <f>I68*'Input sheet(dashboard)'!$E$5</f>
        <v>26207.123125049358</v>
      </c>
      <c r="G69" s="3">
        <f>IF(C69&lt;='Input sheet(dashboard)'!$D$6,E69*'Input sheet(dashboard)'!$D$7,0)</f>
        <v>3186.7310337807357</v>
      </c>
      <c r="H69" s="3">
        <f t="shared" si="10"/>
        <v>13627.014797209835</v>
      </c>
      <c r="I69" s="3">
        <f t="shared" si="11"/>
        <v>7180620.5073697744</v>
      </c>
      <c r="J69" s="3">
        <f>IF(B69&lt;='Input sheet(dashboard)'!$D$27*12,'Input sheet(dashboard)'!$D$3*(1+'Input sheet(dashboard)'!$E$24)^B69,0)</f>
        <v>11598258.509480735</v>
      </c>
      <c r="K69" s="3">
        <f>IF(B69&lt;='Input sheet(dashboard)'!$D$27*12,J69*'Input sheet(dashboard)'!$E$8,0)</f>
        <v>12012.850028635987</v>
      </c>
      <c r="L69" s="3">
        <f>IF(B69&lt;='Input sheet(dashboard)'!$D$27*12,'Input sheet(dashboard)'!$D$9*(1+'Input sheet(dashboard)'!$E$22)^B69,0)</f>
        <v>3436.3905366257804</v>
      </c>
      <c r="M69" s="3">
        <f>IF(B69=1,'Input sheet(dashboard)'!$D$3*'Input sheet(dashboard)'!$D$10,0)</f>
        <v>0</v>
      </c>
      <c r="N69" s="3">
        <f>IF(B69='Input sheet(dashboard)'!$D$27*12,J69*'Input sheet(dashboard)'!$D$11,0)</f>
        <v>0</v>
      </c>
      <c r="O69" s="3">
        <f>IF(SUM(F69:F80)&gt;=150000,150000/12*'Input sheet(dashboard)'!$D$28,SUM(F69:F80)/12*'Input sheet(dashboard)'!$D$28)</f>
        <v>1875</v>
      </c>
      <c r="P69" s="3">
        <f t="shared" si="6"/>
        <v>0</v>
      </c>
      <c r="Q69" s="3">
        <f>IF(B69&lt;='Input sheet(dashboard)'!$D$27*12,'Input sheet(dashboard)'!$D$12/12,0)</f>
        <v>192.5</v>
      </c>
      <c r="R69" s="3">
        <f>IF(B69&lt;='Input sheet(dashboard)'!$D$27*12,('Input sheet(dashboard)'!$D$15/12)*(1+'Input sheet(dashboard)'!$E$22)^Calculations!B69,0)</f>
        <v>381.82117073619781</v>
      </c>
      <c r="S69" s="3">
        <f>IF(B69&lt;='Input sheet(dashboard)'!$D$27*12,(E69+G69+K69+L69-O69+M69+Q69+R69),0)</f>
        <v>57169.430692037895</v>
      </c>
      <c r="T69" s="3">
        <f>IF(B69&lt;='Input sheet(dashboard)'!$D$27*12,IF(D69=12,SUM(S58:S69),0),0)</f>
        <v>0</v>
      </c>
      <c r="U69" s="3">
        <f>IF(B69&lt;='Input sheet(dashboard)'!$D$27*12,IF(S69&lt;AD69,AD69-S69,0),0)</f>
        <v>0</v>
      </c>
      <c r="V69" s="3">
        <f>IF(B69&lt;='Input sheet(dashboard)'!$D$27*12,V68*(1+'Input sheet(dashboard)'!$E$25)+U69,0)</f>
        <v>0</v>
      </c>
      <c r="W69" s="17">
        <f>IF(B69&lt;='Input sheet(dashboard)'!$D$27*12,J69-I69+V69-N69,0)</f>
        <v>4417638.0021109609</v>
      </c>
      <c r="X69" s="3">
        <f>IF(B69&lt;='Input sheet(dashboard)'!$D$27*12,'Input sheet(dashboard)'!$D$17*(1+'Input sheet(dashboard)'!$E$23)^(B69-1),0)</f>
        <v>33741.078990962655</v>
      </c>
      <c r="Y69" s="3"/>
      <c r="Z69" s="18"/>
      <c r="AA69" s="18"/>
      <c r="AB69" s="3">
        <f>IF(B69=1,'Input sheet(dashboard)'!$D$18*Calculations!X69,IF(Calculations!B69=12*'Input sheet(dashboard)'!$D$27,'Input sheet(dashboard)'!$D$18*-Calculations!X69,0))</f>
        <v>0</v>
      </c>
      <c r="AC69" s="3">
        <f>IF(B69&lt;='Input sheet(dashboard)'!$D$27*12,IF(MOD(B68,'Input sheet(dashboard)'!$D$19*12),0,'Input sheet(dashboard)'!$D$20*(1+'Input sheet(dashboard)'!$E$22)^Calculations!B69),0)</f>
        <v>0</v>
      </c>
      <c r="AD69" s="17">
        <f t="shared" si="12"/>
        <v>33741.078990962655</v>
      </c>
      <c r="AE69" s="17">
        <f>IF(B69&lt;='Input sheet(dashboard)'!$D$27*12,IF(D69=12,SUM(AD58:AD69),0),0)</f>
        <v>0</v>
      </c>
      <c r="AF69" s="17">
        <f t="shared" si="13"/>
        <v>23428.35170107524</v>
      </c>
      <c r="AG69" s="17">
        <f t="shared" si="14"/>
        <v>23428.35170107524</v>
      </c>
      <c r="AH69" s="3">
        <f>IF(B69&lt;='Input sheet(dashboard)'!$D$27*12,AH68*(1+'Input sheet(dashboard)'!$E$25)+AG69," ")</f>
        <v>3528228.9883647365</v>
      </c>
    </row>
    <row r="70" spans="2:34">
      <c r="B70">
        <f t="shared" si="9"/>
        <v>67</v>
      </c>
      <c r="C70">
        <f t="shared" si="7"/>
        <v>6</v>
      </c>
      <c r="D70">
        <f t="shared" si="8"/>
        <v>7</v>
      </c>
      <c r="E70" s="15">
        <f>IF(C70&lt;='Input sheet(dashboard)'!$D$6, -PMT('Input sheet(dashboard)'!$E$5,'Input sheet(dashboard)'!$D$6*12,'Input sheet(dashboard)'!$D$3*'Input sheet(dashboard)'!$D$4),0)</f>
        <v>39834.137922259193</v>
      </c>
      <c r="F70" s="3">
        <f>I69*'Input sheet(dashboard)'!$E$5</f>
        <v>26157.482790390735</v>
      </c>
      <c r="G70" s="3">
        <f>IF(C70&lt;='Input sheet(dashboard)'!$D$6,E70*'Input sheet(dashboard)'!$D$7,0)</f>
        <v>3186.7310337807357</v>
      </c>
      <c r="H70" s="3">
        <f t="shared" si="10"/>
        <v>13676.655131868458</v>
      </c>
      <c r="I70" s="3">
        <f t="shared" si="11"/>
        <v>7166943.8522379063</v>
      </c>
      <c r="J70" s="3">
        <f>IF(B70&lt;='Input sheet(dashboard)'!$D$27*12,'Input sheet(dashboard)'!$D$3*(1+'Input sheet(dashboard)'!$E$24)^B70,0)</f>
        <v>11645511.250323111</v>
      </c>
      <c r="K70" s="3">
        <f>IF(B70&lt;='Input sheet(dashboard)'!$D$27*12,J70*'Input sheet(dashboard)'!$E$8,0)</f>
        <v>12061.79186664705</v>
      </c>
      <c r="L70" s="3">
        <f>IF(B70&lt;='Input sheet(dashboard)'!$D$27*12,'Input sheet(dashboard)'!$D$9*(1+'Input sheet(dashboard)'!$E$22)^B70,0)</f>
        <v>3443.4689384904668</v>
      </c>
      <c r="M70" s="3">
        <f>IF(B70=1,'Input sheet(dashboard)'!$D$3*'Input sheet(dashboard)'!$D$10,0)</f>
        <v>0</v>
      </c>
      <c r="N70" s="3">
        <f>IF(B70='Input sheet(dashboard)'!$D$27*12,J70*'Input sheet(dashboard)'!$D$11,0)</f>
        <v>0</v>
      </c>
      <c r="O70" s="3">
        <f>IF(SUM(F70:F81)&gt;=150000,150000/12*'Input sheet(dashboard)'!$D$28,SUM(F70:F81)/12*'Input sheet(dashboard)'!$D$28)</f>
        <v>1875</v>
      </c>
      <c r="P70" s="3">
        <f t="shared" si="6"/>
        <v>0</v>
      </c>
      <c r="Q70" s="3">
        <f>IF(B70&lt;='Input sheet(dashboard)'!$D$27*12,'Input sheet(dashboard)'!$D$12/12,0)</f>
        <v>192.5</v>
      </c>
      <c r="R70" s="3">
        <f>IF(B70&lt;='Input sheet(dashboard)'!$D$27*12,('Input sheet(dashboard)'!$D$15/12)*(1+'Input sheet(dashboard)'!$E$22)^Calculations!B70,0)</f>
        <v>382.60765983227407</v>
      </c>
      <c r="S70" s="3">
        <f>IF(B70&lt;='Input sheet(dashboard)'!$D$27*12,(E70+G70+K70+L70-O70+M70+Q70+R70),0)</f>
        <v>57226.237421009726</v>
      </c>
      <c r="T70" s="3">
        <f>IF(B70&lt;='Input sheet(dashboard)'!$D$27*12,IF(D70=12,SUM(S59:S70),0),0)</f>
        <v>0</v>
      </c>
      <c r="U70" s="3">
        <f>IF(B70&lt;='Input sheet(dashboard)'!$D$27*12,IF(S70&lt;AD70,AD70-S70,0),0)</f>
        <v>0</v>
      </c>
      <c r="V70" s="3">
        <f>IF(B70&lt;='Input sheet(dashboard)'!$D$27*12,V69*(1+'Input sheet(dashboard)'!$E$25)+U70,0)</f>
        <v>0</v>
      </c>
      <c r="W70" s="17">
        <f>IF(B70&lt;='Input sheet(dashboard)'!$D$27*12,J70-I70+V70-N70,0)</f>
        <v>4478567.3980852049</v>
      </c>
      <c r="X70" s="3">
        <f>IF(B70&lt;='Input sheet(dashboard)'!$D$27*12,'Input sheet(dashboard)'!$D$17*(1+'Input sheet(dashboard)'!$E$23)^(B70-1),0)</f>
        <v>33878.544323365706</v>
      </c>
      <c r="Y70" s="3"/>
      <c r="Z70" s="18"/>
      <c r="AA70" s="18"/>
      <c r="AB70" s="3">
        <f>IF(B70=1,'Input sheet(dashboard)'!$D$18*Calculations!X70,IF(Calculations!B70=12*'Input sheet(dashboard)'!$D$27,'Input sheet(dashboard)'!$D$18*-Calculations!X70,0))</f>
        <v>0</v>
      </c>
      <c r="AC70" s="3">
        <f>IF(B70&lt;='Input sheet(dashboard)'!$D$27*12,IF(MOD(B69,'Input sheet(dashboard)'!$D$19*12),0,'Input sheet(dashboard)'!$D$20*(1+'Input sheet(dashboard)'!$E$22)^Calculations!B70),0)</f>
        <v>0</v>
      </c>
      <c r="AD70" s="17">
        <f t="shared" si="12"/>
        <v>33878.544323365706</v>
      </c>
      <c r="AE70" s="17">
        <f>IF(B70&lt;='Input sheet(dashboard)'!$D$27*12,IF(D70=12,SUM(AD59:AD70),0),0)</f>
        <v>0</v>
      </c>
      <c r="AF70" s="17">
        <f t="shared" si="13"/>
        <v>23347.69309764402</v>
      </c>
      <c r="AG70" s="17">
        <f t="shared" si="14"/>
        <v>23347.69309764402</v>
      </c>
      <c r="AH70" s="3">
        <f>IF(B70&lt;='Input sheet(dashboard)'!$D$27*12,AH69*(1+'Input sheet(dashboard)'!$E$25)+AG70," ")</f>
        <v>3574277.4130085064</v>
      </c>
    </row>
    <row r="71" spans="2:34">
      <c r="B71">
        <f t="shared" si="9"/>
        <v>68</v>
      </c>
      <c r="C71">
        <f t="shared" si="7"/>
        <v>6</v>
      </c>
      <c r="D71">
        <f t="shared" si="8"/>
        <v>8</v>
      </c>
      <c r="E71" s="15">
        <f>IF(C71&lt;='Input sheet(dashboard)'!$D$6, -PMT('Input sheet(dashboard)'!$E$5,'Input sheet(dashboard)'!$D$6*12,'Input sheet(dashboard)'!$D$3*'Input sheet(dashboard)'!$D$4),0)</f>
        <v>39834.137922259193</v>
      </c>
      <c r="F71" s="3">
        <f>I70*'Input sheet(dashboard)'!$E$5</f>
        <v>26107.661626485082</v>
      </c>
      <c r="G71" s="3">
        <f>IF(C71&lt;='Input sheet(dashboard)'!$D$6,E71*'Input sheet(dashboard)'!$D$7,0)</f>
        <v>3186.7310337807357</v>
      </c>
      <c r="H71" s="3">
        <f t="shared" si="10"/>
        <v>13726.476295774111</v>
      </c>
      <c r="I71" s="3">
        <f t="shared" si="11"/>
        <v>7153217.3759421324</v>
      </c>
      <c r="J71" s="3">
        <f>IF(B71&lt;='Input sheet(dashboard)'!$D$27*12,'Input sheet(dashboard)'!$D$3*(1+'Input sheet(dashboard)'!$E$24)^B71,0)</f>
        <v>11692956.504680797</v>
      </c>
      <c r="K71" s="3">
        <f>IF(B71&lt;='Input sheet(dashboard)'!$D$27*12,J71*'Input sheet(dashboard)'!$E$8,0)</f>
        <v>12110.933099764374</v>
      </c>
      <c r="L71" s="3">
        <f>IF(B71&lt;='Input sheet(dashboard)'!$D$27*12,'Input sheet(dashboard)'!$D$9*(1+'Input sheet(dashboard)'!$E$22)^B71,0)</f>
        <v>3450.5619207040459</v>
      </c>
      <c r="M71" s="3">
        <f>IF(B71=1,'Input sheet(dashboard)'!$D$3*'Input sheet(dashboard)'!$D$10,0)</f>
        <v>0</v>
      </c>
      <c r="N71" s="3">
        <f>IF(B71='Input sheet(dashboard)'!$D$27*12,J71*'Input sheet(dashboard)'!$D$11,0)</f>
        <v>0</v>
      </c>
      <c r="O71" s="3">
        <f>IF(SUM(F71:F82)&gt;=150000,150000/12*'Input sheet(dashboard)'!$D$28,SUM(F71:F82)/12*'Input sheet(dashboard)'!$D$28)</f>
        <v>1875</v>
      </c>
      <c r="P71" s="3">
        <f t="shared" si="6"/>
        <v>0</v>
      </c>
      <c r="Q71" s="3">
        <f>IF(B71&lt;='Input sheet(dashboard)'!$D$27*12,'Input sheet(dashboard)'!$D$12/12,0)</f>
        <v>192.5</v>
      </c>
      <c r="R71" s="3">
        <f>IF(B71&lt;='Input sheet(dashboard)'!$D$27*12,('Input sheet(dashboard)'!$D$15/12)*(1+'Input sheet(dashboard)'!$E$22)^Calculations!B71,0)</f>
        <v>383.39576896711617</v>
      </c>
      <c r="S71" s="3">
        <f>IF(B71&lt;='Input sheet(dashboard)'!$D$27*12,(E71+G71+K71+L71-O71+M71+Q71+R71),0)</f>
        <v>57283.259745475465</v>
      </c>
      <c r="T71" s="3">
        <f>IF(B71&lt;='Input sheet(dashboard)'!$D$27*12,IF(D71=12,SUM(S60:S71),0),0)</f>
        <v>0</v>
      </c>
      <c r="U71" s="3">
        <f>IF(B71&lt;='Input sheet(dashboard)'!$D$27*12,IF(S71&lt;AD71,AD71-S71,0),0)</f>
        <v>0</v>
      </c>
      <c r="V71" s="3">
        <f>IF(B71&lt;='Input sheet(dashboard)'!$D$27*12,V70*(1+'Input sheet(dashboard)'!$E$25)+U71,0)</f>
        <v>0</v>
      </c>
      <c r="W71" s="17">
        <f>IF(B71&lt;='Input sheet(dashboard)'!$D$27*12,J71-I71+V71-N71,0)</f>
        <v>4539739.128738665</v>
      </c>
      <c r="X71" s="3">
        <f>IF(B71&lt;='Input sheet(dashboard)'!$D$27*12,'Input sheet(dashboard)'!$D$17*(1+'Input sheet(dashboard)'!$E$23)^(B71-1),0)</f>
        <v>34016.569706548915</v>
      </c>
      <c r="Y71" s="3"/>
      <c r="Z71" s="18"/>
      <c r="AA71" s="18"/>
      <c r="AB71" s="3">
        <f>IF(B71=1,'Input sheet(dashboard)'!$D$18*Calculations!X71,IF(Calculations!B71=12*'Input sheet(dashboard)'!$D$27,'Input sheet(dashboard)'!$D$18*-Calculations!X71,0))</f>
        <v>0</v>
      </c>
      <c r="AC71" s="3">
        <f>IF(B71&lt;='Input sheet(dashboard)'!$D$27*12,IF(MOD(B70,'Input sheet(dashboard)'!$D$19*12),0,'Input sheet(dashboard)'!$D$20*(1+'Input sheet(dashboard)'!$E$22)^Calculations!B71),0)</f>
        <v>0</v>
      </c>
      <c r="AD71" s="17">
        <f t="shared" si="12"/>
        <v>34016.569706548915</v>
      </c>
      <c r="AE71" s="17">
        <f>IF(B71&lt;='Input sheet(dashboard)'!$D$27*12,IF(D71=12,SUM(AD60:AD71),0),0)</f>
        <v>0</v>
      </c>
      <c r="AF71" s="17">
        <f t="shared" si="13"/>
        <v>23266.69003892655</v>
      </c>
      <c r="AG71" s="17">
        <f t="shared" si="14"/>
        <v>23266.69003892655</v>
      </c>
      <c r="AH71" s="3">
        <f>IF(B71&lt;='Input sheet(dashboard)'!$D$27*12,AH70*(1+'Input sheet(dashboard)'!$E$25)+AG71," ")</f>
        <v>3620541.1115442347</v>
      </c>
    </row>
    <row r="72" spans="2:34">
      <c r="B72">
        <f t="shared" si="9"/>
        <v>69</v>
      </c>
      <c r="C72">
        <f t="shared" si="7"/>
        <v>6</v>
      </c>
      <c r="D72">
        <f t="shared" si="8"/>
        <v>9</v>
      </c>
      <c r="E72" s="15">
        <f>IF(C72&lt;='Input sheet(dashboard)'!$D$6, -PMT('Input sheet(dashboard)'!$E$5,'Input sheet(dashboard)'!$D$6*12,'Input sheet(dashboard)'!$D$3*'Input sheet(dashboard)'!$D$4),0)</f>
        <v>39834.137922259193</v>
      </c>
      <c r="F72" s="3">
        <f>I71*'Input sheet(dashboard)'!$E$5</f>
        <v>26057.658974609676</v>
      </c>
      <c r="G72" s="3">
        <f>IF(C72&lt;='Input sheet(dashboard)'!$D$6,E72*'Input sheet(dashboard)'!$D$7,0)</f>
        <v>3186.7310337807357</v>
      </c>
      <c r="H72" s="3">
        <f t="shared" si="10"/>
        <v>13776.478947649517</v>
      </c>
      <c r="I72" s="3">
        <f t="shared" si="11"/>
        <v>7139440.8969944827</v>
      </c>
      <c r="J72" s="3">
        <f>IF(B72&lt;='Input sheet(dashboard)'!$D$27*12,'Input sheet(dashboard)'!$D$3*(1+'Input sheet(dashboard)'!$E$24)^B72,0)</f>
        <v>11740595.056877684</v>
      </c>
      <c r="K72" s="3">
        <f>IF(B72&lt;='Input sheet(dashboard)'!$D$27*12,J72*'Input sheet(dashboard)'!$E$8,0)</f>
        <v>12160.274540348299</v>
      </c>
      <c r="L72" s="3">
        <f>IF(B72&lt;='Input sheet(dashboard)'!$D$27*12,'Input sheet(dashboard)'!$D$9*(1+'Input sheet(dashboard)'!$E$22)^B72,0)</f>
        <v>3457.6695132996501</v>
      </c>
      <c r="M72" s="3">
        <f>IF(B72=1,'Input sheet(dashboard)'!$D$3*'Input sheet(dashboard)'!$D$10,0)</f>
        <v>0</v>
      </c>
      <c r="N72" s="3">
        <f>IF(B72='Input sheet(dashboard)'!$D$27*12,J72*'Input sheet(dashboard)'!$D$11,0)</f>
        <v>0</v>
      </c>
      <c r="O72" s="3">
        <f>IF(SUM(F72:F83)&gt;=150000,150000/12*'Input sheet(dashboard)'!$D$28,SUM(F72:F83)/12*'Input sheet(dashboard)'!$D$28)</f>
        <v>1875</v>
      </c>
      <c r="P72" s="3">
        <f t="shared" si="6"/>
        <v>0</v>
      </c>
      <c r="Q72" s="3">
        <f>IF(B72&lt;='Input sheet(dashboard)'!$D$27*12,'Input sheet(dashboard)'!$D$12/12,0)</f>
        <v>192.5</v>
      </c>
      <c r="R72" s="3">
        <f>IF(B72&lt;='Input sheet(dashboard)'!$D$27*12,('Input sheet(dashboard)'!$D$15/12)*(1+'Input sheet(dashboard)'!$E$22)^Calculations!B72,0)</f>
        <v>384.18550147773885</v>
      </c>
      <c r="S72" s="3">
        <f>IF(B72&lt;='Input sheet(dashboard)'!$D$27*12,(E72+G72+K72+L72-O72+M72+Q72+R72),0)</f>
        <v>57340.498511165613</v>
      </c>
      <c r="T72" s="3">
        <f>IF(B72&lt;='Input sheet(dashboard)'!$D$27*12,IF(D72=12,SUM(S61:S72),0),0)</f>
        <v>0</v>
      </c>
      <c r="U72" s="3">
        <f>IF(B72&lt;='Input sheet(dashboard)'!$D$27*12,IF(S72&lt;AD72,AD72-S72,0),0)</f>
        <v>0</v>
      </c>
      <c r="V72" s="3">
        <f>IF(B72&lt;='Input sheet(dashboard)'!$D$27*12,V71*(1+'Input sheet(dashboard)'!$E$25)+U72,0)</f>
        <v>0</v>
      </c>
      <c r="W72" s="17">
        <f>IF(B72&lt;='Input sheet(dashboard)'!$D$27*12,J72-I72+V72-N72,0)</f>
        <v>4601154.1598832011</v>
      </c>
      <c r="X72" s="3">
        <f>IF(B72&lt;='Input sheet(dashboard)'!$D$27*12,'Input sheet(dashboard)'!$D$17*(1+'Input sheet(dashboard)'!$E$23)^(B72-1),0)</f>
        <v>34155.157422228498</v>
      </c>
      <c r="Y72" s="3"/>
      <c r="Z72" s="18"/>
      <c r="AA72" s="18"/>
      <c r="AB72" s="3">
        <f>IF(B72=1,'Input sheet(dashboard)'!$D$18*Calculations!X72,IF(Calculations!B72=12*'Input sheet(dashboard)'!$D$27,'Input sheet(dashboard)'!$D$18*-Calculations!X72,0))</f>
        <v>0</v>
      </c>
      <c r="AC72" s="3">
        <f>IF(B72&lt;='Input sheet(dashboard)'!$D$27*12,IF(MOD(B71,'Input sheet(dashboard)'!$D$19*12),0,'Input sheet(dashboard)'!$D$20*(1+'Input sheet(dashboard)'!$E$22)^Calculations!B72),0)</f>
        <v>0</v>
      </c>
      <c r="AD72" s="17">
        <f t="shared" si="12"/>
        <v>34155.157422228498</v>
      </c>
      <c r="AE72" s="17">
        <f>IF(B72&lt;='Input sheet(dashboard)'!$D$27*12,IF(D72=12,SUM(AD61:AD72),0),0)</f>
        <v>0</v>
      </c>
      <c r="AF72" s="17">
        <f t="shared" si="13"/>
        <v>23185.341088937115</v>
      </c>
      <c r="AG72" s="17">
        <f t="shared" si="14"/>
        <v>23185.341088937115</v>
      </c>
      <c r="AH72" s="3">
        <f>IF(B72&lt;='Input sheet(dashboard)'!$D$27*12,AH71*(1+'Input sheet(dashboard)'!$E$25)+AG72," ")</f>
        <v>3667021.1231593527</v>
      </c>
    </row>
    <row r="73" spans="2:34">
      <c r="B73">
        <f t="shared" si="9"/>
        <v>70</v>
      </c>
      <c r="C73">
        <f t="shared" si="7"/>
        <v>6</v>
      </c>
      <c r="D73">
        <f t="shared" si="8"/>
        <v>10</v>
      </c>
      <c r="E73" s="15">
        <f>IF(C73&lt;='Input sheet(dashboard)'!$D$6, -PMT('Input sheet(dashboard)'!$E$5,'Input sheet(dashboard)'!$D$6*12,'Input sheet(dashboard)'!$D$3*'Input sheet(dashboard)'!$D$4),0)</f>
        <v>39834.137922259193</v>
      </c>
      <c r="F73" s="3">
        <f>I72*'Input sheet(dashboard)'!$E$5</f>
        <v>26007.4741736422</v>
      </c>
      <c r="G73" s="3">
        <f>IF(C73&lt;='Input sheet(dashboard)'!$D$6,E73*'Input sheet(dashboard)'!$D$7,0)</f>
        <v>3186.7310337807357</v>
      </c>
      <c r="H73" s="3">
        <f t="shared" si="10"/>
        <v>13826.663748616993</v>
      </c>
      <c r="I73" s="3">
        <f t="shared" si="11"/>
        <v>7125614.2332458654</v>
      </c>
      <c r="J73" s="3">
        <f>IF(B73&lt;='Input sheet(dashboard)'!$D$27*12,'Input sheet(dashboard)'!$D$3*(1+'Input sheet(dashboard)'!$E$24)^B73,0)</f>
        <v>11788427.694433095</v>
      </c>
      <c r="K73" s="3">
        <f>IF(B73&lt;='Input sheet(dashboard)'!$D$27*12,J73*'Input sheet(dashboard)'!$E$8,0)</f>
        <v>12209.817004068827</v>
      </c>
      <c r="L73" s="3">
        <f>IF(B73&lt;='Input sheet(dashboard)'!$D$27*12,'Input sheet(dashboard)'!$D$9*(1+'Input sheet(dashboard)'!$E$22)^B73,0)</f>
        <v>3464.7917463722742</v>
      </c>
      <c r="M73" s="3">
        <f>IF(B73=1,'Input sheet(dashboard)'!$D$3*'Input sheet(dashboard)'!$D$10,0)</f>
        <v>0</v>
      </c>
      <c r="N73" s="3">
        <f>IF(B73='Input sheet(dashboard)'!$D$27*12,J73*'Input sheet(dashboard)'!$D$11,0)</f>
        <v>0</v>
      </c>
      <c r="O73" s="3">
        <f>IF(SUM(F73:F84)&gt;=150000,150000/12*'Input sheet(dashboard)'!$D$28,SUM(F73:F84)/12*'Input sheet(dashboard)'!$D$28)</f>
        <v>1875</v>
      </c>
      <c r="P73" s="3">
        <f t="shared" si="6"/>
        <v>0</v>
      </c>
      <c r="Q73" s="3">
        <f>IF(B73&lt;='Input sheet(dashboard)'!$D$27*12,'Input sheet(dashboard)'!$D$12/12,0)</f>
        <v>192.5</v>
      </c>
      <c r="R73" s="3">
        <f>IF(B73&lt;='Input sheet(dashboard)'!$D$27*12,('Input sheet(dashboard)'!$D$15/12)*(1+'Input sheet(dashboard)'!$E$22)^Calculations!B73,0)</f>
        <v>384.97686070803042</v>
      </c>
      <c r="S73" s="3">
        <f>IF(B73&lt;='Input sheet(dashboard)'!$D$27*12,(E73+G73+K73+L73-O73+M73+Q73+R73),0)</f>
        <v>57397.954567189066</v>
      </c>
      <c r="T73" s="3">
        <f>IF(B73&lt;='Input sheet(dashboard)'!$D$27*12,IF(D73=12,SUM(S62:S73),0),0)</f>
        <v>0</v>
      </c>
      <c r="U73" s="3">
        <f>IF(B73&lt;='Input sheet(dashboard)'!$D$27*12,IF(S73&lt;AD73,AD73-S73,0),0)</f>
        <v>0</v>
      </c>
      <c r="V73" s="3">
        <f>IF(B73&lt;='Input sheet(dashboard)'!$D$27*12,V72*(1+'Input sheet(dashboard)'!$E$25)+U73,0)</f>
        <v>0</v>
      </c>
      <c r="W73" s="17">
        <f>IF(B73&lt;='Input sheet(dashboard)'!$D$27*12,J73-I73+V73-N73,0)</f>
        <v>4662813.4611872295</v>
      </c>
      <c r="X73" s="3">
        <f>IF(B73&lt;='Input sheet(dashboard)'!$D$27*12,'Input sheet(dashboard)'!$D$17*(1+'Input sheet(dashboard)'!$E$23)^(B73-1),0)</f>
        <v>34294.309761416647</v>
      </c>
      <c r="Y73" s="3"/>
      <c r="Z73" s="18"/>
      <c r="AA73" s="18"/>
      <c r="AB73" s="3">
        <f>IF(B73=1,'Input sheet(dashboard)'!$D$18*Calculations!X73,IF(Calculations!B73=12*'Input sheet(dashboard)'!$D$27,'Input sheet(dashboard)'!$D$18*-Calculations!X73,0))</f>
        <v>0</v>
      </c>
      <c r="AC73" s="3">
        <f>IF(B73&lt;='Input sheet(dashboard)'!$D$27*12,IF(MOD(B72,'Input sheet(dashboard)'!$D$19*12),0,'Input sheet(dashboard)'!$D$20*(1+'Input sheet(dashboard)'!$E$22)^Calculations!B73),0)</f>
        <v>0</v>
      </c>
      <c r="AD73" s="17">
        <f t="shared" si="12"/>
        <v>34294.309761416647</v>
      </c>
      <c r="AE73" s="17">
        <f>IF(B73&lt;='Input sheet(dashboard)'!$D$27*12,IF(D73=12,SUM(AD62:AD73),0),0)</f>
        <v>0</v>
      </c>
      <c r="AF73" s="17">
        <f t="shared" si="13"/>
        <v>23103.644805772419</v>
      </c>
      <c r="AG73" s="17">
        <f t="shared" si="14"/>
        <v>23103.644805772419</v>
      </c>
      <c r="AH73" s="3">
        <f>IF(B73&lt;='Input sheet(dashboard)'!$D$27*12,AH72*(1+'Input sheet(dashboard)'!$E$25)+AG73," ")</f>
        <v>3713718.4922855506</v>
      </c>
    </row>
    <row r="74" spans="2:34">
      <c r="B74">
        <f t="shared" si="9"/>
        <v>71</v>
      </c>
      <c r="C74">
        <f t="shared" si="7"/>
        <v>6</v>
      </c>
      <c r="D74">
        <f t="shared" si="8"/>
        <v>11</v>
      </c>
      <c r="E74" s="15">
        <f>IF(C74&lt;='Input sheet(dashboard)'!$D$6, -PMT('Input sheet(dashboard)'!$E$5,'Input sheet(dashboard)'!$D$6*12,'Input sheet(dashboard)'!$D$3*'Input sheet(dashboard)'!$D$4),0)</f>
        <v>39834.137922259193</v>
      </c>
      <c r="F74" s="3">
        <f>I73*'Input sheet(dashboard)'!$E$5</f>
        <v>25957.106560052012</v>
      </c>
      <c r="G74" s="3">
        <f>IF(C74&lt;='Input sheet(dashboard)'!$D$6,E74*'Input sheet(dashboard)'!$D$7,0)</f>
        <v>3186.7310337807357</v>
      </c>
      <c r="H74" s="3">
        <f t="shared" si="10"/>
        <v>13877.031362207181</v>
      </c>
      <c r="I74" s="3">
        <f t="shared" si="11"/>
        <v>7111737.2018836578</v>
      </c>
      <c r="J74" s="3">
        <f>IF(B74&lt;='Input sheet(dashboard)'!$D$27*12,'Input sheet(dashboard)'!$D$3*(1+'Input sheet(dashboard)'!$E$24)^B74,0)</f>
        <v>11836455.208074803</v>
      </c>
      <c r="K74" s="3">
        <f>IF(B74&lt;='Input sheet(dashboard)'!$D$27*12,J74*'Input sheet(dashboard)'!$E$8,0)</f>
        <v>12259.561309919098</v>
      </c>
      <c r="L74" s="3">
        <f>IF(B74&lt;='Input sheet(dashboard)'!$D$27*12,'Input sheet(dashboard)'!$D$9*(1+'Input sheet(dashboard)'!$E$22)^B74,0)</f>
        <v>3471.928650078904</v>
      </c>
      <c r="M74" s="3">
        <f>IF(B74=1,'Input sheet(dashboard)'!$D$3*'Input sheet(dashboard)'!$D$10,0)</f>
        <v>0</v>
      </c>
      <c r="N74" s="3">
        <f>IF(B74='Input sheet(dashboard)'!$D$27*12,J74*'Input sheet(dashboard)'!$D$11,0)</f>
        <v>0</v>
      </c>
      <c r="O74" s="3">
        <f>IF(SUM(F74:F85)&gt;=150000,150000/12*'Input sheet(dashboard)'!$D$28,SUM(F74:F85)/12*'Input sheet(dashboard)'!$D$28)</f>
        <v>1875</v>
      </c>
      <c r="P74" s="3">
        <f t="shared" si="6"/>
        <v>0</v>
      </c>
      <c r="Q74" s="3">
        <f>IF(B74&lt;='Input sheet(dashboard)'!$D$27*12,'Input sheet(dashboard)'!$D$12/12,0)</f>
        <v>192.5</v>
      </c>
      <c r="R74" s="3">
        <f>IF(B74&lt;='Input sheet(dashboard)'!$D$27*12,('Input sheet(dashboard)'!$D$15/12)*(1+'Input sheet(dashboard)'!$E$22)^Calculations!B74,0)</f>
        <v>385.76985000876709</v>
      </c>
      <c r="S74" s="3">
        <f>IF(B74&lt;='Input sheet(dashboard)'!$D$27*12,(E74+G74+K74+L74-O74+M74+Q74+R74),0)</f>
        <v>57455.628766046691</v>
      </c>
      <c r="T74" s="3">
        <f>IF(B74&lt;='Input sheet(dashboard)'!$D$27*12,IF(D74=12,SUM(S63:S74),0),0)</f>
        <v>0</v>
      </c>
      <c r="U74" s="3">
        <f>IF(B74&lt;='Input sheet(dashboard)'!$D$27*12,IF(S74&lt;AD74,AD74-S74,0),0)</f>
        <v>0</v>
      </c>
      <c r="V74" s="3">
        <f>IF(B74&lt;='Input sheet(dashboard)'!$D$27*12,V73*(1+'Input sheet(dashboard)'!$E$25)+U74,0)</f>
        <v>0</v>
      </c>
      <c r="W74" s="17">
        <f>IF(B74&lt;='Input sheet(dashboard)'!$D$27*12,J74-I74+V74-N74,0)</f>
        <v>4724718.0061911447</v>
      </c>
      <c r="X74" s="3">
        <f>IF(B74&lt;='Input sheet(dashboard)'!$D$27*12,'Input sheet(dashboard)'!$D$17*(1+'Input sheet(dashboard)'!$E$23)^(B74-1),0)</f>
        <v>34434.029024459443</v>
      </c>
      <c r="Y74" s="3"/>
      <c r="Z74" s="18"/>
      <c r="AA74" s="18"/>
      <c r="AB74" s="3">
        <f>IF(B74=1,'Input sheet(dashboard)'!$D$18*Calculations!X74,IF(Calculations!B74=12*'Input sheet(dashboard)'!$D$27,'Input sheet(dashboard)'!$D$18*-Calculations!X74,0))</f>
        <v>0</v>
      </c>
      <c r="AC74" s="3">
        <f>IF(B74&lt;='Input sheet(dashboard)'!$D$27*12,IF(MOD(B73,'Input sheet(dashboard)'!$D$19*12),0,'Input sheet(dashboard)'!$D$20*(1+'Input sheet(dashboard)'!$E$22)^Calculations!B74),0)</f>
        <v>0</v>
      </c>
      <c r="AD74" s="17">
        <f t="shared" si="12"/>
        <v>34434.029024459443</v>
      </c>
      <c r="AE74" s="17">
        <f>IF(B74&lt;='Input sheet(dashboard)'!$D$27*12,IF(D74=12,SUM(AD63:AD74),0),0)</f>
        <v>0</v>
      </c>
      <c r="AF74" s="17">
        <f t="shared" si="13"/>
        <v>23021.599741587248</v>
      </c>
      <c r="AG74" s="17">
        <f t="shared" si="14"/>
        <v>23021.599741587248</v>
      </c>
      <c r="AH74" s="3">
        <f>IF(B74&lt;='Input sheet(dashboard)'!$D$27*12,AH73*(1+'Input sheet(dashboard)'!$E$25)+AG74," ")</f>
        <v>3760634.2686265795</v>
      </c>
    </row>
    <row r="75" spans="2:34">
      <c r="B75">
        <f t="shared" si="9"/>
        <v>72</v>
      </c>
      <c r="C75">
        <f t="shared" si="7"/>
        <v>6</v>
      </c>
      <c r="D75">
        <f t="shared" si="8"/>
        <v>12</v>
      </c>
      <c r="E75" s="15">
        <f>IF(C75&lt;='Input sheet(dashboard)'!$D$6, -PMT('Input sheet(dashboard)'!$E$5,'Input sheet(dashboard)'!$D$6*12,'Input sheet(dashboard)'!$D$3*'Input sheet(dashboard)'!$D$4),0)</f>
        <v>39834.137922259193</v>
      </c>
      <c r="F75" s="3">
        <f>I74*'Input sheet(dashboard)'!$E$5</f>
        <v>25906.555467891369</v>
      </c>
      <c r="G75" s="3">
        <f>IF(C75&lt;='Input sheet(dashboard)'!$D$6,E75*'Input sheet(dashboard)'!$D$7,0)</f>
        <v>3186.7310337807357</v>
      </c>
      <c r="H75" s="3">
        <f t="shared" si="10"/>
        <v>13927.582454367825</v>
      </c>
      <c r="I75" s="3">
        <f t="shared" si="11"/>
        <v>7097809.6194292903</v>
      </c>
      <c r="J75" s="3">
        <f>IF(B75&lt;='Input sheet(dashboard)'!$D$27*12,'Input sheet(dashboard)'!$D$3*(1+'Input sheet(dashboard)'!$E$24)^B75,0)</f>
        <v>11884678.391752109</v>
      </c>
      <c r="K75" s="3">
        <f>IF(B75&lt;='Input sheet(dashboard)'!$D$27*12,J75*'Input sheet(dashboard)'!$E$8,0)</f>
        <v>12309.508280228934</v>
      </c>
      <c r="L75" s="3">
        <f>IF(B75&lt;='Input sheet(dashboard)'!$D$27*12,'Input sheet(dashboard)'!$D$9*(1+'Input sheet(dashboard)'!$E$22)^B75,0)</f>
        <v>3479.0802546386426</v>
      </c>
      <c r="M75" s="3">
        <f>IF(B75=1,'Input sheet(dashboard)'!$D$3*'Input sheet(dashboard)'!$D$10,0)</f>
        <v>0</v>
      </c>
      <c r="N75" s="3">
        <f>IF(B75='Input sheet(dashboard)'!$D$27*12,J75*'Input sheet(dashboard)'!$D$11,0)</f>
        <v>0</v>
      </c>
      <c r="O75" s="3">
        <f>IF(SUM(F75:F86)&gt;=150000,150000/12*'Input sheet(dashboard)'!$D$28,SUM(F75:F86)/12*'Input sheet(dashboard)'!$D$28)</f>
        <v>1875</v>
      </c>
      <c r="P75" s="3">
        <f t="shared" si="6"/>
        <v>22500</v>
      </c>
      <c r="Q75" s="3">
        <f>IF(B75&lt;='Input sheet(dashboard)'!$D$27*12,'Input sheet(dashboard)'!$D$12/12,0)</f>
        <v>192.5</v>
      </c>
      <c r="R75" s="3">
        <f>IF(B75&lt;='Input sheet(dashboard)'!$D$27*12,('Input sheet(dashboard)'!$D$15/12)*(1+'Input sheet(dashboard)'!$E$22)^Calculations!B75,0)</f>
        <v>386.56447273762694</v>
      </c>
      <c r="S75" s="3">
        <f>IF(B75&lt;='Input sheet(dashboard)'!$D$27*12,(E75+G75+K75+L75-O75+M75+Q75+R75),0)</f>
        <v>57513.521963645129</v>
      </c>
      <c r="T75" s="3">
        <f>IF(B75&lt;='Input sheet(dashboard)'!$D$27*12,IF(D75=12,SUM(S64:S75),0),0)</f>
        <v>686389.07125616877</v>
      </c>
      <c r="U75" s="3">
        <f>IF(B75&lt;='Input sheet(dashboard)'!$D$27*12,IF(S75&lt;AD75,AD75-S75,0),0)</f>
        <v>0</v>
      </c>
      <c r="V75" s="3">
        <f>IF(B75&lt;='Input sheet(dashboard)'!$D$27*12,V74*(1+'Input sheet(dashboard)'!$E$25)+U75,0)</f>
        <v>0</v>
      </c>
      <c r="W75" s="17">
        <f>IF(B75&lt;='Input sheet(dashboard)'!$D$27*12,J75-I75+V75-N75,0)</f>
        <v>4786868.7723228186</v>
      </c>
      <c r="X75" s="3">
        <f>IF(B75&lt;='Input sheet(dashboard)'!$D$27*12,'Input sheet(dashboard)'!$D$17*(1+'Input sheet(dashboard)'!$E$23)^(B75-1),0)</f>
        <v>34574.31752107483</v>
      </c>
      <c r="Y75" s="3"/>
      <c r="Z75" s="18"/>
      <c r="AA75" s="18"/>
      <c r="AB75" s="3">
        <f>IF(B75=1,'Input sheet(dashboard)'!$D$18*Calculations!X75,IF(Calculations!B75=12*'Input sheet(dashboard)'!$D$27,'Input sheet(dashboard)'!$D$18*-Calculations!X75,0))</f>
        <v>0</v>
      </c>
      <c r="AC75" s="3">
        <f>IF(B75&lt;='Input sheet(dashboard)'!$D$27*12,IF(MOD(B74,'Input sheet(dashboard)'!$D$19*12),0,'Input sheet(dashboard)'!$D$20*(1+'Input sheet(dashboard)'!$E$22)^Calculations!B75),0)</f>
        <v>0</v>
      </c>
      <c r="AD75" s="17">
        <f t="shared" si="12"/>
        <v>34574.31752107483</v>
      </c>
      <c r="AE75" s="17">
        <f>IF(B75&lt;='Input sheet(dashboard)'!$D$27*12,IF(D75=12,SUM(AD64:AD75),0),0)</f>
        <v>405756.86493938859</v>
      </c>
      <c r="AF75" s="17">
        <f t="shared" si="13"/>
        <v>22939.204442570299</v>
      </c>
      <c r="AG75" s="17">
        <f t="shared" si="14"/>
        <v>22939.204442570299</v>
      </c>
      <c r="AH75" s="3">
        <f>IF(B75&lt;='Input sheet(dashboard)'!$D$27*12,AH74*(1+'Input sheet(dashboard)'!$E$25)+AG75," ")</f>
        <v>3807769.5071862042</v>
      </c>
    </row>
    <row r="76" spans="2:34">
      <c r="B76">
        <f t="shared" si="9"/>
        <v>73</v>
      </c>
      <c r="C76">
        <f t="shared" si="7"/>
        <v>7</v>
      </c>
      <c r="D76">
        <f t="shared" si="8"/>
        <v>1</v>
      </c>
      <c r="E76" s="15">
        <f>IF(C76&lt;='Input sheet(dashboard)'!$D$6, -PMT('Input sheet(dashboard)'!$E$5,'Input sheet(dashboard)'!$D$6*12,'Input sheet(dashboard)'!$D$3*'Input sheet(dashboard)'!$D$4),0)</f>
        <v>39834.137922259193</v>
      </c>
      <c r="F76" s="3">
        <f>I75*'Input sheet(dashboard)'!$E$5</f>
        <v>25855.820228786622</v>
      </c>
      <c r="G76" s="3">
        <f>IF(C76&lt;='Input sheet(dashboard)'!$D$6,E76*'Input sheet(dashboard)'!$D$7,0)</f>
        <v>3186.7310337807357</v>
      </c>
      <c r="H76" s="3">
        <f t="shared" si="10"/>
        <v>13978.317693472571</v>
      </c>
      <c r="I76" s="3">
        <f t="shared" si="11"/>
        <v>7083831.3017358175</v>
      </c>
      <c r="J76" s="3">
        <f>IF(B76&lt;='Input sheet(dashboard)'!$D$27*12,'Input sheet(dashboard)'!$D$3*(1+'Input sheet(dashboard)'!$E$24)^B76,0)</f>
        <v>11933098.042648962</v>
      </c>
      <c r="K76" s="3">
        <f>IF(B76&lt;='Input sheet(dashboard)'!$D$27*12,J76*'Input sheet(dashboard)'!$E$8,0)</f>
        <v>12359.658740678435</v>
      </c>
      <c r="L76" s="3">
        <f>IF(B76&lt;='Input sheet(dashboard)'!$D$27*12,'Input sheet(dashboard)'!$D$9*(1+'Input sheet(dashboard)'!$E$22)^B76,0)</f>
        <v>3486.2465903328407</v>
      </c>
      <c r="M76" s="3">
        <f>IF(B76=1,'Input sheet(dashboard)'!$D$3*'Input sheet(dashboard)'!$D$10,0)</f>
        <v>0</v>
      </c>
      <c r="N76" s="3">
        <f>IF(B76='Input sheet(dashboard)'!$D$27*12,J76*'Input sheet(dashboard)'!$D$11,0)</f>
        <v>0</v>
      </c>
      <c r="O76" s="3">
        <f>IF(SUM(F76:F87)&gt;=150000,150000/12*'Input sheet(dashboard)'!$D$28,SUM(F76:F87)/12*'Input sheet(dashboard)'!$D$28)</f>
        <v>1875</v>
      </c>
      <c r="P76" s="3">
        <f t="shared" si="6"/>
        <v>0</v>
      </c>
      <c r="Q76" s="3">
        <f>IF(B76&lt;='Input sheet(dashboard)'!$D$27*12,'Input sheet(dashboard)'!$D$12/12,0)</f>
        <v>192.5</v>
      </c>
      <c r="R76" s="3">
        <f>IF(B76&lt;='Input sheet(dashboard)'!$D$27*12,('Input sheet(dashboard)'!$D$15/12)*(1+'Input sheet(dashboard)'!$E$22)^Calculations!B76,0)</f>
        <v>387.3607322592045</v>
      </c>
      <c r="S76" s="3">
        <f>IF(B76&lt;='Input sheet(dashboard)'!$D$27*12,(E76+G76+K76+L76-O76+M76+Q76+R76),0)</f>
        <v>57571.635019310408</v>
      </c>
      <c r="T76" s="3">
        <f>IF(B76&lt;='Input sheet(dashboard)'!$D$27*12,IF(D76=12,SUM(S65:S76),0),0)</f>
        <v>0</v>
      </c>
      <c r="U76" s="3">
        <f>IF(B76&lt;='Input sheet(dashboard)'!$D$27*12,IF(S76&lt;AD76,AD76-S76,0),0)</f>
        <v>0</v>
      </c>
      <c r="V76" s="3">
        <f>IF(B76&lt;='Input sheet(dashboard)'!$D$27*12,V75*(1+'Input sheet(dashboard)'!$E$25)+U76,0)</f>
        <v>0</v>
      </c>
      <c r="W76" s="17">
        <f>IF(B76&lt;='Input sheet(dashboard)'!$D$27*12,J76-I76+V76-N76,0)</f>
        <v>4849266.7409131443</v>
      </c>
      <c r="X76" s="3">
        <f>IF(B76&lt;='Input sheet(dashboard)'!$D$27*12,'Input sheet(dashboard)'!$D$17*(1+'Input sheet(dashboard)'!$E$23)^(B76-1),0)</f>
        <v>34715.177570390857</v>
      </c>
      <c r="Y76" s="3"/>
      <c r="Z76" s="18"/>
      <c r="AA76" s="18"/>
      <c r="AB76" s="3">
        <f>IF(B76=1,'Input sheet(dashboard)'!$D$18*Calculations!X76,IF(Calculations!B76=12*'Input sheet(dashboard)'!$D$27,'Input sheet(dashboard)'!$D$18*-Calculations!X76,0))</f>
        <v>0</v>
      </c>
      <c r="AC76" s="3">
        <f>IF(B76&lt;='Input sheet(dashboard)'!$D$27*12,IF(MOD(B75,'Input sheet(dashboard)'!$D$19*12),0,'Input sheet(dashboard)'!$D$20*(1+'Input sheet(dashboard)'!$E$22)^Calculations!B76),0)</f>
        <v>0</v>
      </c>
      <c r="AD76" s="17">
        <f t="shared" si="12"/>
        <v>34715.177570390857</v>
      </c>
      <c r="AE76" s="17">
        <f>IF(B76&lt;='Input sheet(dashboard)'!$D$27*12,IF(D76=12,SUM(AD65:AD76),0),0)</f>
        <v>0</v>
      </c>
      <c r="AF76" s="17">
        <f t="shared" si="13"/>
        <v>22856.457448919551</v>
      </c>
      <c r="AG76" s="17">
        <f t="shared" si="14"/>
        <v>22856.457448919551</v>
      </c>
      <c r="AH76" s="3">
        <f>IF(B76&lt;='Input sheet(dashboard)'!$D$27*12,AH75*(1+'Input sheet(dashboard)'!$E$25)+AG76," ")</f>
        <v>3855125.268296313</v>
      </c>
    </row>
    <row r="77" spans="2:34">
      <c r="B77">
        <f t="shared" si="9"/>
        <v>74</v>
      </c>
      <c r="C77">
        <f t="shared" si="7"/>
        <v>7</v>
      </c>
      <c r="D77">
        <f t="shared" si="8"/>
        <v>2</v>
      </c>
      <c r="E77" s="15">
        <f>IF(C77&lt;='Input sheet(dashboard)'!$D$6, -PMT('Input sheet(dashboard)'!$E$5,'Input sheet(dashboard)'!$D$6*12,'Input sheet(dashboard)'!$D$3*'Input sheet(dashboard)'!$D$4),0)</f>
        <v>39834.137922259193</v>
      </c>
      <c r="F77" s="3">
        <f>I76*'Input sheet(dashboard)'!$E$5</f>
        <v>25804.900171929366</v>
      </c>
      <c r="G77" s="3">
        <f>IF(C77&lt;='Input sheet(dashboard)'!$D$6,E77*'Input sheet(dashboard)'!$D$7,0)</f>
        <v>3186.7310337807357</v>
      </c>
      <c r="H77" s="3">
        <f t="shared" si="10"/>
        <v>14029.237750329827</v>
      </c>
      <c r="I77" s="3">
        <f t="shared" si="11"/>
        <v>7069802.0639854874</v>
      </c>
      <c r="J77" s="3">
        <f>IF(B77&lt;='Input sheet(dashboard)'!$D$27*12,'Input sheet(dashboard)'!$D$3*(1+'Input sheet(dashboard)'!$E$24)^B77,0)</f>
        <v>11981714.961197125</v>
      </c>
      <c r="K77" s="3">
        <f>IF(B77&lt;='Input sheet(dashboard)'!$D$27*12,J77*'Input sheet(dashboard)'!$E$8,0)</f>
        <v>12410.01352031161</v>
      </c>
      <c r="L77" s="3">
        <f>IF(B77&lt;='Input sheet(dashboard)'!$D$27*12,'Input sheet(dashboard)'!$D$9*(1+'Input sheet(dashboard)'!$E$22)^B77,0)</f>
        <v>3493.4276875052242</v>
      </c>
      <c r="M77" s="3">
        <f>IF(B77=1,'Input sheet(dashboard)'!$D$3*'Input sheet(dashboard)'!$D$10,0)</f>
        <v>0</v>
      </c>
      <c r="N77" s="3">
        <f>IF(B77='Input sheet(dashboard)'!$D$27*12,J77*'Input sheet(dashboard)'!$D$11,0)</f>
        <v>0</v>
      </c>
      <c r="O77" s="3">
        <f>IF(SUM(F77:F88)&gt;=150000,150000/12*'Input sheet(dashboard)'!$D$28,SUM(F77:F88)/12*'Input sheet(dashboard)'!$D$28)</f>
        <v>1875</v>
      </c>
      <c r="P77" s="3">
        <f t="shared" si="6"/>
        <v>0</v>
      </c>
      <c r="Q77" s="3">
        <f>IF(B77&lt;='Input sheet(dashboard)'!$D$27*12,'Input sheet(dashboard)'!$D$12/12,0)</f>
        <v>192.5</v>
      </c>
      <c r="R77" s="3">
        <f>IF(B77&lt;='Input sheet(dashboard)'!$D$27*12,('Input sheet(dashboard)'!$D$15/12)*(1+'Input sheet(dashboard)'!$E$22)^Calculations!B77,0)</f>
        <v>388.15863194502487</v>
      </c>
      <c r="S77" s="3">
        <f>IF(B77&lt;='Input sheet(dashboard)'!$D$27*12,(E77+G77+K77+L77-O77+M77+Q77+R77),0)</f>
        <v>57629.968795801782</v>
      </c>
      <c r="T77" s="3">
        <f>IF(B77&lt;='Input sheet(dashboard)'!$D$27*12,IF(D77=12,SUM(S66:S77),0),0)</f>
        <v>0</v>
      </c>
      <c r="U77" s="3">
        <f>IF(B77&lt;='Input sheet(dashboard)'!$D$27*12,IF(S77&lt;AD77,AD77-S77,0),0)</f>
        <v>0</v>
      </c>
      <c r="V77" s="3">
        <f>IF(B77&lt;='Input sheet(dashboard)'!$D$27*12,V76*(1+'Input sheet(dashboard)'!$E$25)+U77,0)</f>
        <v>0</v>
      </c>
      <c r="W77" s="17">
        <f>IF(B77&lt;='Input sheet(dashboard)'!$D$27*12,J77-I77+V77-N77,0)</f>
        <v>4911912.8972116373</v>
      </c>
      <c r="X77" s="3">
        <f>IF(B77&lt;='Input sheet(dashboard)'!$D$27*12,'Input sheet(dashboard)'!$D$17*(1+'Input sheet(dashboard)'!$E$23)^(B77-1),0)</f>
        <v>34856.61150098397</v>
      </c>
      <c r="Y77" s="3"/>
      <c r="Z77" s="18"/>
      <c r="AA77" s="18"/>
      <c r="AB77" s="3">
        <f>IF(B77=1,'Input sheet(dashboard)'!$D$18*Calculations!X77,IF(Calculations!B77=12*'Input sheet(dashboard)'!$D$27,'Input sheet(dashboard)'!$D$18*-Calculations!X77,0))</f>
        <v>0</v>
      </c>
      <c r="AC77" s="3">
        <f>IF(B77&lt;='Input sheet(dashboard)'!$D$27*12,IF(MOD(B76,'Input sheet(dashboard)'!$D$19*12),0,'Input sheet(dashboard)'!$D$20*(1+'Input sheet(dashboard)'!$E$22)^Calculations!B77),0)</f>
        <v>0</v>
      </c>
      <c r="AD77" s="17">
        <f t="shared" si="12"/>
        <v>34856.61150098397</v>
      </c>
      <c r="AE77" s="17">
        <f>IF(B77&lt;='Input sheet(dashboard)'!$D$27*12,IF(D77=12,SUM(AD66:AD77),0),0)</f>
        <v>0</v>
      </c>
      <c r="AF77" s="17">
        <f t="shared" si="13"/>
        <v>22773.357294817812</v>
      </c>
      <c r="AG77" s="17">
        <f t="shared" si="14"/>
        <v>22773.357294817812</v>
      </c>
      <c r="AH77" s="3">
        <f>IF(B77&lt;='Input sheet(dashboard)'!$D$27*12,AH76*(1+'Input sheet(dashboard)'!$E$25)+AG77," ")</f>
        <v>3902702.6176451845</v>
      </c>
    </row>
    <row r="78" spans="2:34">
      <c r="B78">
        <f t="shared" si="9"/>
        <v>75</v>
      </c>
      <c r="C78">
        <f t="shared" si="7"/>
        <v>7</v>
      </c>
      <c r="D78">
        <f t="shared" si="8"/>
        <v>3</v>
      </c>
      <c r="E78" s="15">
        <f>IF(C78&lt;='Input sheet(dashboard)'!$D$6, -PMT('Input sheet(dashboard)'!$E$5,'Input sheet(dashboard)'!$D$6*12,'Input sheet(dashboard)'!$D$3*'Input sheet(dashboard)'!$D$4),0)</f>
        <v>39834.137922259193</v>
      </c>
      <c r="F78" s="3">
        <f>I77*'Input sheet(dashboard)'!$E$5</f>
        <v>25753.794624067603</v>
      </c>
      <c r="G78" s="3">
        <f>IF(C78&lt;='Input sheet(dashboard)'!$D$6,E78*'Input sheet(dashboard)'!$D$7,0)</f>
        <v>3186.7310337807357</v>
      </c>
      <c r="H78" s="3">
        <f t="shared" si="10"/>
        <v>14080.34329819159</v>
      </c>
      <c r="I78" s="3">
        <f t="shared" si="11"/>
        <v>7055721.7206872962</v>
      </c>
      <c r="J78" s="3">
        <f>IF(B78&lt;='Input sheet(dashboard)'!$D$27*12,'Input sheet(dashboard)'!$D$3*(1+'Input sheet(dashboard)'!$E$24)^B78,0)</f>
        <v>12030529.951089432</v>
      </c>
      <c r="K78" s="3">
        <f>IF(B78&lt;='Input sheet(dashboard)'!$D$27*12,J78*'Input sheet(dashboard)'!$E$8,0)</f>
        <v>12460.573451550108</v>
      </c>
      <c r="L78" s="3">
        <f>IF(B78&lt;='Input sheet(dashboard)'!$D$27*12,'Input sheet(dashboard)'!$D$9*(1+'Input sheet(dashboard)'!$E$22)^B78,0)</f>
        <v>3500.6235765620204</v>
      </c>
      <c r="M78" s="3">
        <f>IF(B78=1,'Input sheet(dashboard)'!$D$3*'Input sheet(dashboard)'!$D$10,0)</f>
        <v>0</v>
      </c>
      <c r="N78" s="3">
        <f>IF(B78='Input sheet(dashboard)'!$D$27*12,J78*'Input sheet(dashboard)'!$D$11,0)</f>
        <v>0</v>
      </c>
      <c r="O78" s="3">
        <f>IF(SUM(F78:F89)&gt;=150000,150000/12*'Input sheet(dashboard)'!$D$28,SUM(F78:F89)/12*'Input sheet(dashboard)'!$D$28)</f>
        <v>1875</v>
      </c>
      <c r="P78" s="3">
        <f t="shared" si="6"/>
        <v>0</v>
      </c>
      <c r="Q78" s="3">
        <f>IF(B78&lt;='Input sheet(dashboard)'!$D$27*12,'Input sheet(dashboard)'!$D$12/12,0)</f>
        <v>192.5</v>
      </c>
      <c r="R78" s="3">
        <f>IF(B78&lt;='Input sheet(dashboard)'!$D$27*12,('Input sheet(dashboard)'!$D$15/12)*(1+'Input sheet(dashboard)'!$E$22)^Calculations!B78,0)</f>
        <v>388.95817517355778</v>
      </c>
      <c r="S78" s="3">
        <f>IF(B78&lt;='Input sheet(dashboard)'!$D$27*12,(E78+G78+K78+L78-O78+M78+Q78+R78),0)</f>
        <v>57688.524159325621</v>
      </c>
      <c r="T78" s="3">
        <f>IF(B78&lt;='Input sheet(dashboard)'!$D$27*12,IF(D78=12,SUM(S67:S78),0),0)</f>
        <v>0</v>
      </c>
      <c r="U78" s="3">
        <f>IF(B78&lt;='Input sheet(dashboard)'!$D$27*12,IF(S78&lt;AD78,AD78-S78,0),0)</f>
        <v>0</v>
      </c>
      <c r="V78" s="3">
        <f>IF(B78&lt;='Input sheet(dashboard)'!$D$27*12,V77*(1+'Input sheet(dashboard)'!$E$25)+U78,0)</f>
        <v>0</v>
      </c>
      <c r="W78" s="17">
        <f>IF(B78&lt;='Input sheet(dashboard)'!$D$27*12,J78-I78+V78-N78,0)</f>
        <v>4974808.2304021362</v>
      </c>
      <c r="X78" s="3">
        <f>IF(B78&lt;='Input sheet(dashboard)'!$D$27*12,'Input sheet(dashboard)'!$D$17*(1+'Input sheet(dashboard)'!$E$23)^(B78-1),0)</f>
        <v>34998.621650917514</v>
      </c>
      <c r="Y78" s="3"/>
      <c r="Z78" s="18"/>
      <c r="AA78" s="18"/>
      <c r="AB78" s="3">
        <f>IF(B78=1,'Input sheet(dashboard)'!$D$18*Calculations!X78,IF(Calculations!B78=12*'Input sheet(dashboard)'!$D$27,'Input sheet(dashboard)'!$D$18*-Calculations!X78,0))</f>
        <v>0</v>
      </c>
      <c r="AC78" s="3">
        <f>IF(B78&lt;='Input sheet(dashboard)'!$D$27*12,IF(MOD(B77,'Input sheet(dashboard)'!$D$19*12),0,'Input sheet(dashboard)'!$D$20*(1+'Input sheet(dashboard)'!$E$22)^Calculations!B78),0)</f>
        <v>0</v>
      </c>
      <c r="AD78" s="17">
        <f t="shared" si="12"/>
        <v>34998.621650917514</v>
      </c>
      <c r="AE78" s="17">
        <f>IF(B78&lt;='Input sheet(dashboard)'!$D$27*12,IF(D78=12,SUM(AD67:AD78),0),0)</f>
        <v>0</v>
      </c>
      <c r="AF78" s="17">
        <f t="shared" si="13"/>
        <v>22689.902508408108</v>
      </c>
      <c r="AG78" s="17">
        <f t="shared" si="14"/>
        <v>22689.902508408108</v>
      </c>
      <c r="AH78" s="3">
        <f>IF(B78&lt;='Input sheet(dashboard)'!$D$27*12,AH77*(1+'Input sheet(dashboard)'!$E$25)+AG78," ")</f>
        <v>3950502.6263059112</v>
      </c>
    </row>
    <row r="79" spans="2:34">
      <c r="B79">
        <f t="shared" si="9"/>
        <v>76</v>
      </c>
      <c r="C79">
        <f t="shared" si="7"/>
        <v>7</v>
      </c>
      <c r="D79">
        <f t="shared" si="8"/>
        <v>4</v>
      </c>
      <c r="E79" s="15">
        <f>IF(C79&lt;='Input sheet(dashboard)'!$D$6, -PMT('Input sheet(dashboard)'!$E$5,'Input sheet(dashboard)'!$D$6*12,'Input sheet(dashboard)'!$D$3*'Input sheet(dashboard)'!$D$4),0)</f>
        <v>39834.137922259193</v>
      </c>
      <c r="F79" s="3">
        <f>I78*'Input sheet(dashboard)'!$E$5</f>
        <v>25702.502909496805</v>
      </c>
      <c r="G79" s="3">
        <f>IF(C79&lt;='Input sheet(dashboard)'!$D$6,E79*'Input sheet(dashboard)'!$D$7,0)</f>
        <v>3186.7310337807357</v>
      </c>
      <c r="H79" s="3">
        <f t="shared" si="10"/>
        <v>14131.635012762388</v>
      </c>
      <c r="I79" s="3">
        <f t="shared" si="11"/>
        <v>7041590.0856745336</v>
      </c>
      <c r="J79" s="3">
        <f>IF(B79&lt;='Input sheet(dashboard)'!$D$27*12,'Input sheet(dashboard)'!$D$3*(1+'Input sheet(dashboard)'!$E$24)^B79,0)</f>
        <v>12079543.819293061</v>
      </c>
      <c r="K79" s="3">
        <f>IF(B79&lt;='Input sheet(dashboard)'!$D$27*12,J79*'Input sheet(dashboard)'!$E$8,0)</f>
        <v>12511.339370206966</v>
      </c>
      <c r="L79" s="3">
        <f>IF(B79&lt;='Input sheet(dashboard)'!$D$27*12,'Input sheet(dashboard)'!$D$9*(1+'Input sheet(dashboard)'!$E$22)^B79,0)</f>
        <v>3507.8342879720894</v>
      </c>
      <c r="M79" s="3">
        <f>IF(B79=1,'Input sheet(dashboard)'!$D$3*'Input sheet(dashboard)'!$D$10,0)</f>
        <v>0</v>
      </c>
      <c r="N79" s="3">
        <f>IF(B79='Input sheet(dashboard)'!$D$27*12,J79*'Input sheet(dashboard)'!$D$11,0)</f>
        <v>0</v>
      </c>
      <c r="O79" s="3">
        <f>IF(SUM(F79:F90)&gt;=150000,150000/12*'Input sheet(dashboard)'!$D$28,SUM(F79:F90)/12*'Input sheet(dashboard)'!$D$28)</f>
        <v>1875</v>
      </c>
      <c r="P79" s="3">
        <f t="shared" ref="P79:P142" si="15">IF(D79=12,IF(SUM(F68:F80)&gt;=150000,150000*0.15,SUM(F68:F80)*0.15),0)</f>
        <v>0</v>
      </c>
      <c r="Q79" s="3">
        <f>IF(B79&lt;='Input sheet(dashboard)'!$D$27*12,'Input sheet(dashboard)'!$D$12/12,0)</f>
        <v>192.5</v>
      </c>
      <c r="R79" s="3">
        <f>IF(B79&lt;='Input sheet(dashboard)'!$D$27*12,('Input sheet(dashboard)'!$D$15/12)*(1+'Input sheet(dashboard)'!$E$22)^Calculations!B79,0)</f>
        <v>389.75936533023219</v>
      </c>
      <c r="S79" s="3">
        <f>IF(B79&lt;='Input sheet(dashboard)'!$D$27*12,(E79+G79+K79+L79-O79+M79+Q79+R79),0)</f>
        <v>57747.301979549215</v>
      </c>
      <c r="T79" s="3">
        <f>IF(B79&lt;='Input sheet(dashboard)'!$D$27*12,IF(D79=12,SUM(S68:S79),0),0)</f>
        <v>0</v>
      </c>
      <c r="U79" s="3">
        <f>IF(B79&lt;='Input sheet(dashboard)'!$D$27*12,IF(S79&lt;AD79,AD79-S79,0),0)</f>
        <v>0</v>
      </c>
      <c r="V79" s="3">
        <f>IF(B79&lt;='Input sheet(dashboard)'!$D$27*12,V78*(1+'Input sheet(dashboard)'!$E$25)+U79,0)</f>
        <v>0</v>
      </c>
      <c r="W79" s="17">
        <f>IF(B79&lt;='Input sheet(dashboard)'!$D$27*12,J79-I79+V79-N79,0)</f>
        <v>5037953.7336185277</v>
      </c>
      <c r="X79" s="3">
        <f>IF(B79&lt;='Input sheet(dashboard)'!$D$27*12,'Input sheet(dashboard)'!$D$17*(1+'Input sheet(dashboard)'!$E$23)^(B79-1),0)</f>
        <v>35141.210367780426</v>
      </c>
      <c r="Y79" s="3"/>
      <c r="Z79" s="18"/>
      <c r="AA79" s="18"/>
      <c r="AB79" s="3">
        <f>IF(B79=1,'Input sheet(dashboard)'!$D$18*Calculations!X79,IF(Calculations!B79=12*'Input sheet(dashboard)'!$D$27,'Input sheet(dashboard)'!$D$18*-Calculations!X79,0))</f>
        <v>0</v>
      </c>
      <c r="AC79" s="3">
        <f>IF(B79&lt;='Input sheet(dashboard)'!$D$27*12,IF(MOD(B78,'Input sheet(dashboard)'!$D$19*12),0,'Input sheet(dashboard)'!$D$20*(1+'Input sheet(dashboard)'!$E$22)^Calculations!B79),0)</f>
        <v>0</v>
      </c>
      <c r="AD79" s="17">
        <f t="shared" si="12"/>
        <v>35141.210367780426</v>
      </c>
      <c r="AE79" s="17">
        <f>IF(B79&lt;='Input sheet(dashboard)'!$D$27*12,IF(D79=12,SUM(AD68:AD79),0),0)</f>
        <v>0</v>
      </c>
      <c r="AF79" s="17">
        <f t="shared" si="13"/>
        <v>22606.091611768788</v>
      </c>
      <c r="AG79" s="17">
        <f t="shared" si="14"/>
        <v>22606.091611768788</v>
      </c>
      <c r="AH79" s="3">
        <f>IF(B79&lt;='Input sheet(dashboard)'!$D$27*12,AH78*(1+'Input sheet(dashboard)'!$E$25)+AG79," ")</f>
        <v>3998526.3707649796</v>
      </c>
    </row>
    <row r="80" spans="2:34">
      <c r="B80">
        <f t="shared" si="9"/>
        <v>77</v>
      </c>
      <c r="C80">
        <f t="shared" ref="C80:C143" si="16">C68+1</f>
        <v>7</v>
      </c>
      <c r="D80">
        <f t="shared" ref="D80:D143" si="17">D68</f>
        <v>5</v>
      </c>
      <c r="E80" s="15">
        <f>IF(C80&lt;='Input sheet(dashboard)'!$D$6, -PMT('Input sheet(dashboard)'!$E$5,'Input sheet(dashboard)'!$D$6*12,'Input sheet(dashboard)'!$D$3*'Input sheet(dashboard)'!$D$4),0)</f>
        <v>39834.137922259193</v>
      </c>
      <c r="F80" s="3">
        <f>I79*'Input sheet(dashboard)'!$E$5</f>
        <v>25651.024350050997</v>
      </c>
      <c r="G80" s="3">
        <f>IF(C80&lt;='Input sheet(dashboard)'!$D$6,E80*'Input sheet(dashboard)'!$D$7,0)</f>
        <v>3186.7310337807357</v>
      </c>
      <c r="H80" s="3">
        <f t="shared" si="10"/>
        <v>14183.113572208196</v>
      </c>
      <c r="I80" s="3">
        <f t="shared" si="11"/>
        <v>7027406.9721023254</v>
      </c>
      <c r="J80" s="3">
        <f>IF(B80&lt;='Input sheet(dashboard)'!$D$27*12,'Input sheet(dashboard)'!$D$3*(1+'Input sheet(dashboard)'!$E$24)^B80,0)</f>
        <v>12128757.376062866</v>
      </c>
      <c r="K80" s="3">
        <f>IF(B80&lt;='Input sheet(dashboard)'!$D$27*12,J80*'Input sheet(dashboard)'!$E$8,0)</f>
        <v>12562.312115500425</v>
      </c>
      <c r="L80" s="3">
        <f>IF(B80&lt;='Input sheet(dashboard)'!$D$27*12,'Input sheet(dashboard)'!$D$9*(1+'Input sheet(dashboard)'!$E$22)^B80,0)</f>
        <v>3515.0598522670516</v>
      </c>
      <c r="M80" s="3">
        <f>IF(B80=1,'Input sheet(dashboard)'!$D$3*'Input sheet(dashboard)'!$D$10,0)</f>
        <v>0</v>
      </c>
      <c r="N80" s="3">
        <f>IF(B80='Input sheet(dashboard)'!$D$27*12,J80*'Input sheet(dashboard)'!$D$11,0)</f>
        <v>0</v>
      </c>
      <c r="O80" s="3">
        <f>IF(SUM(F80:F91)&gt;=150000,150000/12*'Input sheet(dashboard)'!$D$28,SUM(F80:F91)/12*'Input sheet(dashboard)'!$D$28)</f>
        <v>1875</v>
      </c>
      <c r="P80" s="3">
        <f t="shared" si="15"/>
        <v>0</v>
      </c>
      <c r="Q80" s="3">
        <f>IF(B80&lt;='Input sheet(dashboard)'!$D$27*12,'Input sheet(dashboard)'!$D$12/12,0)</f>
        <v>192.5</v>
      </c>
      <c r="R80" s="3">
        <f>IF(B80&lt;='Input sheet(dashboard)'!$D$27*12,('Input sheet(dashboard)'!$D$15/12)*(1+'Input sheet(dashboard)'!$E$22)^Calculations!B80,0)</f>
        <v>390.5622058074502</v>
      </c>
      <c r="S80" s="3">
        <f>IF(B80&lt;='Input sheet(dashboard)'!$D$27*12,(E80+G80+K80+L80-O80+M80+Q80+R80),0)</f>
        <v>57806.303129614855</v>
      </c>
      <c r="T80" s="3">
        <f>IF(B80&lt;='Input sheet(dashboard)'!$D$27*12,IF(D80=12,SUM(S69:S80),0),0)</f>
        <v>0</v>
      </c>
      <c r="U80" s="3">
        <f>IF(B80&lt;='Input sheet(dashboard)'!$D$27*12,IF(S80&lt;AD80,AD80-S80,0),0)</f>
        <v>0</v>
      </c>
      <c r="V80" s="3">
        <f>IF(B80&lt;='Input sheet(dashboard)'!$D$27*12,V79*(1+'Input sheet(dashboard)'!$E$25)+U80,0)</f>
        <v>0</v>
      </c>
      <c r="W80" s="17">
        <f>IF(B80&lt;='Input sheet(dashboard)'!$D$27*12,J80-I80+V80-N80,0)</f>
        <v>5101350.4039605409</v>
      </c>
      <c r="X80" s="3">
        <f>IF(B80&lt;='Input sheet(dashboard)'!$D$27*12,'Input sheet(dashboard)'!$D$17*(1+'Input sheet(dashboard)'!$E$23)^(B80-1),0)</f>
        <v>35284.380008725995</v>
      </c>
      <c r="Y80" s="3"/>
      <c r="Z80" s="18"/>
      <c r="AA80" s="18"/>
      <c r="AB80" s="3">
        <f>IF(B80=1,'Input sheet(dashboard)'!$D$18*Calculations!X80,IF(Calculations!B80=12*'Input sheet(dashboard)'!$D$27,'Input sheet(dashboard)'!$D$18*-Calculations!X80,0))</f>
        <v>0</v>
      </c>
      <c r="AC80" s="3">
        <f>IF(B80&lt;='Input sheet(dashboard)'!$D$27*12,IF(MOD(B79,'Input sheet(dashboard)'!$D$19*12),0,'Input sheet(dashboard)'!$D$20*(1+'Input sheet(dashboard)'!$E$22)^Calculations!B80),0)</f>
        <v>0</v>
      </c>
      <c r="AD80" s="17">
        <f t="shared" si="12"/>
        <v>35284.380008725995</v>
      </c>
      <c r="AE80" s="17">
        <f>IF(B80&lt;='Input sheet(dashboard)'!$D$27*12,IF(D80=12,SUM(AD69:AD80),0),0)</f>
        <v>0</v>
      </c>
      <c r="AF80" s="17">
        <f t="shared" si="13"/>
        <v>22521.92312088886</v>
      </c>
      <c r="AG80" s="17">
        <f t="shared" si="14"/>
        <v>22521.92312088886</v>
      </c>
      <c r="AH80" s="3">
        <f>IF(B80&lt;='Input sheet(dashboard)'!$D$27*12,AH79*(1+'Input sheet(dashboard)'!$E$25)+AG80," ")</f>
        <v>4046774.9329510131</v>
      </c>
    </row>
    <row r="81" spans="2:34">
      <c r="B81">
        <f t="shared" si="9"/>
        <v>78</v>
      </c>
      <c r="C81">
        <f t="shared" si="16"/>
        <v>7</v>
      </c>
      <c r="D81">
        <f t="shared" si="17"/>
        <v>6</v>
      </c>
      <c r="E81" s="15">
        <f>IF(C81&lt;='Input sheet(dashboard)'!$D$6, -PMT('Input sheet(dashboard)'!$E$5,'Input sheet(dashboard)'!$D$6*12,'Input sheet(dashboard)'!$D$3*'Input sheet(dashboard)'!$D$4),0)</f>
        <v>39834.137922259193</v>
      </c>
      <c r="F81" s="3">
        <f>I80*'Input sheet(dashboard)'!$E$5</f>
        <v>25599.358265093793</v>
      </c>
      <c r="G81" s="3">
        <f>IF(C81&lt;='Input sheet(dashboard)'!$D$6,E81*'Input sheet(dashboard)'!$D$7,0)</f>
        <v>3186.7310337807357</v>
      </c>
      <c r="H81" s="3">
        <f t="shared" si="10"/>
        <v>14234.7796571654</v>
      </c>
      <c r="I81" s="3">
        <f t="shared" si="11"/>
        <v>7013172.1924451599</v>
      </c>
      <c r="J81" s="3">
        <f>IF(B81&lt;='Input sheet(dashboard)'!$D$27*12,'Input sheet(dashboard)'!$D$3*(1+'Input sheet(dashboard)'!$E$24)^B81,0)</f>
        <v>12178171.434954785</v>
      </c>
      <c r="K81" s="3">
        <f>IF(B81&lt;='Input sheet(dashboard)'!$D$27*12,J81*'Input sheet(dashboard)'!$E$8,0)</f>
        <v>12613.492530067799</v>
      </c>
      <c r="L81" s="3">
        <f>IF(B81&lt;='Input sheet(dashboard)'!$D$27*12,'Input sheet(dashboard)'!$D$9*(1+'Input sheet(dashboard)'!$E$22)^B81,0)</f>
        <v>3522.3003000414196</v>
      </c>
      <c r="M81" s="3">
        <f>IF(B81=1,'Input sheet(dashboard)'!$D$3*'Input sheet(dashboard)'!$D$10,0)</f>
        <v>0</v>
      </c>
      <c r="N81" s="3">
        <f>IF(B81='Input sheet(dashboard)'!$D$27*12,J81*'Input sheet(dashboard)'!$D$11,0)</f>
        <v>0</v>
      </c>
      <c r="O81" s="3">
        <f>IF(SUM(F81:F92)&gt;=150000,150000/12*'Input sheet(dashboard)'!$D$28,SUM(F81:F92)/12*'Input sheet(dashboard)'!$D$28)</f>
        <v>1875</v>
      </c>
      <c r="P81" s="3">
        <f t="shared" si="15"/>
        <v>0</v>
      </c>
      <c r="Q81" s="3">
        <f>IF(B81&lt;='Input sheet(dashboard)'!$D$27*12,'Input sheet(dashboard)'!$D$12/12,0)</f>
        <v>192.5</v>
      </c>
      <c r="R81" s="3">
        <f>IF(B81&lt;='Input sheet(dashboard)'!$D$27*12,('Input sheet(dashboard)'!$D$15/12)*(1+'Input sheet(dashboard)'!$E$22)^Calculations!B81,0)</f>
        <v>391.36670000460214</v>
      </c>
      <c r="S81" s="3">
        <f>IF(B81&lt;='Input sheet(dashboard)'!$D$27*12,(E81+G81+K81+L81-O81+M81+Q81+R81),0)</f>
        <v>57865.528486153751</v>
      </c>
      <c r="T81" s="3">
        <f>IF(B81&lt;='Input sheet(dashboard)'!$D$27*12,IF(D81=12,SUM(S70:S81),0),0)</f>
        <v>0</v>
      </c>
      <c r="U81" s="3">
        <f>IF(B81&lt;='Input sheet(dashboard)'!$D$27*12,IF(S81&lt;AD81,AD81-S81,0),0)</f>
        <v>0</v>
      </c>
      <c r="V81" s="3">
        <f>IF(B81&lt;='Input sheet(dashboard)'!$D$27*12,V80*(1+'Input sheet(dashboard)'!$E$25)+U81,0)</f>
        <v>0</v>
      </c>
      <c r="W81" s="17">
        <f>IF(B81&lt;='Input sheet(dashboard)'!$D$27*12,J81-I81+V81-N81,0)</f>
        <v>5164999.2425096249</v>
      </c>
      <c r="X81" s="3">
        <f>IF(B81&lt;='Input sheet(dashboard)'!$D$27*12,'Input sheet(dashboard)'!$D$17*(1+'Input sheet(dashboard)'!$E$23)^(B81-1),0)</f>
        <v>35428.132940510834</v>
      </c>
      <c r="Y81" s="3"/>
      <c r="Z81" s="18"/>
      <c r="AA81" s="18"/>
      <c r="AB81" s="3">
        <f>IF(B81=1,'Input sheet(dashboard)'!$D$18*Calculations!X81,IF(Calculations!B81=12*'Input sheet(dashboard)'!$D$27,'Input sheet(dashboard)'!$D$18*-Calculations!X81,0))</f>
        <v>0</v>
      </c>
      <c r="AC81" s="3">
        <f>IF(B81&lt;='Input sheet(dashboard)'!$D$27*12,IF(MOD(B80,'Input sheet(dashboard)'!$D$19*12),0,'Input sheet(dashboard)'!$D$20*(1+'Input sheet(dashboard)'!$E$22)^Calculations!B81),0)</f>
        <v>0</v>
      </c>
      <c r="AD81" s="17">
        <f t="shared" si="12"/>
        <v>35428.132940510834</v>
      </c>
      <c r="AE81" s="17">
        <f>IF(B81&lt;='Input sheet(dashboard)'!$D$27*12,IF(D81=12,SUM(AD70:AD81),0),0)</f>
        <v>0</v>
      </c>
      <c r="AF81" s="17">
        <f t="shared" si="13"/>
        <v>22437.395545642918</v>
      </c>
      <c r="AG81" s="17">
        <f t="shared" si="14"/>
        <v>22437.395545642918</v>
      </c>
      <c r="AH81" s="3">
        <f>IF(B81&lt;='Input sheet(dashboard)'!$D$27*12,AH80*(1+'Input sheet(dashboard)'!$E$25)+AG81," ")</f>
        <v>4095249.4002636699</v>
      </c>
    </row>
    <row r="82" spans="2:34">
      <c r="B82">
        <f t="shared" si="9"/>
        <v>79</v>
      </c>
      <c r="C82">
        <f t="shared" si="16"/>
        <v>7</v>
      </c>
      <c r="D82">
        <f t="shared" si="17"/>
        <v>7</v>
      </c>
      <c r="E82" s="15">
        <f>IF(C82&lt;='Input sheet(dashboard)'!$D$6, -PMT('Input sheet(dashboard)'!$E$5,'Input sheet(dashboard)'!$D$6*12,'Input sheet(dashboard)'!$D$3*'Input sheet(dashboard)'!$D$4),0)</f>
        <v>39834.137922259193</v>
      </c>
      <c r="F82" s="3">
        <f>I81*'Input sheet(dashboard)'!$E$5</f>
        <v>25547.503971509395</v>
      </c>
      <c r="G82" s="3">
        <f>IF(C82&lt;='Input sheet(dashboard)'!$D$6,E82*'Input sheet(dashboard)'!$D$7,0)</f>
        <v>3186.7310337807357</v>
      </c>
      <c r="H82" s="3">
        <f t="shared" si="10"/>
        <v>14286.633950749798</v>
      </c>
      <c r="I82" s="3">
        <f t="shared" si="11"/>
        <v>6998885.5584944105</v>
      </c>
      <c r="J82" s="3">
        <f>IF(B82&lt;='Input sheet(dashboard)'!$D$27*12,'Input sheet(dashboard)'!$D$3*(1+'Input sheet(dashboard)'!$E$24)^B82,0)</f>
        <v>12227786.812839281</v>
      </c>
      <c r="K82" s="3">
        <f>IF(B82&lt;='Input sheet(dashboard)'!$D$27*12,J82*'Input sheet(dashboard)'!$E$8,0)</f>
        <v>12664.881459979419</v>
      </c>
      <c r="L82" s="3">
        <f>IF(B82&lt;='Input sheet(dashboard)'!$D$27*12,'Input sheet(dashboard)'!$D$9*(1+'Input sheet(dashboard)'!$E$22)^B82,0)</f>
        <v>3529.5556619527233</v>
      </c>
      <c r="M82" s="3">
        <f>IF(B82=1,'Input sheet(dashboard)'!$D$3*'Input sheet(dashboard)'!$D$10,0)</f>
        <v>0</v>
      </c>
      <c r="N82" s="3">
        <f>IF(B82='Input sheet(dashboard)'!$D$27*12,J82*'Input sheet(dashboard)'!$D$11,0)</f>
        <v>0</v>
      </c>
      <c r="O82" s="3">
        <f>IF(SUM(F82:F93)&gt;=150000,150000/12*'Input sheet(dashboard)'!$D$28,SUM(F82:F93)/12*'Input sheet(dashboard)'!$D$28)</f>
        <v>1875</v>
      </c>
      <c r="P82" s="3">
        <f t="shared" si="15"/>
        <v>0</v>
      </c>
      <c r="Q82" s="3">
        <f>IF(B82&lt;='Input sheet(dashboard)'!$D$27*12,'Input sheet(dashboard)'!$D$12/12,0)</f>
        <v>192.5</v>
      </c>
      <c r="R82" s="3">
        <f>IF(B82&lt;='Input sheet(dashboard)'!$D$27*12,('Input sheet(dashboard)'!$D$15/12)*(1+'Input sheet(dashboard)'!$E$22)^Calculations!B82,0)</f>
        <v>392.17285132808036</v>
      </c>
      <c r="S82" s="3">
        <f>IF(B82&lt;='Input sheet(dashboard)'!$D$27*12,(E82+G82+K82+L82-O82+M82+Q82+R82),0)</f>
        <v>57924.978929300152</v>
      </c>
      <c r="T82" s="3">
        <f>IF(B82&lt;='Input sheet(dashboard)'!$D$27*12,IF(D82=12,SUM(S71:S82),0),0)</f>
        <v>0</v>
      </c>
      <c r="U82" s="3">
        <f>IF(B82&lt;='Input sheet(dashboard)'!$D$27*12,IF(S82&lt;AD82,AD82-S82,0),0)</f>
        <v>0</v>
      </c>
      <c r="V82" s="3">
        <f>IF(B82&lt;='Input sheet(dashboard)'!$D$27*12,V81*(1+'Input sheet(dashboard)'!$E$25)+U82,0)</f>
        <v>0</v>
      </c>
      <c r="W82" s="17">
        <f>IF(B82&lt;='Input sheet(dashboard)'!$D$27*12,J82-I82+V82-N82,0)</f>
        <v>5228901.2543448703</v>
      </c>
      <c r="X82" s="3">
        <f>IF(B82&lt;='Input sheet(dashboard)'!$D$27*12,'Input sheet(dashboard)'!$D$17*(1+'Input sheet(dashboard)'!$E$23)^(B82-1),0)</f>
        <v>35572.471539534024</v>
      </c>
      <c r="Y82" s="3"/>
      <c r="Z82" s="18"/>
      <c r="AA82" s="18"/>
      <c r="AB82" s="3">
        <f>IF(B82=1,'Input sheet(dashboard)'!$D$18*Calculations!X82,IF(Calculations!B82=12*'Input sheet(dashboard)'!$D$27,'Input sheet(dashboard)'!$D$18*-Calculations!X82,0))</f>
        <v>0</v>
      </c>
      <c r="AC82" s="3">
        <f>IF(B82&lt;='Input sheet(dashboard)'!$D$27*12,IF(MOD(B81,'Input sheet(dashboard)'!$D$19*12),0,'Input sheet(dashboard)'!$D$20*(1+'Input sheet(dashboard)'!$E$22)^Calculations!B82),0)</f>
        <v>0</v>
      </c>
      <c r="AD82" s="17">
        <f t="shared" si="12"/>
        <v>35572.471539534024</v>
      </c>
      <c r="AE82" s="17">
        <f>IF(B82&lt;='Input sheet(dashboard)'!$D$27*12,IF(D82=12,SUM(AD71:AD82),0),0)</f>
        <v>0</v>
      </c>
      <c r="AF82" s="17">
        <f t="shared" si="13"/>
        <v>22352.507389766128</v>
      </c>
      <c r="AG82" s="17">
        <f t="shared" si="14"/>
        <v>22352.507389766128</v>
      </c>
      <c r="AH82" s="3">
        <f>IF(B82&lt;='Input sheet(dashboard)'!$D$27*12,AH81*(1+'Input sheet(dashboard)'!$E$25)+AG82," ")</f>
        <v>4143950.8656027061</v>
      </c>
    </row>
    <row r="83" spans="2:34">
      <c r="B83">
        <f t="shared" si="9"/>
        <v>80</v>
      </c>
      <c r="C83">
        <f t="shared" si="16"/>
        <v>7</v>
      </c>
      <c r="D83">
        <f t="shared" si="17"/>
        <v>8</v>
      </c>
      <c r="E83" s="15">
        <f>IF(C83&lt;='Input sheet(dashboard)'!$D$6, -PMT('Input sheet(dashboard)'!$E$5,'Input sheet(dashboard)'!$D$6*12,'Input sheet(dashboard)'!$D$3*'Input sheet(dashboard)'!$D$4),0)</f>
        <v>39834.137922259193</v>
      </c>
      <c r="F83" s="3">
        <f>I82*'Input sheet(dashboard)'!$E$5</f>
        <v>25495.460783693554</v>
      </c>
      <c r="G83" s="3">
        <f>IF(C83&lt;='Input sheet(dashboard)'!$D$6,E83*'Input sheet(dashboard)'!$D$7,0)</f>
        <v>3186.7310337807357</v>
      </c>
      <c r="H83" s="3">
        <f t="shared" si="10"/>
        <v>14338.677138565639</v>
      </c>
      <c r="I83" s="3">
        <f t="shared" si="11"/>
        <v>6984546.8813558444</v>
      </c>
      <c r="J83" s="3">
        <f>IF(B83&lt;='Input sheet(dashboard)'!$D$27*12,'Input sheet(dashboard)'!$D$3*(1+'Input sheet(dashboard)'!$E$24)^B83,0)</f>
        <v>12277604.329914853</v>
      </c>
      <c r="K83" s="3">
        <f>IF(B83&lt;='Input sheet(dashboard)'!$D$27*12,J83*'Input sheet(dashboard)'!$E$8,0)</f>
        <v>12716.479754752609</v>
      </c>
      <c r="L83" s="3">
        <f>IF(B83&lt;='Input sheet(dashboard)'!$D$27*12,'Input sheet(dashboard)'!$D$9*(1+'Input sheet(dashboard)'!$E$22)^B83,0)</f>
        <v>3536.8259687216419</v>
      </c>
      <c r="M83" s="3">
        <f>IF(B83=1,'Input sheet(dashboard)'!$D$3*'Input sheet(dashboard)'!$D$10,0)</f>
        <v>0</v>
      </c>
      <c r="N83" s="3">
        <f>IF(B83='Input sheet(dashboard)'!$D$27*12,J83*'Input sheet(dashboard)'!$D$11,0)</f>
        <v>0</v>
      </c>
      <c r="O83" s="3">
        <f>IF(SUM(F83:F94)&gt;=150000,150000/12*'Input sheet(dashboard)'!$D$28,SUM(F83:F94)/12*'Input sheet(dashboard)'!$D$28)</f>
        <v>1875</v>
      </c>
      <c r="P83" s="3">
        <f t="shared" si="15"/>
        <v>0</v>
      </c>
      <c r="Q83" s="3">
        <f>IF(B83&lt;='Input sheet(dashboard)'!$D$27*12,'Input sheet(dashboard)'!$D$12/12,0)</f>
        <v>192.5</v>
      </c>
      <c r="R83" s="3">
        <f>IF(B83&lt;='Input sheet(dashboard)'!$D$27*12,('Input sheet(dashboard)'!$D$15/12)*(1+'Input sheet(dashboard)'!$E$22)^Calculations!B83,0)</f>
        <v>392.9806631912935</v>
      </c>
      <c r="S83" s="3">
        <f>IF(B83&lt;='Input sheet(dashboard)'!$D$27*12,(E83+G83+K83+L83-O83+M83+Q83+R83),0)</f>
        <v>57984.655342705475</v>
      </c>
      <c r="T83" s="3">
        <f>IF(B83&lt;='Input sheet(dashboard)'!$D$27*12,IF(D83=12,SUM(S72:S83),0),0)</f>
        <v>0</v>
      </c>
      <c r="U83" s="3">
        <f>IF(B83&lt;='Input sheet(dashboard)'!$D$27*12,IF(S83&lt;AD83,AD83-S83,0),0)</f>
        <v>0</v>
      </c>
      <c r="V83" s="3">
        <f>IF(B83&lt;='Input sheet(dashboard)'!$D$27*12,V82*(1+'Input sheet(dashboard)'!$E$25)+U83,0)</f>
        <v>0</v>
      </c>
      <c r="W83" s="17">
        <f>IF(B83&lt;='Input sheet(dashboard)'!$D$27*12,J83-I83+V83-N83,0)</f>
        <v>5293057.4485590085</v>
      </c>
      <c r="X83" s="3">
        <f>IF(B83&lt;='Input sheet(dashboard)'!$D$27*12,'Input sheet(dashboard)'!$D$17*(1+'Input sheet(dashboard)'!$E$23)^(B83-1),0)</f>
        <v>35717.398191876397</v>
      </c>
      <c r="Y83" s="3"/>
      <c r="Z83" s="18"/>
      <c r="AA83" s="18"/>
      <c r="AB83" s="3">
        <f>IF(B83=1,'Input sheet(dashboard)'!$D$18*Calculations!X83,IF(Calculations!B83=12*'Input sheet(dashboard)'!$D$27,'Input sheet(dashboard)'!$D$18*-Calculations!X83,0))</f>
        <v>0</v>
      </c>
      <c r="AC83" s="3">
        <f>IF(B83&lt;='Input sheet(dashboard)'!$D$27*12,IF(MOD(B82,'Input sheet(dashboard)'!$D$19*12),0,'Input sheet(dashboard)'!$D$20*(1+'Input sheet(dashboard)'!$E$22)^Calculations!B83),0)</f>
        <v>0</v>
      </c>
      <c r="AD83" s="17">
        <f t="shared" si="12"/>
        <v>35717.398191876397</v>
      </c>
      <c r="AE83" s="17">
        <f>IF(B83&lt;='Input sheet(dashboard)'!$D$27*12,IF(D83=12,SUM(AD72:AD83),0),0)</f>
        <v>0</v>
      </c>
      <c r="AF83" s="17">
        <f t="shared" si="13"/>
        <v>22267.257150829078</v>
      </c>
      <c r="AG83" s="17">
        <f t="shared" si="14"/>
        <v>22267.257150829078</v>
      </c>
      <c r="AH83" s="3">
        <f>IF(B83&lt;='Input sheet(dashboard)'!$D$27*12,AH82*(1+'Input sheet(dashboard)'!$E$25)+AG83," ")</f>
        <v>4192880.427397198</v>
      </c>
    </row>
    <row r="84" spans="2:34">
      <c r="B84">
        <f t="shared" si="9"/>
        <v>81</v>
      </c>
      <c r="C84">
        <f t="shared" si="16"/>
        <v>7</v>
      </c>
      <c r="D84">
        <f t="shared" si="17"/>
        <v>9</v>
      </c>
      <c r="E84" s="15">
        <f>IF(C84&lt;='Input sheet(dashboard)'!$D$6, -PMT('Input sheet(dashboard)'!$E$5,'Input sheet(dashboard)'!$D$6*12,'Input sheet(dashboard)'!$D$3*'Input sheet(dashboard)'!$D$4),0)</f>
        <v>39834.137922259193</v>
      </c>
      <c r="F84" s="3">
        <f>I83*'Input sheet(dashboard)'!$E$5</f>
        <v>25443.2280135445</v>
      </c>
      <c r="G84" s="3">
        <f>IF(C84&lt;='Input sheet(dashboard)'!$D$6,E84*'Input sheet(dashboard)'!$D$7,0)</f>
        <v>3186.7310337807357</v>
      </c>
      <c r="H84" s="3">
        <f t="shared" si="10"/>
        <v>14390.909908714693</v>
      </c>
      <c r="I84" s="3">
        <f t="shared" si="11"/>
        <v>6970155.9714471297</v>
      </c>
      <c r="J84" s="3">
        <f>IF(B84&lt;='Input sheet(dashboard)'!$D$27*12,'Input sheet(dashboard)'!$D$3*(1+'Input sheet(dashboard)'!$E$24)^B84,0)</f>
        <v>12327624.809721582</v>
      </c>
      <c r="K84" s="3">
        <f>IF(B84&lt;='Input sheet(dashboard)'!$D$27*12,J84*'Input sheet(dashboard)'!$E$8,0)</f>
        <v>12768.288267365728</v>
      </c>
      <c r="L84" s="3">
        <f>IF(B84&lt;='Input sheet(dashboard)'!$D$27*12,'Input sheet(dashboard)'!$D$9*(1+'Input sheet(dashboard)'!$E$22)^B84,0)</f>
        <v>3544.1112511321367</v>
      </c>
      <c r="M84" s="3">
        <f>IF(B84=1,'Input sheet(dashboard)'!$D$3*'Input sheet(dashboard)'!$D$10,0)</f>
        <v>0</v>
      </c>
      <c r="N84" s="3">
        <f>IF(B84='Input sheet(dashboard)'!$D$27*12,J84*'Input sheet(dashboard)'!$D$11,0)</f>
        <v>0</v>
      </c>
      <c r="O84" s="3">
        <f>IF(SUM(F84:F95)&gt;=150000,150000/12*'Input sheet(dashboard)'!$D$28,SUM(F84:F95)/12*'Input sheet(dashboard)'!$D$28)</f>
        <v>1875</v>
      </c>
      <c r="P84" s="3">
        <f t="shared" si="15"/>
        <v>0</v>
      </c>
      <c r="Q84" s="3">
        <f>IF(B84&lt;='Input sheet(dashboard)'!$D$27*12,'Input sheet(dashboard)'!$D$12/12,0)</f>
        <v>192.5</v>
      </c>
      <c r="R84" s="3">
        <f>IF(B84&lt;='Input sheet(dashboard)'!$D$27*12,('Input sheet(dashboard)'!$D$15/12)*(1+'Input sheet(dashboard)'!$E$22)^Calculations!B84,0)</f>
        <v>393.79013901468181</v>
      </c>
      <c r="S84" s="3">
        <f>IF(B84&lt;='Input sheet(dashboard)'!$D$27*12,(E84+G84+K84+L84-O84+M84+Q84+R84),0)</f>
        <v>58044.558613552472</v>
      </c>
      <c r="T84" s="3">
        <f>IF(B84&lt;='Input sheet(dashboard)'!$D$27*12,IF(D84=12,SUM(S73:S84),0),0)</f>
        <v>0</v>
      </c>
      <c r="U84" s="3">
        <f>IF(B84&lt;='Input sheet(dashboard)'!$D$27*12,IF(S84&lt;AD84,AD84-S84,0),0)</f>
        <v>0</v>
      </c>
      <c r="V84" s="3">
        <f>IF(B84&lt;='Input sheet(dashboard)'!$D$27*12,V83*(1+'Input sheet(dashboard)'!$E$25)+U84,0)</f>
        <v>0</v>
      </c>
      <c r="W84" s="17">
        <f>IF(B84&lt;='Input sheet(dashboard)'!$D$27*12,J84-I84+V84-N84,0)</f>
        <v>5357468.8382744519</v>
      </c>
      <c r="X84" s="3">
        <f>IF(B84&lt;='Input sheet(dashboard)'!$D$27*12,'Input sheet(dashboard)'!$D$17*(1+'Input sheet(dashboard)'!$E$23)^(B84-1),0)</f>
        <v>35862.91529333996</v>
      </c>
      <c r="Y84" s="3"/>
      <c r="Z84" s="18"/>
      <c r="AA84" s="18"/>
      <c r="AB84" s="3">
        <f>IF(B84=1,'Input sheet(dashboard)'!$D$18*Calculations!X84,IF(Calculations!B84=12*'Input sheet(dashboard)'!$D$27,'Input sheet(dashboard)'!$D$18*-Calculations!X84,0))</f>
        <v>0</v>
      </c>
      <c r="AC84" s="3">
        <f>IF(B84&lt;='Input sheet(dashboard)'!$D$27*12,IF(MOD(B83,'Input sheet(dashboard)'!$D$19*12),0,'Input sheet(dashboard)'!$D$20*(1+'Input sheet(dashboard)'!$E$22)^Calculations!B84),0)</f>
        <v>0</v>
      </c>
      <c r="AD84" s="17">
        <f t="shared" si="12"/>
        <v>35862.91529333996</v>
      </c>
      <c r="AE84" s="17">
        <f>IF(B84&lt;='Input sheet(dashboard)'!$D$27*12,IF(D84=12,SUM(AD73:AD84),0),0)</f>
        <v>0</v>
      </c>
      <c r="AF84" s="17">
        <f t="shared" si="13"/>
        <v>22181.643320212512</v>
      </c>
      <c r="AG84" s="17">
        <f t="shared" si="14"/>
        <v>22181.643320212512</v>
      </c>
      <c r="AH84" s="3">
        <f>IF(B84&lt;='Input sheet(dashboard)'!$D$27*12,AH83*(1+'Input sheet(dashboard)'!$E$25)+AG84," ")</f>
        <v>4242039.1896349275</v>
      </c>
    </row>
    <row r="85" spans="2:34">
      <c r="B85">
        <f t="shared" si="9"/>
        <v>82</v>
      </c>
      <c r="C85">
        <f t="shared" si="16"/>
        <v>7</v>
      </c>
      <c r="D85">
        <f t="shared" si="17"/>
        <v>10</v>
      </c>
      <c r="E85" s="15">
        <f>IF(C85&lt;='Input sheet(dashboard)'!$D$6, -PMT('Input sheet(dashboard)'!$E$5,'Input sheet(dashboard)'!$D$6*12,'Input sheet(dashboard)'!$D$3*'Input sheet(dashboard)'!$D$4),0)</f>
        <v>39834.137922259193</v>
      </c>
      <c r="F85" s="3">
        <f>I84*'Input sheet(dashboard)'!$E$5</f>
        <v>25390.804970453875</v>
      </c>
      <c r="G85" s="3">
        <f>IF(C85&lt;='Input sheet(dashboard)'!$D$6,E85*'Input sheet(dashboard)'!$D$7,0)</f>
        <v>3186.7310337807357</v>
      </c>
      <c r="H85" s="3">
        <f t="shared" si="10"/>
        <v>14443.332951805318</v>
      </c>
      <c r="I85" s="3">
        <f t="shared" si="11"/>
        <v>6955712.6384953242</v>
      </c>
      <c r="J85" s="3">
        <f>IF(B85&lt;='Input sheet(dashboard)'!$D$27*12,'Input sheet(dashboard)'!$D$3*(1+'Input sheet(dashboard)'!$E$24)^B85,0)</f>
        <v>12377849.079154763</v>
      </c>
      <c r="K85" s="3">
        <f>IF(B85&lt;='Input sheet(dashboard)'!$D$27*12,J85*'Input sheet(dashboard)'!$E$8,0)</f>
        <v>12820.307854272283</v>
      </c>
      <c r="L85" s="3">
        <f>IF(B85&lt;='Input sheet(dashboard)'!$D$27*12,'Input sheet(dashboard)'!$D$9*(1+'Input sheet(dashboard)'!$E$22)^B85,0)</f>
        <v>3551.4115400315764</v>
      </c>
      <c r="M85" s="3">
        <f>IF(B85=1,'Input sheet(dashboard)'!$D$3*'Input sheet(dashboard)'!$D$10,0)</f>
        <v>0</v>
      </c>
      <c r="N85" s="3">
        <f>IF(B85='Input sheet(dashboard)'!$D$27*12,J85*'Input sheet(dashboard)'!$D$11,0)</f>
        <v>0</v>
      </c>
      <c r="O85" s="3">
        <f>IF(SUM(F85:F96)&gt;=150000,150000/12*'Input sheet(dashboard)'!$D$28,SUM(F85:F96)/12*'Input sheet(dashboard)'!$D$28)</f>
        <v>1875</v>
      </c>
      <c r="P85" s="3">
        <f t="shared" si="15"/>
        <v>0</v>
      </c>
      <c r="Q85" s="3">
        <f>IF(B85&lt;='Input sheet(dashboard)'!$D$27*12,'Input sheet(dashboard)'!$D$12/12,0)</f>
        <v>192.5</v>
      </c>
      <c r="R85" s="3">
        <f>IF(B85&lt;='Input sheet(dashboard)'!$D$27*12,('Input sheet(dashboard)'!$D$15/12)*(1+'Input sheet(dashboard)'!$E$22)^Calculations!B85,0)</f>
        <v>394.60128222573064</v>
      </c>
      <c r="S85" s="3">
        <f>IF(B85&lt;='Input sheet(dashboard)'!$D$27*12,(E85+G85+K85+L85-O85+M85+Q85+R85),0)</f>
        <v>58104.689632569527</v>
      </c>
      <c r="T85" s="3">
        <f>IF(B85&lt;='Input sheet(dashboard)'!$D$27*12,IF(D85=12,SUM(S74:S85),0),0)</f>
        <v>0</v>
      </c>
      <c r="U85" s="3">
        <f>IF(B85&lt;='Input sheet(dashboard)'!$D$27*12,IF(S85&lt;AD85,AD85-S85,0),0)</f>
        <v>0</v>
      </c>
      <c r="V85" s="3">
        <f>IF(B85&lt;='Input sheet(dashboard)'!$D$27*12,V84*(1+'Input sheet(dashboard)'!$E$25)+U85,0)</f>
        <v>0</v>
      </c>
      <c r="W85" s="17">
        <f>IF(B85&lt;='Input sheet(dashboard)'!$D$27*12,J85-I85+V85-N85,0)</f>
        <v>5422136.4406594392</v>
      </c>
      <c r="X85" s="3">
        <f>IF(B85&lt;='Input sheet(dashboard)'!$D$27*12,'Input sheet(dashboard)'!$D$17*(1+'Input sheet(dashboard)'!$E$23)^(B85-1),0)</f>
        <v>36009.025249487524</v>
      </c>
      <c r="Y85" s="3"/>
      <c r="Z85" s="18"/>
      <c r="AA85" s="18"/>
      <c r="AB85" s="3">
        <f>IF(B85=1,'Input sheet(dashboard)'!$D$18*Calculations!X85,IF(Calculations!B85=12*'Input sheet(dashboard)'!$D$27,'Input sheet(dashboard)'!$D$18*-Calculations!X85,0))</f>
        <v>0</v>
      </c>
      <c r="AC85" s="3">
        <f>IF(B85&lt;='Input sheet(dashboard)'!$D$27*12,IF(MOD(B84,'Input sheet(dashboard)'!$D$19*12),0,'Input sheet(dashboard)'!$D$20*(1+'Input sheet(dashboard)'!$E$22)^Calculations!B85),0)</f>
        <v>0</v>
      </c>
      <c r="AD85" s="17">
        <f t="shared" si="12"/>
        <v>36009.025249487524</v>
      </c>
      <c r="AE85" s="17">
        <f>IF(B85&lt;='Input sheet(dashboard)'!$D$27*12,IF(D85=12,SUM(AD74:AD85),0),0)</f>
        <v>0</v>
      </c>
      <c r="AF85" s="17">
        <f t="shared" si="13"/>
        <v>22095.664383082003</v>
      </c>
      <c r="AG85" s="17">
        <f t="shared" si="14"/>
        <v>22095.664383082003</v>
      </c>
      <c r="AH85" s="3">
        <f>IF(B85&lt;='Input sheet(dashboard)'!$D$27*12,AH84*(1+'Input sheet(dashboard)'!$E$25)+AG85," ")</f>
        <v>4291428.261891935</v>
      </c>
    </row>
    <row r="86" spans="2:34">
      <c r="B86">
        <f t="shared" si="9"/>
        <v>83</v>
      </c>
      <c r="C86">
        <f t="shared" si="16"/>
        <v>7</v>
      </c>
      <c r="D86">
        <f t="shared" si="17"/>
        <v>11</v>
      </c>
      <c r="E86" s="15">
        <f>IF(C86&lt;='Input sheet(dashboard)'!$D$6, -PMT('Input sheet(dashboard)'!$E$5,'Input sheet(dashboard)'!$D$6*12,'Input sheet(dashboard)'!$D$3*'Input sheet(dashboard)'!$D$4),0)</f>
        <v>39834.137922259193</v>
      </c>
      <c r="F86" s="3">
        <f>I85*'Input sheet(dashboard)'!$E$5</f>
        <v>25338.190961297565</v>
      </c>
      <c r="G86" s="3">
        <f>IF(C86&lt;='Input sheet(dashboard)'!$D$6,E86*'Input sheet(dashboard)'!$D$7,0)</f>
        <v>3186.7310337807357</v>
      </c>
      <c r="H86" s="3">
        <f t="shared" si="10"/>
        <v>14495.946960961628</v>
      </c>
      <c r="I86" s="3">
        <f t="shared" si="11"/>
        <v>6941216.6915343627</v>
      </c>
      <c r="J86" s="3">
        <f>IF(B86&lt;='Input sheet(dashboard)'!$D$27*12,'Input sheet(dashboard)'!$D$3*(1+'Input sheet(dashboard)'!$E$24)^B86,0)</f>
        <v>12428277.968478559</v>
      </c>
      <c r="K86" s="3">
        <f>IF(B86&lt;='Input sheet(dashboard)'!$D$27*12,J86*'Input sheet(dashboard)'!$E$8,0)</f>
        <v>12872.539375415068</v>
      </c>
      <c r="L86" s="3">
        <f>IF(B86&lt;='Input sheet(dashboard)'!$D$27*12,'Input sheet(dashboard)'!$D$9*(1+'Input sheet(dashboard)'!$E$22)^B86,0)</f>
        <v>3558.726866330871</v>
      </c>
      <c r="M86" s="3">
        <f>IF(B86=1,'Input sheet(dashboard)'!$D$3*'Input sheet(dashboard)'!$D$10,0)</f>
        <v>0</v>
      </c>
      <c r="N86" s="3">
        <f>IF(B86='Input sheet(dashboard)'!$D$27*12,J86*'Input sheet(dashboard)'!$D$11,0)</f>
        <v>0</v>
      </c>
      <c r="O86" s="3">
        <f>IF(SUM(F86:F97)&gt;=150000,150000/12*'Input sheet(dashboard)'!$D$28,SUM(F86:F97)/12*'Input sheet(dashboard)'!$D$28)</f>
        <v>1875</v>
      </c>
      <c r="P86" s="3">
        <f t="shared" si="15"/>
        <v>0</v>
      </c>
      <c r="Q86" s="3">
        <f>IF(B86&lt;='Input sheet(dashboard)'!$D$27*12,'Input sheet(dashboard)'!$D$12/12,0)</f>
        <v>192.5</v>
      </c>
      <c r="R86" s="3">
        <f>IF(B86&lt;='Input sheet(dashboard)'!$D$27*12,('Input sheet(dashboard)'!$D$15/12)*(1+'Input sheet(dashboard)'!$E$22)^Calculations!B86,0)</f>
        <v>395.41409625898564</v>
      </c>
      <c r="S86" s="3">
        <f>IF(B86&lt;='Input sheet(dashboard)'!$D$27*12,(E86+G86+K86+L86-O86+M86+Q86+R86),0)</f>
        <v>58165.049294044853</v>
      </c>
      <c r="T86" s="3">
        <f>IF(B86&lt;='Input sheet(dashboard)'!$D$27*12,IF(D86=12,SUM(S75:S86),0),0)</f>
        <v>0</v>
      </c>
      <c r="U86" s="3">
        <f>IF(B86&lt;='Input sheet(dashboard)'!$D$27*12,IF(S86&lt;AD86,AD86-S86,0),0)</f>
        <v>0</v>
      </c>
      <c r="V86" s="3">
        <f>IF(B86&lt;='Input sheet(dashboard)'!$D$27*12,V85*(1+'Input sheet(dashboard)'!$E$25)+U86,0)</f>
        <v>0</v>
      </c>
      <c r="W86" s="17">
        <f>IF(B86&lt;='Input sheet(dashboard)'!$D$27*12,J86-I86+V86-N86,0)</f>
        <v>5487061.2769441959</v>
      </c>
      <c r="X86" s="3">
        <f>IF(B86&lt;='Input sheet(dashboard)'!$D$27*12,'Input sheet(dashboard)'!$D$17*(1+'Input sheet(dashboard)'!$E$23)^(B86-1),0)</f>
        <v>36155.73047568246</v>
      </c>
      <c r="Y86" s="3"/>
      <c r="Z86" s="18"/>
      <c r="AA86" s="18"/>
      <c r="AB86" s="3">
        <f>IF(B86=1,'Input sheet(dashboard)'!$D$18*Calculations!X86,IF(Calculations!B86=12*'Input sheet(dashboard)'!$D$27,'Input sheet(dashboard)'!$D$18*-Calculations!X86,0))</f>
        <v>0</v>
      </c>
      <c r="AC86" s="3">
        <f>IF(B86&lt;='Input sheet(dashboard)'!$D$27*12,IF(MOD(B85,'Input sheet(dashboard)'!$D$19*12),0,'Input sheet(dashboard)'!$D$20*(1+'Input sheet(dashboard)'!$E$22)^Calculations!B86),0)</f>
        <v>0</v>
      </c>
      <c r="AD86" s="17">
        <f t="shared" si="12"/>
        <v>36155.73047568246</v>
      </c>
      <c r="AE86" s="17">
        <f>IF(B86&lt;='Input sheet(dashboard)'!$D$27*12,IF(D86=12,SUM(AD75:AD86),0),0)</f>
        <v>0</v>
      </c>
      <c r="AF86" s="17">
        <f t="shared" si="13"/>
        <v>22009.318818362393</v>
      </c>
      <c r="AG86" s="17">
        <f t="shared" si="14"/>
        <v>22009.318818362393</v>
      </c>
      <c r="AH86" s="3">
        <f>IF(B86&lt;='Input sheet(dashboard)'!$D$27*12,AH85*(1+'Input sheet(dashboard)'!$E$25)+AG86," ")</f>
        <v>4341048.7593622301</v>
      </c>
    </row>
    <row r="87" spans="2:34">
      <c r="B87">
        <f t="shared" si="9"/>
        <v>84</v>
      </c>
      <c r="C87">
        <f t="shared" si="16"/>
        <v>7</v>
      </c>
      <c r="D87">
        <f t="shared" si="17"/>
        <v>12</v>
      </c>
      <c r="E87" s="15">
        <f>IF(C87&lt;='Input sheet(dashboard)'!$D$6, -PMT('Input sheet(dashboard)'!$E$5,'Input sheet(dashboard)'!$D$6*12,'Input sheet(dashboard)'!$D$3*'Input sheet(dashboard)'!$D$4),0)</f>
        <v>39834.137922259193</v>
      </c>
      <c r="F87" s="3">
        <f>I86*'Input sheet(dashboard)'!$E$5</f>
        <v>25285.385290426562</v>
      </c>
      <c r="G87" s="3">
        <f>IF(C87&lt;='Input sheet(dashboard)'!$D$6,E87*'Input sheet(dashboard)'!$D$7,0)</f>
        <v>3186.7310337807357</v>
      </c>
      <c r="H87" s="3">
        <f t="shared" si="10"/>
        <v>14548.752631832631</v>
      </c>
      <c r="I87" s="3">
        <f t="shared" si="11"/>
        <v>6926667.9389025299</v>
      </c>
      <c r="J87" s="3">
        <f>IF(B87&lt;='Input sheet(dashboard)'!$D$27*12,'Input sheet(dashboard)'!$D$3*(1+'Input sheet(dashboard)'!$E$24)^B87,0)</f>
        <v>12478912.311339729</v>
      </c>
      <c r="K87" s="3">
        <f>IF(B87&lt;='Input sheet(dashboard)'!$D$27*12,J87*'Input sheet(dashboard)'!$E$8,0)</f>
        <v>12924.983694240394</v>
      </c>
      <c r="L87" s="3">
        <f>IF(B87&lt;='Input sheet(dashboard)'!$D$27*12,'Input sheet(dashboard)'!$D$9*(1+'Input sheet(dashboard)'!$E$22)^B87,0)</f>
        <v>3566.0572610046042</v>
      </c>
      <c r="M87" s="3">
        <f>IF(B87=1,'Input sheet(dashboard)'!$D$3*'Input sheet(dashboard)'!$D$10,0)</f>
        <v>0</v>
      </c>
      <c r="N87" s="3">
        <f>IF(B87='Input sheet(dashboard)'!$D$27*12,J87*'Input sheet(dashboard)'!$D$11,0)</f>
        <v>0</v>
      </c>
      <c r="O87" s="3">
        <f>IF(SUM(F87:F98)&gt;=150000,150000/12*'Input sheet(dashboard)'!$D$28,SUM(F87:F98)/12*'Input sheet(dashboard)'!$D$28)</f>
        <v>1875</v>
      </c>
      <c r="P87" s="3">
        <f t="shared" si="15"/>
        <v>22500</v>
      </c>
      <c r="Q87" s="3">
        <f>IF(B87&lt;='Input sheet(dashboard)'!$D$27*12,'Input sheet(dashboard)'!$D$12/12,0)</f>
        <v>192.5</v>
      </c>
      <c r="R87" s="3">
        <f>IF(B87&lt;='Input sheet(dashboard)'!$D$27*12,('Input sheet(dashboard)'!$D$15/12)*(1+'Input sheet(dashboard)'!$E$22)^Calculations!B87,0)</f>
        <v>396.22858455606712</v>
      </c>
      <c r="S87" s="3">
        <f>IF(B87&lt;='Input sheet(dashboard)'!$D$27*12,(E87+G87+K87+L87-O87+M87+Q87+R87),0)</f>
        <v>58225.638495840998</v>
      </c>
      <c r="T87" s="3">
        <f>IF(B87&lt;='Input sheet(dashboard)'!$D$27*12,IF(D87=12,SUM(S76:S87),0),0)</f>
        <v>694758.83187776909</v>
      </c>
      <c r="U87" s="3">
        <f>IF(B87&lt;='Input sheet(dashboard)'!$D$27*12,IF(S87&lt;AD87,AD87-S87,0),0)</f>
        <v>0</v>
      </c>
      <c r="V87" s="3">
        <f>IF(B87&lt;='Input sheet(dashboard)'!$D$27*12,V86*(1+'Input sheet(dashboard)'!$E$25)+U87,0)</f>
        <v>0</v>
      </c>
      <c r="W87" s="17">
        <f>IF(B87&lt;='Input sheet(dashboard)'!$D$27*12,J87-I87+V87-N87,0)</f>
        <v>5552244.3724371986</v>
      </c>
      <c r="X87" s="3">
        <f>IF(B87&lt;='Input sheet(dashboard)'!$D$27*12,'Input sheet(dashboard)'!$D$17*(1+'Input sheet(dashboard)'!$E$23)^(B87-1),0)</f>
        <v>36303.033397128616</v>
      </c>
      <c r="Y87" s="3"/>
      <c r="Z87" s="18"/>
      <c r="AA87" s="18"/>
      <c r="AB87" s="3">
        <f>IF(B87=1,'Input sheet(dashboard)'!$D$18*Calculations!X87,IF(Calculations!B87=12*'Input sheet(dashboard)'!$D$27,'Input sheet(dashboard)'!$D$18*-Calculations!X87,0))</f>
        <v>0</v>
      </c>
      <c r="AC87" s="3">
        <f>IF(B87&lt;='Input sheet(dashboard)'!$D$27*12,IF(MOD(B86,'Input sheet(dashboard)'!$D$19*12),0,'Input sheet(dashboard)'!$D$20*(1+'Input sheet(dashboard)'!$E$22)^Calculations!B87),0)</f>
        <v>0</v>
      </c>
      <c r="AD87" s="17">
        <f t="shared" si="12"/>
        <v>36303.033397128616</v>
      </c>
      <c r="AE87" s="17">
        <f>IF(B87&lt;='Input sheet(dashboard)'!$D$27*12,IF(D87=12,SUM(AD76:AD87),0),0)</f>
        <v>426044.70818635862</v>
      </c>
      <c r="AF87" s="17">
        <f t="shared" si="13"/>
        <v>21922.605098712382</v>
      </c>
      <c r="AG87" s="17">
        <f t="shared" si="14"/>
        <v>21922.605098712382</v>
      </c>
      <c r="AH87" s="3">
        <f>IF(B87&lt;='Input sheet(dashboard)'!$D$27*12,AH86*(1+'Input sheet(dashboard)'!$E$25)+AG87," ")</f>
        <v>4390901.8028876716</v>
      </c>
    </row>
    <row r="88" spans="2:34">
      <c r="B88">
        <f t="shared" si="9"/>
        <v>85</v>
      </c>
      <c r="C88">
        <f t="shared" si="16"/>
        <v>8</v>
      </c>
      <c r="D88">
        <f t="shared" si="17"/>
        <v>1</v>
      </c>
      <c r="E88" s="15">
        <f>IF(C88&lt;='Input sheet(dashboard)'!$D$6, -PMT('Input sheet(dashboard)'!$E$5,'Input sheet(dashboard)'!$D$6*12,'Input sheet(dashboard)'!$D$3*'Input sheet(dashboard)'!$D$4),0)</f>
        <v>39834.137922259193</v>
      </c>
      <c r="F88" s="3">
        <f>I87*'Input sheet(dashboard)'!$E$5</f>
        <v>25232.387259657738</v>
      </c>
      <c r="G88" s="3">
        <f>IF(C88&lt;='Input sheet(dashboard)'!$D$6,E88*'Input sheet(dashboard)'!$D$7,0)</f>
        <v>3186.7310337807357</v>
      </c>
      <c r="H88" s="3">
        <f t="shared" si="10"/>
        <v>14601.750662601455</v>
      </c>
      <c r="I88" s="3">
        <f t="shared" si="11"/>
        <v>6912066.1882399283</v>
      </c>
      <c r="J88" s="3">
        <f>IF(B88&lt;='Input sheet(dashboard)'!$D$27*12,'Input sheet(dashboard)'!$D$3*(1+'Input sheet(dashboard)'!$E$24)^B88,0)</f>
        <v>12529752.944781421</v>
      </c>
      <c r="K88" s="3">
        <f>IF(B88&lt;='Input sheet(dashboard)'!$D$27*12,J88*'Input sheet(dashboard)'!$E$8,0)</f>
        <v>12977.641677712369</v>
      </c>
      <c r="L88" s="3">
        <f>IF(B88&lt;='Input sheet(dashboard)'!$D$27*12,'Input sheet(dashboard)'!$D$9*(1+'Input sheet(dashboard)'!$E$22)^B88,0)</f>
        <v>3573.4027550911569</v>
      </c>
      <c r="M88" s="3">
        <f>IF(B88=1,'Input sheet(dashboard)'!$D$3*'Input sheet(dashboard)'!$D$10,0)</f>
        <v>0</v>
      </c>
      <c r="N88" s="3">
        <f>IF(B88='Input sheet(dashboard)'!$D$27*12,J88*'Input sheet(dashboard)'!$D$11,0)</f>
        <v>0</v>
      </c>
      <c r="O88" s="3">
        <f>IF(SUM(F88:F99)&gt;=150000,150000/12*'Input sheet(dashboard)'!$D$28,SUM(F88:F99)/12*'Input sheet(dashboard)'!$D$28)</f>
        <v>1875</v>
      </c>
      <c r="P88" s="3">
        <f t="shared" si="15"/>
        <v>0</v>
      </c>
      <c r="Q88" s="3">
        <f>IF(B88&lt;='Input sheet(dashboard)'!$D$27*12,'Input sheet(dashboard)'!$D$12/12,0)</f>
        <v>192.5</v>
      </c>
      <c r="R88" s="3">
        <f>IF(B88&lt;='Input sheet(dashboard)'!$D$27*12,('Input sheet(dashboard)'!$D$15/12)*(1+'Input sheet(dashboard)'!$E$22)^Calculations!B88,0)</f>
        <v>397.04475056568407</v>
      </c>
      <c r="S88" s="3">
        <f>IF(B88&lt;='Input sheet(dashboard)'!$D$27*12,(E88+G88+K88+L88-O88+M88+Q88+R88),0)</f>
        <v>58286.458139409136</v>
      </c>
      <c r="T88" s="3">
        <f>IF(B88&lt;='Input sheet(dashboard)'!$D$27*12,IF(D88=12,SUM(S77:S88),0),0)</f>
        <v>0</v>
      </c>
      <c r="U88" s="3">
        <f>IF(B88&lt;='Input sheet(dashboard)'!$D$27*12,IF(S88&lt;AD88,AD88-S88,0),0)</f>
        <v>0</v>
      </c>
      <c r="V88" s="3">
        <f>IF(B88&lt;='Input sheet(dashboard)'!$D$27*12,V87*(1+'Input sheet(dashboard)'!$E$25)+U88,0)</f>
        <v>0</v>
      </c>
      <c r="W88" s="17">
        <f>IF(B88&lt;='Input sheet(dashboard)'!$D$27*12,J88-I88+V88-N88,0)</f>
        <v>5617686.7565414924</v>
      </c>
      <c r="X88" s="3">
        <f>IF(B88&lt;='Input sheet(dashboard)'!$D$27*12,'Input sheet(dashboard)'!$D$17*(1+'Input sheet(dashboard)'!$E$23)^(B88-1),0)</f>
        <v>36450.936448910441</v>
      </c>
      <c r="Y88" s="3"/>
      <c r="Z88" s="18"/>
      <c r="AA88" s="18"/>
      <c r="AB88" s="3">
        <f>IF(B88=1,'Input sheet(dashboard)'!$D$18*Calculations!X88,IF(Calculations!B88=12*'Input sheet(dashboard)'!$D$27,'Input sheet(dashboard)'!$D$18*-Calculations!X88,0))</f>
        <v>0</v>
      </c>
      <c r="AC88" s="3">
        <f>IF(B88&lt;='Input sheet(dashboard)'!$D$27*12,IF(MOD(B87,'Input sheet(dashboard)'!$D$19*12),0,'Input sheet(dashboard)'!$D$20*(1+'Input sheet(dashboard)'!$E$22)^Calculations!B88),0)</f>
        <v>0</v>
      </c>
      <c r="AD88" s="17">
        <f t="shared" si="12"/>
        <v>36450.936448910441</v>
      </c>
      <c r="AE88" s="17">
        <f>IF(B88&lt;='Input sheet(dashboard)'!$D$27*12,IF(D88=12,SUM(AD77:AD88),0),0)</f>
        <v>0</v>
      </c>
      <c r="AF88" s="17">
        <f t="shared" si="13"/>
        <v>21835.521690498696</v>
      </c>
      <c r="AG88" s="17">
        <f t="shared" si="14"/>
        <v>21835.521690498696</v>
      </c>
      <c r="AH88" s="3">
        <f>IF(B88&lt;='Input sheet(dashboard)'!$D$27*12,AH87*(1+'Input sheet(dashboard)'!$E$25)+AG88," ")</f>
        <v>4440988.5189880179</v>
      </c>
    </row>
    <row r="89" spans="2:34">
      <c r="B89">
        <f t="shared" si="9"/>
        <v>86</v>
      </c>
      <c r="C89">
        <f t="shared" si="16"/>
        <v>8</v>
      </c>
      <c r="D89">
        <f t="shared" si="17"/>
        <v>2</v>
      </c>
      <c r="E89" s="15">
        <f>IF(C89&lt;='Input sheet(dashboard)'!$D$6, -PMT('Input sheet(dashboard)'!$E$5,'Input sheet(dashboard)'!$D$6*12,'Input sheet(dashboard)'!$D$3*'Input sheet(dashboard)'!$D$4),0)</f>
        <v>39834.137922259193</v>
      </c>
      <c r="F89" s="3">
        <f>I88*'Input sheet(dashboard)'!$E$5</f>
        <v>25179.196168264651</v>
      </c>
      <c r="G89" s="3">
        <f>IF(C89&lt;='Input sheet(dashboard)'!$D$6,E89*'Input sheet(dashboard)'!$D$7,0)</f>
        <v>3186.7310337807357</v>
      </c>
      <c r="H89" s="3">
        <f t="shared" si="10"/>
        <v>14654.941753994543</v>
      </c>
      <c r="I89" s="3">
        <f t="shared" si="11"/>
        <v>6897411.2464859337</v>
      </c>
      <c r="J89" s="3">
        <f>IF(B89&lt;='Input sheet(dashboard)'!$D$27*12,'Input sheet(dashboard)'!$D$3*(1+'Input sheet(dashboard)'!$E$24)^B89,0)</f>
        <v>12580800.709256994</v>
      </c>
      <c r="K89" s="3">
        <f>IF(B89&lt;='Input sheet(dashboard)'!$D$27*12,J89*'Input sheet(dashboard)'!$E$8,0)</f>
        <v>13030.514196327204</v>
      </c>
      <c r="L89" s="3">
        <f>IF(B89&lt;='Input sheet(dashboard)'!$D$27*12,'Input sheet(dashboard)'!$D$9*(1+'Input sheet(dashboard)'!$E$22)^B89,0)</f>
        <v>3580.7633796928494</v>
      </c>
      <c r="M89" s="3">
        <f>IF(B89=1,'Input sheet(dashboard)'!$D$3*'Input sheet(dashboard)'!$D$10,0)</f>
        <v>0</v>
      </c>
      <c r="N89" s="3">
        <f>IF(B89='Input sheet(dashboard)'!$D$27*12,J89*'Input sheet(dashboard)'!$D$11,0)</f>
        <v>0</v>
      </c>
      <c r="O89" s="3">
        <f>IF(SUM(F89:F100)&gt;=150000,150000/12*'Input sheet(dashboard)'!$D$28,SUM(F89:F100)/12*'Input sheet(dashboard)'!$D$28)</f>
        <v>1875</v>
      </c>
      <c r="P89" s="3">
        <f t="shared" si="15"/>
        <v>0</v>
      </c>
      <c r="Q89" s="3">
        <f>IF(B89&lt;='Input sheet(dashboard)'!$D$27*12,'Input sheet(dashboard)'!$D$12/12,0)</f>
        <v>192.5</v>
      </c>
      <c r="R89" s="3">
        <f>IF(B89&lt;='Input sheet(dashboard)'!$D$27*12,('Input sheet(dashboard)'!$D$15/12)*(1+'Input sheet(dashboard)'!$E$22)^Calculations!B89,0)</f>
        <v>397.86259774364987</v>
      </c>
      <c r="S89" s="3">
        <f>IF(B89&lt;='Input sheet(dashboard)'!$D$27*12,(E89+G89+K89+L89-O89+M89+Q89+R89),0)</f>
        <v>58347.509129803635</v>
      </c>
      <c r="T89" s="3">
        <f>IF(B89&lt;='Input sheet(dashboard)'!$D$27*12,IF(D89=12,SUM(S78:S89),0),0)</f>
        <v>0</v>
      </c>
      <c r="U89" s="3">
        <f>IF(B89&lt;='Input sheet(dashboard)'!$D$27*12,IF(S89&lt;AD89,AD89-S89,0),0)</f>
        <v>0</v>
      </c>
      <c r="V89" s="3">
        <f>IF(B89&lt;='Input sheet(dashboard)'!$D$27*12,V88*(1+'Input sheet(dashboard)'!$E$25)+U89,0)</f>
        <v>0</v>
      </c>
      <c r="W89" s="17">
        <f>IF(B89&lt;='Input sheet(dashboard)'!$D$27*12,J89-I89+V89-N89,0)</f>
        <v>5683389.4627710599</v>
      </c>
      <c r="X89" s="3">
        <f>IF(B89&lt;='Input sheet(dashboard)'!$D$27*12,'Input sheet(dashboard)'!$D$17*(1+'Input sheet(dashboard)'!$E$23)^(B89-1),0)</f>
        <v>36599.4420760332</v>
      </c>
      <c r="Y89" s="3"/>
      <c r="Z89" s="18"/>
      <c r="AA89" s="18"/>
      <c r="AB89" s="3">
        <f>IF(B89=1,'Input sheet(dashboard)'!$D$18*Calculations!X89,IF(Calculations!B89=12*'Input sheet(dashboard)'!$D$27,'Input sheet(dashboard)'!$D$18*-Calculations!X89,0))</f>
        <v>0</v>
      </c>
      <c r="AC89" s="3">
        <f>IF(B89&lt;='Input sheet(dashboard)'!$D$27*12,IF(MOD(B88,'Input sheet(dashboard)'!$D$19*12),0,'Input sheet(dashboard)'!$D$20*(1+'Input sheet(dashboard)'!$E$22)^Calculations!B89),0)</f>
        <v>0</v>
      </c>
      <c r="AD89" s="17">
        <f t="shared" si="12"/>
        <v>36599.4420760332</v>
      </c>
      <c r="AE89" s="17">
        <f>IF(B89&lt;='Input sheet(dashboard)'!$D$27*12,IF(D89=12,SUM(AD78:AD89),0),0)</f>
        <v>0</v>
      </c>
      <c r="AF89" s="17">
        <f t="shared" si="13"/>
        <v>21748.067053770435</v>
      </c>
      <c r="AG89" s="17">
        <f t="shared" si="14"/>
        <v>21748.067053770435</v>
      </c>
      <c r="AH89" s="3">
        <f>IF(B89&lt;='Input sheet(dashboard)'!$D$27*12,AH88*(1+'Input sheet(dashboard)'!$E$25)+AG89," ")</f>
        <v>4491310.0398911368</v>
      </c>
    </row>
    <row r="90" spans="2:34">
      <c r="B90">
        <f t="shared" si="9"/>
        <v>87</v>
      </c>
      <c r="C90">
        <f t="shared" si="16"/>
        <v>8</v>
      </c>
      <c r="D90">
        <f t="shared" si="17"/>
        <v>3</v>
      </c>
      <c r="E90" s="15">
        <f>IF(C90&lt;='Input sheet(dashboard)'!$D$6, -PMT('Input sheet(dashboard)'!$E$5,'Input sheet(dashboard)'!$D$6*12,'Input sheet(dashboard)'!$D$3*'Input sheet(dashboard)'!$D$4),0)</f>
        <v>39834.137922259193</v>
      </c>
      <c r="F90" s="3">
        <f>I89*'Input sheet(dashboard)'!$E$5</f>
        <v>25125.811312968253</v>
      </c>
      <c r="G90" s="3">
        <f>IF(C90&lt;='Input sheet(dashboard)'!$D$6,E90*'Input sheet(dashboard)'!$D$7,0)</f>
        <v>3186.7310337807357</v>
      </c>
      <c r="H90" s="3">
        <f t="shared" si="10"/>
        <v>14708.32660929094</v>
      </c>
      <c r="I90" s="3">
        <f t="shared" si="11"/>
        <v>6882702.9198766425</v>
      </c>
      <c r="J90" s="3">
        <f>IF(B90&lt;='Input sheet(dashboard)'!$D$27*12,'Input sheet(dashboard)'!$D$3*(1+'Input sheet(dashboard)'!$E$24)^B90,0)</f>
        <v>12632056.448643917</v>
      </c>
      <c r="K90" s="3">
        <f>IF(B90&lt;='Input sheet(dashboard)'!$D$27*12,J90*'Input sheet(dashboard)'!$E$8,0)</f>
        <v>13083.602124127627</v>
      </c>
      <c r="L90" s="3">
        <f>IF(B90&lt;='Input sheet(dashboard)'!$D$27*12,'Input sheet(dashboard)'!$D$9*(1+'Input sheet(dashboard)'!$E$22)^B90,0)</f>
        <v>3588.1391659760657</v>
      </c>
      <c r="M90" s="3">
        <f>IF(B90=1,'Input sheet(dashboard)'!$D$3*'Input sheet(dashboard)'!$D$10,0)</f>
        <v>0</v>
      </c>
      <c r="N90" s="3">
        <f>IF(B90='Input sheet(dashboard)'!$D$27*12,J90*'Input sheet(dashboard)'!$D$11,0)</f>
        <v>0</v>
      </c>
      <c r="O90" s="3">
        <f>IF(SUM(F90:F101)&gt;=150000,150000/12*'Input sheet(dashboard)'!$D$28,SUM(F90:F101)/12*'Input sheet(dashboard)'!$D$28)</f>
        <v>1875</v>
      </c>
      <c r="P90" s="3">
        <f t="shared" si="15"/>
        <v>0</v>
      </c>
      <c r="Q90" s="3">
        <f>IF(B90&lt;='Input sheet(dashboard)'!$D$27*12,'Input sheet(dashboard)'!$D$12/12,0)</f>
        <v>192.5</v>
      </c>
      <c r="R90" s="3">
        <f>IF(B90&lt;='Input sheet(dashboard)'!$D$27*12,('Input sheet(dashboard)'!$D$15/12)*(1+'Input sheet(dashboard)'!$E$22)^Calculations!B90,0)</f>
        <v>398.68212955289613</v>
      </c>
      <c r="S90" s="3">
        <f>IF(B90&lt;='Input sheet(dashboard)'!$D$27*12,(E90+G90+K90+L90-O90+M90+Q90+R90),0)</f>
        <v>58408.79237569651</v>
      </c>
      <c r="T90" s="3">
        <f>IF(B90&lt;='Input sheet(dashboard)'!$D$27*12,IF(D90=12,SUM(S79:S90),0),0)</f>
        <v>0</v>
      </c>
      <c r="U90" s="3">
        <f>IF(B90&lt;='Input sheet(dashboard)'!$D$27*12,IF(S90&lt;AD90,AD90-S90,0),0)</f>
        <v>0</v>
      </c>
      <c r="V90" s="3">
        <f>IF(B90&lt;='Input sheet(dashboard)'!$D$27*12,V89*(1+'Input sheet(dashboard)'!$E$25)+U90,0)</f>
        <v>0</v>
      </c>
      <c r="W90" s="17">
        <f>IF(B90&lt;='Input sheet(dashboard)'!$D$27*12,J90-I90+V90-N90,0)</f>
        <v>5749353.5287672747</v>
      </c>
      <c r="X90" s="3">
        <f>IF(B90&lt;='Input sheet(dashboard)'!$D$27*12,'Input sheet(dashboard)'!$D$17*(1+'Input sheet(dashboard)'!$E$23)^(B90-1),0)</f>
        <v>36748.552733463432</v>
      </c>
      <c r="Y90" s="3"/>
      <c r="Z90" s="18"/>
      <c r="AA90" s="18"/>
      <c r="AB90" s="3">
        <f>IF(B90=1,'Input sheet(dashboard)'!$D$18*Calculations!X90,IF(Calculations!B90=12*'Input sheet(dashboard)'!$D$27,'Input sheet(dashboard)'!$D$18*-Calculations!X90,0))</f>
        <v>0</v>
      </c>
      <c r="AC90" s="3">
        <f>IF(B90&lt;='Input sheet(dashboard)'!$D$27*12,IF(MOD(B89,'Input sheet(dashboard)'!$D$19*12),0,'Input sheet(dashboard)'!$D$20*(1+'Input sheet(dashboard)'!$E$22)^Calculations!B90),0)</f>
        <v>0</v>
      </c>
      <c r="AD90" s="17">
        <f t="shared" si="12"/>
        <v>36748.552733463432</v>
      </c>
      <c r="AE90" s="17">
        <f>IF(B90&lt;='Input sheet(dashboard)'!$D$27*12,IF(D90=12,SUM(AD79:AD90),0),0)</f>
        <v>0</v>
      </c>
      <c r="AF90" s="17">
        <f t="shared" si="13"/>
        <v>21660.239642233078</v>
      </c>
      <c r="AG90" s="17">
        <f t="shared" si="14"/>
        <v>21660.239642233078</v>
      </c>
      <c r="AH90" s="3">
        <f>IF(B90&lt;='Input sheet(dashboard)'!$D$27*12,AH89*(1+'Input sheet(dashboard)'!$E$25)+AG90," ")</f>
        <v>4541867.5035633901</v>
      </c>
    </row>
    <row r="91" spans="2:34">
      <c r="B91">
        <f t="shared" si="9"/>
        <v>88</v>
      </c>
      <c r="C91">
        <f t="shared" si="16"/>
        <v>8</v>
      </c>
      <c r="D91">
        <f t="shared" si="17"/>
        <v>4</v>
      </c>
      <c r="E91" s="15">
        <f>IF(C91&lt;='Input sheet(dashboard)'!$D$6, -PMT('Input sheet(dashboard)'!$E$5,'Input sheet(dashboard)'!$D$6*12,'Input sheet(dashboard)'!$D$3*'Input sheet(dashboard)'!$D$4),0)</f>
        <v>39834.137922259193</v>
      </c>
      <c r="F91" s="3">
        <f>I90*'Input sheet(dashboard)'!$E$5</f>
        <v>25072.231987927593</v>
      </c>
      <c r="G91" s="3">
        <f>IF(C91&lt;='Input sheet(dashboard)'!$D$6,E91*'Input sheet(dashboard)'!$D$7,0)</f>
        <v>3186.7310337807357</v>
      </c>
      <c r="H91" s="3">
        <f t="shared" si="10"/>
        <v>14761.9059343316</v>
      </c>
      <c r="I91" s="3">
        <f t="shared" si="11"/>
        <v>6867941.0139423106</v>
      </c>
      <c r="J91" s="3">
        <f>IF(B91&lt;='Input sheet(dashboard)'!$D$27*12,'Input sheet(dashboard)'!$D$3*(1+'Input sheet(dashboard)'!$E$24)^B91,0)</f>
        <v>12683521.010257728</v>
      </c>
      <c r="K91" s="3">
        <f>IF(B91&lt;='Input sheet(dashboard)'!$D$27*12,J91*'Input sheet(dashboard)'!$E$8,0)</f>
        <v>13136.90633871733</v>
      </c>
      <c r="L91" s="3">
        <f>IF(B91&lt;='Input sheet(dashboard)'!$D$27*12,'Input sheet(dashboard)'!$D$9*(1+'Input sheet(dashboard)'!$E$22)^B91,0)</f>
        <v>3595.5301451713863</v>
      </c>
      <c r="M91" s="3">
        <f>IF(B91=1,'Input sheet(dashboard)'!$D$3*'Input sheet(dashboard)'!$D$10,0)</f>
        <v>0</v>
      </c>
      <c r="N91" s="3">
        <f>IF(B91='Input sheet(dashboard)'!$D$27*12,J91*'Input sheet(dashboard)'!$D$11,0)</f>
        <v>0</v>
      </c>
      <c r="O91" s="3">
        <f>IF(SUM(F91:F102)&gt;=150000,150000/12*'Input sheet(dashboard)'!$D$28,SUM(F91:F102)/12*'Input sheet(dashboard)'!$D$28)</f>
        <v>1875</v>
      </c>
      <c r="P91" s="3">
        <f t="shared" si="15"/>
        <v>0</v>
      </c>
      <c r="Q91" s="3">
        <f>IF(B91&lt;='Input sheet(dashboard)'!$D$27*12,'Input sheet(dashboard)'!$D$12/12,0)</f>
        <v>192.5</v>
      </c>
      <c r="R91" s="3">
        <f>IF(B91&lt;='Input sheet(dashboard)'!$D$27*12,('Input sheet(dashboard)'!$D$15/12)*(1+'Input sheet(dashboard)'!$E$22)^Calculations!B91,0)</f>
        <v>399.50334946348733</v>
      </c>
      <c r="S91" s="3">
        <f>IF(B91&lt;='Input sheet(dashboard)'!$D$27*12,(E91+G91+K91+L91-O91+M91+Q91+R91),0)</f>
        <v>58470.308789392133</v>
      </c>
      <c r="T91" s="3">
        <f>IF(B91&lt;='Input sheet(dashboard)'!$D$27*12,IF(D91=12,SUM(S80:S91),0),0)</f>
        <v>0</v>
      </c>
      <c r="U91" s="3">
        <f>IF(B91&lt;='Input sheet(dashboard)'!$D$27*12,IF(S91&lt;AD91,AD91-S91,0),0)</f>
        <v>0</v>
      </c>
      <c r="V91" s="3">
        <f>IF(B91&lt;='Input sheet(dashboard)'!$D$27*12,V90*(1+'Input sheet(dashboard)'!$E$25)+U91,0)</f>
        <v>0</v>
      </c>
      <c r="W91" s="17">
        <f>IF(B91&lt;='Input sheet(dashboard)'!$D$27*12,J91-I91+V91-N91,0)</f>
        <v>5815579.9963154178</v>
      </c>
      <c r="X91" s="3">
        <f>IF(B91&lt;='Input sheet(dashboard)'!$D$27*12,'Input sheet(dashboard)'!$D$17*(1+'Input sheet(dashboard)'!$E$23)^(B91-1),0)</f>
        <v>36898.270886169485</v>
      </c>
      <c r="Y91" s="3"/>
      <c r="Z91" s="18"/>
      <c r="AA91" s="18"/>
      <c r="AB91" s="3">
        <f>IF(B91=1,'Input sheet(dashboard)'!$D$18*Calculations!X91,IF(Calculations!B91=12*'Input sheet(dashboard)'!$D$27,'Input sheet(dashboard)'!$D$18*-Calculations!X91,0))</f>
        <v>0</v>
      </c>
      <c r="AC91" s="3">
        <f>IF(B91&lt;='Input sheet(dashboard)'!$D$27*12,IF(MOD(B90,'Input sheet(dashboard)'!$D$19*12),0,'Input sheet(dashboard)'!$D$20*(1+'Input sheet(dashboard)'!$E$22)^Calculations!B91),0)</f>
        <v>0</v>
      </c>
      <c r="AD91" s="17">
        <f t="shared" si="12"/>
        <v>36898.270886169485</v>
      </c>
      <c r="AE91" s="17">
        <f>IF(B91&lt;='Input sheet(dashboard)'!$D$27*12,IF(D91=12,SUM(AD80:AD91),0),0)</f>
        <v>0</v>
      </c>
      <c r="AF91" s="17">
        <f t="shared" si="13"/>
        <v>21572.037903222648</v>
      </c>
      <c r="AG91" s="17">
        <f t="shared" si="14"/>
        <v>21572.037903222648</v>
      </c>
      <c r="AH91" s="3">
        <f>IF(B91&lt;='Input sheet(dashboard)'!$D$27*12,AH90*(1+'Input sheet(dashboard)'!$E$25)+AG91," ")</f>
        <v>4592662.0537401857</v>
      </c>
    </row>
    <row r="92" spans="2:34">
      <c r="B92">
        <f t="shared" si="9"/>
        <v>89</v>
      </c>
      <c r="C92">
        <f t="shared" si="16"/>
        <v>8</v>
      </c>
      <c r="D92">
        <f t="shared" si="17"/>
        <v>5</v>
      </c>
      <c r="E92" s="15">
        <f>IF(C92&lt;='Input sheet(dashboard)'!$D$6, -PMT('Input sheet(dashboard)'!$E$5,'Input sheet(dashboard)'!$D$6*12,'Input sheet(dashboard)'!$D$3*'Input sheet(dashboard)'!$D$4),0)</f>
        <v>39834.137922259193</v>
      </c>
      <c r="F92" s="3">
        <f>I91*'Input sheet(dashboard)'!$E$5</f>
        <v>25018.457484730505</v>
      </c>
      <c r="G92" s="3">
        <f>IF(C92&lt;='Input sheet(dashboard)'!$D$6,E92*'Input sheet(dashboard)'!$D$7,0)</f>
        <v>3186.7310337807357</v>
      </c>
      <c r="H92" s="3">
        <f t="shared" si="10"/>
        <v>14815.680437528688</v>
      </c>
      <c r="I92" s="3">
        <f t="shared" si="11"/>
        <v>6853125.3335047821</v>
      </c>
      <c r="J92" s="3">
        <f>IF(B92&lt;='Input sheet(dashboard)'!$D$27*12,'Input sheet(dashboard)'!$D$3*(1+'Input sheet(dashboard)'!$E$24)^B92,0)</f>
        <v>12735195.244866025</v>
      </c>
      <c r="K92" s="3">
        <f>IF(B92&lt;='Input sheet(dashboard)'!$D$27*12,J92*'Input sheet(dashboard)'!$E$8,0)</f>
        <v>13190.42772127546</v>
      </c>
      <c r="L92" s="3">
        <f>IF(B92&lt;='Input sheet(dashboard)'!$D$27*12,'Input sheet(dashboard)'!$D$9*(1+'Input sheet(dashboard)'!$E$22)^B92,0)</f>
        <v>3602.936348573724</v>
      </c>
      <c r="M92" s="3">
        <f>IF(B92=1,'Input sheet(dashboard)'!$D$3*'Input sheet(dashboard)'!$D$10,0)</f>
        <v>0</v>
      </c>
      <c r="N92" s="3">
        <f>IF(B92='Input sheet(dashboard)'!$D$27*12,J92*'Input sheet(dashboard)'!$D$11,0)</f>
        <v>0</v>
      </c>
      <c r="O92" s="3">
        <f>IF(SUM(F92:F103)&gt;=150000,150000/12*'Input sheet(dashboard)'!$D$28,SUM(F92:F103)/12*'Input sheet(dashboard)'!$D$28)</f>
        <v>1875</v>
      </c>
      <c r="P92" s="3">
        <f t="shared" si="15"/>
        <v>0</v>
      </c>
      <c r="Q92" s="3">
        <f>IF(B92&lt;='Input sheet(dashboard)'!$D$27*12,'Input sheet(dashboard)'!$D$12/12,0)</f>
        <v>192.5</v>
      </c>
      <c r="R92" s="3">
        <f>IF(B92&lt;='Input sheet(dashboard)'!$D$27*12,('Input sheet(dashboard)'!$D$15/12)*(1+'Input sheet(dashboard)'!$E$22)^Calculations!B92,0)</f>
        <v>400.32626095263595</v>
      </c>
      <c r="S92" s="3">
        <f>IF(B92&lt;='Input sheet(dashboard)'!$D$27*12,(E92+G92+K92+L92-O92+M92+Q92+R92),0)</f>
        <v>58532.059286841752</v>
      </c>
      <c r="T92" s="3">
        <f>IF(B92&lt;='Input sheet(dashboard)'!$D$27*12,IF(D92=12,SUM(S81:S92),0),0)</f>
        <v>0</v>
      </c>
      <c r="U92" s="3">
        <f>IF(B92&lt;='Input sheet(dashboard)'!$D$27*12,IF(S92&lt;AD92,AD92-S92,0),0)</f>
        <v>0</v>
      </c>
      <c r="V92" s="3">
        <f>IF(B92&lt;='Input sheet(dashboard)'!$D$27*12,V91*(1+'Input sheet(dashboard)'!$E$25)+U92,0)</f>
        <v>0</v>
      </c>
      <c r="W92" s="17">
        <f>IF(B92&lt;='Input sheet(dashboard)'!$D$27*12,J92-I92+V92-N92,0)</f>
        <v>5882069.9113612426</v>
      </c>
      <c r="X92" s="3">
        <f>IF(B92&lt;='Input sheet(dashboard)'!$D$27*12,'Input sheet(dashboard)'!$D$17*(1+'Input sheet(dashboard)'!$E$23)^(B92-1),0)</f>
        <v>37048.599009162332</v>
      </c>
      <c r="Y92" s="3"/>
      <c r="Z92" s="18"/>
      <c r="AA92" s="18"/>
      <c r="AB92" s="3">
        <f>IF(B92=1,'Input sheet(dashboard)'!$D$18*Calculations!X92,IF(Calculations!B92=12*'Input sheet(dashboard)'!$D$27,'Input sheet(dashboard)'!$D$18*-Calculations!X92,0))</f>
        <v>0</v>
      </c>
      <c r="AC92" s="3">
        <f>IF(B92&lt;='Input sheet(dashboard)'!$D$27*12,IF(MOD(B91,'Input sheet(dashboard)'!$D$19*12),0,'Input sheet(dashboard)'!$D$20*(1+'Input sheet(dashboard)'!$E$22)^Calculations!B92),0)</f>
        <v>0</v>
      </c>
      <c r="AD92" s="17">
        <f t="shared" si="12"/>
        <v>37048.599009162332</v>
      </c>
      <c r="AE92" s="17">
        <f>IF(B92&lt;='Input sheet(dashboard)'!$D$27*12,IF(D92=12,SUM(AD81:AD92),0),0)</f>
        <v>0</v>
      </c>
      <c r="AF92" s="17">
        <f t="shared" si="13"/>
        <v>21483.46027767942</v>
      </c>
      <c r="AG92" s="17">
        <f t="shared" si="14"/>
        <v>21483.46027767942</v>
      </c>
      <c r="AH92" s="3">
        <f>IF(B92&lt;='Input sheet(dashboard)'!$D$27*12,AH91*(1+'Input sheet(dashboard)'!$E$25)+AG92," ")</f>
        <v>4643694.8399566999</v>
      </c>
    </row>
    <row r="93" spans="2:34">
      <c r="B93">
        <f t="shared" si="9"/>
        <v>90</v>
      </c>
      <c r="C93">
        <f t="shared" si="16"/>
        <v>8</v>
      </c>
      <c r="D93">
        <f t="shared" si="17"/>
        <v>6</v>
      </c>
      <c r="E93" s="15">
        <f>IF(C93&lt;='Input sheet(dashboard)'!$D$6, -PMT('Input sheet(dashboard)'!$E$5,'Input sheet(dashboard)'!$D$6*12,'Input sheet(dashboard)'!$D$3*'Input sheet(dashboard)'!$D$4),0)</f>
        <v>39834.137922259193</v>
      </c>
      <c r="F93" s="3">
        <f>I92*'Input sheet(dashboard)'!$E$5</f>
        <v>24964.48709238421</v>
      </c>
      <c r="G93" s="3">
        <f>IF(C93&lt;='Input sheet(dashboard)'!$D$6,E93*'Input sheet(dashboard)'!$D$7,0)</f>
        <v>3186.7310337807357</v>
      </c>
      <c r="H93" s="3">
        <f t="shared" si="10"/>
        <v>14869.650829874983</v>
      </c>
      <c r="I93" s="3">
        <f t="shared" si="11"/>
        <v>6838255.6826749071</v>
      </c>
      <c r="J93" s="3">
        <f>IF(B93&lt;='Input sheet(dashboard)'!$D$27*12,'Input sheet(dashboard)'!$D$3*(1+'Input sheet(dashboard)'!$E$24)^B93,0)</f>
        <v>12787080.006702539</v>
      </c>
      <c r="K93" s="3">
        <f>IF(B93&lt;='Input sheet(dashboard)'!$D$27*12,J93*'Input sheet(dashboard)'!$E$8,0)</f>
        <v>13244.167156571204</v>
      </c>
      <c r="L93" s="3">
        <f>IF(B93&lt;='Input sheet(dashboard)'!$D$27*12,'Input sheet(dashboard)'!$D$9*(1+'Input sheet(dashboard)'!$E$22)^B93,0)</f>
        <v>3610.3578075424502</v>
      </c>
      <c r="M93" s="3">
        <f>IF(B93=1,'Input sheet(dashboard)'!$D$3*'Input sheet(dashboard)'!$D$10,0)</f>
        <v>0</v>
      </c>
      <c r="N93" s="3">
        <f>IF(B93='Input sheet(dashboard)'!$D$27*12,J93*'Input sheet(dashboard)'!$D$11,0)</f>
        <v>0</v>
      </c>
      <c r="O93" s="3">
        <f>IF(SUM(F93:F104)&gt;=150000,150000/12*'Input sheet(dashboard)'!$D$28,SUM(F93:F104)/12*'Input sheet(dashboard)'!$D$28)</f>
        <v>1875</v>
      </c>
      <c r="P93" s="3">
        <f t="shared" si="15"/>
        <v>0</v>
      </c>
      <c r="Q93" s="3">
        <f>IF(B93&lt;='Input sheet(dashboard)'!$D$27*12,'Input sheet(dashboard)'!$D$12/12,0)</f>
        <v>192.5</v>
      </c>
      <c r="R93" s="3">
        <f>IF(B93&lt;='Input sheet(dashboard)'!$D$27*12,('Input sheet(dashboard)'!$D$15/12)*(1+'Input sheet(dashboard)'!$E$22)^Calculations!B93,0)</f>
        <v>401.1508675047167</v>
      </c>
      <c r="S93" s="3">
        <f>IF(B93&lt;='Input sheet(dashboard)'!$D$27*12,(E93+G93+K93+L93-O93+M93+Q93+R93),0)</f>
        <v>58594.044787658298</v>
      </c>
      <c r="T93" s="3">
        <f>IF(B93&lt;='Input sheet(dashboard)'!$D$27*12,IF(D93=12,SUM(S82:S93),0),0)</f>
        <v>0</v>
      </c>
      <c r="U93" s="3">
        <f>IF(B93&lt;='Input sheet(dashboard)'!$D$27*12,IF(S93&lt;AD93,AD93-S93,0),0)</f>
        <v>0</v>
      </c>
      <c r="V93" s="3">
        <f>IF(B93&lt;='Input sheet(dashboard)'!$D$27*12,V92*(1+'Input sheet(dashboard)'!$E$25)+U93,0)</f>
        <v>0</v>
      </c>
      <c r="W93" s="17">
        <f>IF(B93&lt;='Input sheet(dashboard)'!$D$27*12,J93-I93+V93-N93,0)</f>
        <v>5948824.3240276314</v>
      </c>
      <c r="X93" s="3">
        <f>IF(B93&lt;='Input sheet(dashboard)'!$D$27*12,'Input sheet(dashboard)'!$D$17*(1+'Input sheet(dashboard)'!$E$23)^(B93-1),0)</f>
        <v>37199.539587536419</v>
      </c>
      <c r="Y93" s="3"/>
      <c r="Z93" s="18"/>
      <c r="AA93" s="18"/>
      <c r="AB93" s="3">
        <f>IF(B93=1,'Input sheet(dashboard)'!$D$18*Calculations!X93,IF(Calculations!B93=12*'Input sheet(dashboard)'!$D$27,'Input sheet(dashboard)'!$D$18*-Calculations!X93,0))</f>
        <v>0</v>
      </c>
      <c r="AC93" s="3">
        <f>IF(B93&lt;='Input sheet(dashboard)'!$D$27*12,IF(MOD(B92,'Input sheet(dashboard)'!$D$19*12),0,'Input sheet(dashboard)'!$D$20*(1+'Input sheet(dashboard)'!$E$22)^Calculations!B93),0)</f>
        <v>0</v>
      </c>
      <c r="AD93" s="17">
        <f t="shared" si="12"/>
        <v>37199.539587536419</v>
      </c>
      <c r="AE93" s="17">
        <f>IF(B93&lt;='Input sheet(dashboard)'!$D$27*12,IF(D93=12,SUM(AD82:AD93),0),0)</f>
        <v>0</v>
      </c>
      <c r="AF93" s="17">
        <f t="shared" si="13"/>
        <v>21394.505200121879</v>
      </c>
      <c r="AG93" s="17">
        <f t="shared" si="14"/>
        <v>21394.505200121879</v>
      </c>
      <c r="AH93" s="3">
        <f>IF(B93&lt;='Input sheet(dashboard)'!$D$27*12,AH92*(1+'Input sheet(dashboard)'!$E$25)+AG93," ")</f>
        <v>4694967.0175787704</v>
      </c>
    </row>
    <row r="94" spans="2:34">
      <c r="B94">
        <f t="shared" si="9"/>
        <v>91</v>
      </c>
      <c r="C94">
        <f t="shared" si="16"/>
        <v>8</v>
      </c>
      <c r="D94">
        <f t="shared" si="17"/>
        <v>7</v>
      </c>
      <c r="E94" s="15">
        <f>IF(C94&lt;='Input sheet(dashboard)'!$D$6, -PMT('Input sheet(dashboard)'!$E$5,'Input sheet(dashboard)'!$D$6*12,'Input sheet(dashboard)'!$D$3*'Input sheet(dashboard)'!$D$4),0)</f>
        <v>39834.137922259193</v>
      </c>
      <c r="F94" s="3">
        <f>I93*'Input sheet(dashboard)'!$E$5</f>
        <v>24910.320097305947</v>
      </c>
      <c r="G94" s="3">
        <f>IF(C94&lt;='Input sheet(dashboard)'!$D$6,E94*'Input sheet(dashboard)'!$D$7,0)</f>
        <v>3186.7310337807357</v>
      </c>
      <c r="H94" s="3">
        <f t="shared" si="10"/>
        <v>14923.817824953247</v>
      </c>
      <c r="I94" s="3">
        <f t="shared" si="11"/>
        <v>6823331.8648499539</v>
      </c>
      <c r="J94" s="3">
        <f>IF(B94&lt;='Input sheet(dashboard)'!$D$27*12,'Input sheet(dashboard)'!$D$3*(1+'Input sheet(dashboard)'!$E$24)^B94,0)</f>
        <v>12839176.153481258</v>
      </c>
      <c r="K94" s="3">
        <f>IF(B94&lt;='Input sheet(dashboard)'!$D$27*12,J94*'Input sheet(dashboard)'!$E$8,0)</f>
        <v>13298.125532978403</v>
      </c>
      <c r="L94" s="3">
        <f>IF(B94&lt;='Input sheet(dashboard)'!$D$27*12,'Input sheet(dashboard)'!$D$9*(1+'Input sheet(dashboard)'!$E$22)^B94,0)</f>
        <v>3617.7945535015365</v>
      </c>
      <c r="M94" s="3">
        <f>IF(B94=1,'Input sheet(dashboard)'!$D$3*'Input sheet(dashboard)'!$D$10,0)</f>
        <v>0</v>
      </c>
      <c r="N94" s="3">
        <f>IF(B94='Input sheet(dashboard)'!$D$27*12,J94*'Input sheet(dashboard)'!$D$11,0)</f>
        <v>0</v>
      </c>
      <c r="O94" s="3">
        <f>IF(SUM(F94:F105)&gt;=150000,150000/12*'Input sheet(dashboard)'!$D$28,SUM(F94:F105)/12*'Input sheet(dashboard)'!$D$28)</f>
        <v>1875</v>
      </c>
      <c r="P94" s="3">
        <f t="shared" si="15"/>
        <v>0</v>
      </c>
      <c r="Q94" s="3">
        <f>IF(B94&lt;='Input sheet(dashboard)'!$D$27*12,'Input sheet(dashboard)'!$D$12/12,0)</f>
        <v>192.5</v>
      </c>
      <c r="R94" s="3">
        <f>IF(B94&lt;='Input sheet(dashboard)'!$D$27*12,('Input sheet(dashboard)'!$D$15/12)*(1+'Input sheet(dashboard)'!$E$22)^Calculations!B94,0)</f>
        <v>401.97717261128179</v>
      </c>
      <c r="S94" s="3">
        <f>IF(B94&lt;='Input sheet(dashboard)'!$D$27*12,(E94+G94+K94+L94-O94+M94+Q94+R94),0)</f>
        <v>58656.266215131152</v>
      </c>
      <c r="T94" s="3">
        <f>IF(B94&lt;='Input sheet(dashboard)'!$D$27*12,IF(D94=12,SUM(S83:S94),0),0)</f>
        <v>0</v>
      </c>
      <c r="U94" s="3">
        <f>IF(B94&lt;='Input sheet(dashboard)'!$D$27*12,IF(S94&lt;AD94,AD94-S94,0),0)</f>
        <v>0</v>
      </c>
      <c r="V94" s="3">
        <f>IF(B94&lt;='Input sheet(dashboard)'!$D$27*12,V93*(1+'Input sheet(dashboard)'!$E$25)+U94,0)</f>
        <v>0</v>
      </c>
      <c r="W94" s="17">
        <f>IF(B94&lt;='Input sheet(dashboard)'!$D$27*12,J94-I94+V94-N94,0)</f>
        <v>6015844.2886313042</v>
      </c>
      <c r="X94" s="3">
        <f>IF(B94&lt;='Input sheet(dashboard)'!$D$27*12,'Input sheet(dashboard)'!$D$17*(1+'Input sheet(dashboard)'!$E$23)^(B94-1),0)</f>
        <v>37351.095116510769</v>
      </c>
      <c r="Y94" s="3"/>
      <c r="Z94" s="18"/>
      <c r="AA94" s="18"/>
      <c r="AB94" s="3">
        <f>IF(B94=1,'Input sheet(dashboard)'!$D$18*Calculations!X94,IF(Calculations!B94=12*'Input sheet(dashboard)'!$D$27,'Input sheet(dashboard)'!$D$18*-Calculations!X94,0))</f>
        <v>0</v>
      </c>
      <c r="AC94" s="3">
        <f>IF(B94&lt;='Input sheet(dashboard)'!$D$27*12,IF(MOD(B93,'Input sheet(dashboard)'!$D$19*12),0,'Input sheet(dashboard)'!$D$20*(1+'Input sheet(dashboard)'!$E$22)^Calculations!B94),0)</f>
        <v>0</v>
      </c>
      <c r="AD94" s="17">
        <f t="shared" si="12"/>
        <v>37351.095116510769</v>
      </c>
      <c r="AE94" s="17">
        <f>IF(B94&lt;='Input sheet(dashboard)'!$D$27*12,IF(D94=12,SUM(AD83:AD94),0),0)</f>
        <v>0</v>
      </c>
      <c r="AF94" s="17">
        <f t="shared" si="13"/>
        <v>21305.171098620383</v>
      </c>
      <c r="AG94" s="17">
        <f t="shared" si="14"/>
        <v>21305.171098620383</v>
      </c>
      <c r="AH94" s="3">
        <f>IF(B94&lt;='Input sheet(dashboard)'!$D$27*12,AH93*(1+'Input sheet(dashboard)'!$E$25)+AG94," ")</f>
        <v>4746479.7478339663</v>
      </c>
    </row>
    <row r="95" spans="2:34">
      <c r="B95">
        <f t="shared" si="9"/>
        <v>92</v>
      </c>
      <c r="C95">
        <f t="shared" si="16"/>
        <v>8</v>
      </c>
      <c r="D95">
        <f t="shared" si="17"/>
        <v>8</v>
      </c>
      <c r="E95" s="15">
        <f>IF(C95&lt;='Input sheet(dashboard)'!$D$6, -PMT('Input sheet(dashboard)'!$E$5,'Input sheet(dashboard)'!$D$6*12,'Input sheet(dashboard)'!$D$3*'Input sheet(dashboard)'!$D$4),0)</f>
        <v>39834.137922259193</v>
      </c>
      <c r="F95" s="3">
        <f>I94*'Input sheet(dashboard)'!$E$5</f>
        <v>24855.955783313515</v>
      </c>
      <c r="G95" s="3">
        <f>IF(C95&lt;='Input sheet(dashboard)'!$D$6,E95*'Input sheet(dashboard)'!$D$7,0)</f>
        <v>3186.7310337807357</v>
      </c>
      <c r="H95" s="3">
        <f t="shared" si="10"/>
        <v>14978.182138945678</v>
      </c>
      <c r="I95" s="3">
        <f t="shared" si="11"/>
        <v>6808353.682711008</v>
      </c>
      <c r="J95" s="3">
        <f>IF(B95&lt;='Input sheet(dashboard)'!$D$27*12,'Input sheet(dashboard)'!$D$3*(1+'Input sheet(dashboard)'!$E$24)^B95,0)</f>
        <v>12891484.546410609</v>
      </c>
      <c r="K95" s="3">
        <f>IF(B95&lt;='Input sheet(dashboard)'!$D$27*12,J95*'Input sheet(dashboard)'!$E$8,0)</f>
        <v>13352.303742490254</v>
      </c>
      <c r="L95" s="3">
        <f>IF(B95&lt;='Input sheet(dashboard)'!$D$27*12,'Input sheet(dashboard)'!$D$9*(1+'Input sheet(dashboard)'!$E$22)^B95,0)</f>
        <v>3625.2466179396783</v>
      </c>
      <c r="M95" s="3">
        <f>IF(B95=1,'Input sheet(dashboard)'!$D$3*'Input sheet(dashboard)'!$D$10,0)</f>
        <v>0</v>
      </c>
      <c r="N95" s="3">
        <f>IF(B95='Input sheet(dashboard)'!$D$27*12,J95*'Input sheet(dashboard)'!$D$11,0)</f>
        <v>0</v>
      </c>
      <c r="O95" s="3">
        <f>IF(SUM(F95:F106)&gt;=150000,150000/12*'Input sheet(dashboard)'!$D$28,SUM(F95:F106)/12*'Input sheet(dashboard)'!$D$28)</f>
        <v>1875</v>
      </c>
      <c r="P95" s="3">
        <f t="shared" si="15"/>
        <v>0</v>
      </c>
      <c r="Q95" s="3">
        <f>IF(B95&lt;='Input sheet(dashboard)'!$D$27*12,'Input sheet(dashboard)'!$D$12/12,0)</f>
        <v>192.5</v>
      </c>
      <c r="R95" s="3">
        <f>IF(B95&lt;='Input sheet(dashboard)'!$D$27*12,('Input sheet(dashboard)'!$D$15/12)*(1+'Input sheet(dashboard)'!$E$22)^Calculations!B95,0)</f>
        <v>402.80517977107536</v>
      </c>
      <c r="S95" s="3">
        <f>IF(B95&lt;='Input sheet(dashboard)'!$D$27*12,(E95+G95+K95+L95-O95+M95+Q95+R95),0)</f>
        <v>58718.724496240931</v>
      </c>
      <c r="T95" s="3">
        <f>IF(B95&lt;='Input sheet(dashboard)'!$D$27*12,IF(D95=12,SUM(S84:S95),0),0)</f>
        <v>0</v>
      </c>
      <c r="U95" s="3">
        <f>IF(B95&lt;='Input sheet(dashboard)'!$D$27*12,IF(S95&lt;AD95,AD95-S95,0),0)</f>
        <v>0</v>
      </c>
      <c r="V95" s="3">
        <f>IF(B95&lt;='Input sheet(dashboard)'!$D$27*12,V94*(1+'Input sheet(dashboard)'!$E$25)+U95,0)</f>
        <v>0</v>
      </c>
      <c r="W95" s="17">
        <f>IF(B95&lt;='Input sheet(dashboard)'!$D$27*12,J95-I95+V95-N95,0)</f>
        <v>6083130.863699601</v>
      </c>
      <c r="X95" s="3">
        <f>IF(B95&lt;='Input sheet(dashboard)'!$D$27*12,'Input sheet(dashboard)'!$D$17*(1+'Input sheet(dashboard)'!$E$23)^(B95-1),0)</f>
        <v>37503.268101470254</v>
      </c>
      <c r="Y95" s="3"/>
      <c r="Z95" s="18"/>
      <c r="AA95" s="18"/>
      <c r="AB95" s="3">
        <f>IF(B95=1,'Input sheet(dashboard)'!$D$18*Calculations!X95,IF(Calculations!B95=12*'Input sheet(dashboard)'!$D$27,'Input sheet(dashboard)'!$D$18*-Calculations!X95,0))</f>
        <v>0</v>
      </c>
      <c r="AC95" s="3">
        <f>IF(B95&lt;='Input sheet(dashboard)'!$D$27*12,IF(MOD(B94,'Input sheet(dashboard)'!$D$19*12),0,'Input sheet(dashboard)'!$D$20*(1+'Input sheet(dashboard)'!$E$22)^Calculations!B95),0)</f>
        <v>0</v>
      </c>
      <c r="AD95" s="17">
        <f t="shared" si="12"/>
        <v>37503.268101470254</v>
      </c>
      <c r="AE95" s="17">
        <f>IF(B95&lt;='Input sheet(dashboard)'!$D$27*12,IF(D95=12,SUM(AD84:AD95),0),0)</f>
        <v>0</v>
      </c>
      <c r="AF95" s="17">
        <f t="shared" si="13"/>
        <v>21215.456394770677</v>
      </c>
      <c r="AG95" s="17">
        <f t="shared" si="14"/>
        <v>21215.456394770677</v>
      </c>
      <c r="AH95" s="3">
        <f>IF(B95&lt;='Input sheet(dashboard)'!$D$27*12,AH94*(1+'Input sheet(dashboard)'!$E$25)+AG95," ")</f>
        <v>4798234.1978428224</v>
      </c>
    </row>
    <row r="96" spans="2:34">
      <c r="B96">
        <f t="shared" si="9"/>
        <v>93</v>
      </c>
      <c r="C96">
        <f t="shared" si="16"/>
        <v>8</v>
      </c>
      <c r="D96">
        <f t="shared" si="17"/>
        <v>9</v>
      </c>
      <c r="E96" s="15">
        <f>IF(C96&lt;='Input sheet(dashboard)'!$D$6, -PMT('Input sheet(dashboard)'!$E$5,'Input sheet(dashboard)'!$D$6*12,'Input sheet(dashboard)'!$D$3*'Input sheet(dashboard)'!$D$4),0)</f>
        <v>39834.137922259193</v>
      </c>
      <c r="F96" s="3">
        <f>I95*'Input sheet(dashboard)'!$E$5</f>
        <v>24801.393431615819</v>
      </c>
      <c r="G96" s="3">
        <f>IF(C96&lt;='Input sheet(dashboard)'!$D$6,E96*'Input sheet(dashboard)'!$D$7,0)</f>
        <v>3186.7310337807357</v>
      </c>
      <c r="H96" s="3">
        <f t="shared" si="10"/>
        <v>15032.744490643374</v>
      </c>
      <c r="I96" s="3">
        <f t="shared" si="11"/>
        <v>6793320.938220365</v>
      </c>
      <c r="J96" s="3">
        <f>IF(B96&lt;='Input sheet(dashboard)'!$D$27*12,'Input sheet(dashboard)'!$D$3*(1+'Input sheet(dashboard)'!$E$24)^B96,0)</f>
        <v>12944006.050207676</v>
      </c>
      <c r="K96" s="3">
        <f>IF(B96&lt;='Input sheet(dashboard)'!$D$27*12,J96*'Input sheet(dashboard)'!$E$8,0)</f>
        <v>13406.702680734032</v>
      </c>
      <c r="L96" s="3">
        <f>IF(B96&lt;='Input sheet(dashboard)'!$D$27*12,'Input sheet(dashboard)'!$D$9*(1+'Input sheet(dashboard)'!$E$22)^B96,0)</f>
        <v>3632.7140324104344</v>
      </c>
      <c r="M96" s="3">
        <f>IF(B96=1,'Input sheet(dashboard)'!$D$3*'Input sheet(dashboard)'!$D$10,0)</f>
        <v>0</v>
      </c>
      <c r="N96" s="3">
        <f>IF(B96='Input sheet(dashboard)'!$D$27*12,J96*'Input sheet(dashboard)'!$D$11,0)</f>
        <v>0</v>
      </c>
      <c r="O96" s="3">
        <f>IF(SUM(F96:F107)&gt;=150000,150000/12*'Input sheet(dashboard)'!$D$28,SUM(F96:F107)/12*'Input sheet(dashboard)'!$D$28)</f>
        <v>1875</v>
      </c>
      <c r="P96" s="3">
        <f t="shared" si="15"/>
        <v>0</v>
      </c>
      <c r="Q96" s="3">
        <f>IF(B96&lt;='Input sheet(dashboard)'!$D$27*12,'Input sheet(dashboard)'!$D$12/12,0)</f>
        <v>192.5</v>
      </c>
      <c r="R96" s="3">
        <f>IF(B96&lt;='Input sheet(dashboard)'!$D$27*12,('Input sheet(dashboard)'!$D$15/12)*(1+'Input sheet(dashboard)'!$E$22)^Calculations!B96,0)</f>
        <v>403.63489249004829</v>
      </c>
      <c r="S96" s="3">
        <f>IF(B96&lt;='Input sheet(dashboard)'!$D$27*12,(E96+G96+K96+L96-O96+M96+Q96+R96),0)</f>
        <v>58781.420561674437</v>
      </c>
      <c r="T96" s="3">
        <f>IF(B96&lt;='Input sheet(dashboard)'!$D$27*12,IF(D96=12,SUM(S85:S96),0),0)</f>
        <v>0</v>
      </c>
      <c r="U96" s="3">
        <f>IF(B96&lt;='Input sheet(dashboard)'!$D$27*12,IF(S96&lt;AD96,AD96-S96,0),0)</f>
        <v>0</v>
      </c>
      <c r="V96" s="3">
        <f>IF(B96&lt;='Input sheet(dashboard)'!$D$27*12,V95*(1+'Input sheet(dashboard)'!$E$25)+U96,0)</f>
        <v>0</v>
      </c>
      <c r="W96" s="17">
        <f>IF(B96&lt;='Input sheet(dashboard)'!$D$27*12,J96-I96+V96-N96,0)</f>
        <v>6150685.1119873114</v>
      </c>
      <c r="X96" s="3">
        <f>IF(B96&lt;='Input sheet(dashboard)'!$D$27*12,'Input sheet(dashboard)'!$D$17*(1+'Input sheet(dashboard)'!$E$23)^(B96-1),0)</f>
        <v>37656.061058006999</v>
      </c>
      <c r="Y96" s="3"/>
      <c r="Z96" s="18"/>
      <c r="AA96" s="18"/>
      <c r="AB96" s="3">
        <f>IF(B96=1,'Input sheet(dashboard)'!$D$18*Calculations!X96,IF(Calculations!B96=12*'Input sheet(dashboard)'!$D$27,'Input sheet(dashboard)'!$D$18*-Calculations!X96,0))</f>
        <v>0</v>
      </c>
      <c r="AC96" s="3">
        <f>IF(B96&lt;='Input sheet(dashboard)'!$D$27*12,IF(MOD(B95,'Input sheet(dashboard)'!$D$19*12),0,'Input sheet(dashboard)'!$D$20*(1+'Input sheet(dashboard)'!$E$22)^Calculations!B96),0)</f>
        <v>0</v>
      </c>
      <c r="AD96" s="17">
        <f t="shared" si="12"/>
        <v>37656.061058006999</v>
      </c>
      <c r="AE96" s="17">
        <f>IF(B96&lt;='Input sheet(dashboard)'!$D$27*12,IF(D96=12,SUM(AD85:AD96),0),0)</f>
        <v>0</v>
      </c>
      <c r="AF96" s="17">
        <f t="shared" si="13"/>
        <v>21125.359503667438</v>
      </c>
      <c r="AG96" s="17">
        <f t="shared" si="14"/>
        <v>21125.359503667438</v>
      </c>
      <c r="AH96" s="3">
        <f>IF(B96&lt;='Input sheet(dashboard)'!$D$27*12,AH95*(1+'Input sheet(dashboard)'!$E$25)+AG96," ")</f>
        <v>4850231.5406502588</v>
      </c>
    </row>
    <row r="97" spans="2:34">
      <c r="B97">
        <f t="shared" si="9"/>
        <v>94</v>
      </c>
      <c r="C97">
        <f t="shared" si="16"/>
        <v>8</v>
      </c>
      <c r="D97">
        <f t="shared" si="17"/>
        <v>10</v>
      </c>
      <c r="E97" s="15">
        <f>IF(C97&lt;='Input sheet(dashboard)'!$D$6, -PMT('Input sheet(dashboard)'!$E$5,'Input sheet(dashboard)'!$D$6*12,'Input sheet(dashboard)'!$D$3*'Input sheet(dashboard)'!$D$4),0)</f>
        <v>39834.137922259193</v>
      </c>
      <c r="F97" s="3">
        <f>I96*'Input sheet(dashboard)'!$E$5</f>
        <v>24746.632320803354</v>
      </c>
      <c r="G97" s="3">
        <f>IF(C97&lt;='Input sheet(dashboard)'!$D$6,E97*'Input sheet(dashboard)'!$D$7,0)</f>
        <v>3186.7310337807357</v>
      </c>
      <c r="H97" s="3">
        <f t="shared" si="10"/>
        <v>15087.505601455839</v>
      </c>
      <c r="I97" s="3">
        <f t="shared" si="11"/>
        <v>6778233.4326189095</v>
      </c>
      <c r="J97" s="3">
        <f>IF(B97&lt;='Input sheet(dashboard)'!$D$27*12,'Input sheet(dashboard)'!$D$3*(1+'Input sheet(dashboard)'!$E$24)^B97,0)</f>
        <v>12996741.533112515</v>
      </c>
      <c r="K97" s="3">
        <f>IF(B97&lt;='Input sheet(dashboard)'!$D$27*12,J97*'Input sheet(dashboard)'!$E$8,0)</f>
        <v>13461.32324698591</v>
      </c>
      <c r="L97" s="3">
        <f>IF(B97&lt;='Input sheet(dashboard)'!$D$27*12,'Input sheet(dashboard)'!$D$9*(1+'Input sheet(dashboard)'!$E$22)^B97,0)</f>
        <v>3640.1968285323601</v>
      </c>
      <c r="M97" s="3">
        <f>IF(B97=1,'Input sheet(dashboard)'!$D$3*'Input sheet(dashboard)'!$D$10,0)</f>
        <v>0</v>
      </c>
      <c r="N97" s="3">
        <f>IF(B97='Input sheet(dashboard)'!$D$27*12,J97*'Input sheet(dashboard)'!$D$11,0)</f>
        <v>0</v>
      </c>
      <c r="O97" s="3">
        <f>IF(SUM(F97:F108)&gt;=150000,150000/12*'Input sheet(dashboard)'!$D$28,SUM(F97:F108)/12*'Input sheet(dashboard)'!$D$28)</f>
        <v>1875</v>
      </c>
      <c r="P97" s="3">
        <f t="shared" si="15"/>
        <v>0</v>
      </c>
      <c r="Q97" s="3">
        <f>IF(B97&lt;='Input sheet(dashboard)'!$D$27*12,'Input sheet(dashboard)'!$D$12/12,0)</f>
        <v>192.5</v>
      </c>
      <c r="R97" s="3">
        <f>IF(B97&lt;='Input sheet(dashboard)'!$D$27*12,('Input sheet(dashboard)'!$D$15/12)*(1+'Input sheet(dashboard)'!$E$22)^Calculations!B97,0)</f>
        <v>404.46631428137334</v>
      </c>
      <c r="S97" s="3">
        <f>IF(B97&lt;='Input sheet(dashboard)'!$D$27*12,(E97+G97+K97+L97-O97+M97+Q97+R97),0)</f>
        <v>58844.355345839576</v>
      </c>
      <c r="T97" s="3">
        <f>IF(B97&lt;='Input sheet(dashboard)'!$D$27*12,IF(D97=12,SUM(S86:S97),0),0)</f>
        <v>0</v>
      </c>
      <c r="U97" s="3">
        <f>IF(B97&lt;='Input sheet(dashboard)'!$D$27*12,IF(S97&lt;AD97,AD97-S97,0),0)</f>
        <v>0</v>
      </c>
      <c r="V97" s="3">
        <f>IF(B97&lt;='Input sheet(dashboard)'!$D$27*12,V96*(1+'Input sheet(dashboard)'!$E$25)+U97,0)</f>
        <v>0</v>
      </c>
      <c r="W97" s="17">
        <f>IF(B97&lt;='Input sheet(dashboard)'!$D$27*12,J97-I97+V97-N97,0)</f>
        <v>6218508.1004936052</v>
      </c>
      <c r="X97" s="3">
        <f>IF(B97&lt;='Input sheet(dashboard)'!$D$27*12,'Input sheet(dashboard)'!$D$17*(1+'Input sheet(dashboard)'!$E$23)^(B97-1),0)</f>
        <v>37809.476511961941</v>
      </c>
      <c r="Y97" s="3"/>
      <c r="Z97" s="18"/>
      <c r="AA97" s="18"/>
      <c r="AB97" s="3">
        <f>IF(B97=1,'Input sheet(dashboard)'!$D$18*Calculations!X97,IF(Calculations!B97=12*'Input sheet(dashboard)'!$D$27,'Input sheet(dashboard)'!$D$18*-Calculations!X97,0))</f>
        <v>0</v>
      </c>
      <c r="AC97" s="3">
        <f>IF(B97&lt;='Input sheet(dashboard)'!$D$27*12,IF(MOD(B96,'Input sheet(dashboard)'!$D$19*12),0,'Input sheet(dashboard)'!$D$20*(1+'Input sheet(dashboard)'!$E$22)^Calculations!B97),0)</f>
        <v>0</v>
      </c>
      <c r="AD97" s="17">
        <f t="shared" si="12"/>
        <v>37809.476511961941</v>
      </c>
      <c r="AE97" s="17">
        <f>IF(B97&lt;='Input sheet(dashboard)'!$D$27*12,IF(D97=12,SUM(AD86:AD97),0),0)</f>
        <v>0</v>
      </c>
      <c r="AF97" s="17">
        <f t="shared" si="13"/>
        <v>21034.878833877636</v>
      </c>
      <c r="AG97" s="17">
        <f t="shared" si="14"/>
        <v>21034.878833877636</v>
      </c>
      <c r="AH97" s="3">
        <f>IF(B97&lt;='Input sheet(dashboard)'!$D$27*12,AH96*(1+'Input sheet(dashboard)'!$E$25)+AG97," ")</f>
        <v>4902472.955257169</v>
      </c>
    </row>
    <row r="98" spans="2:34">
      <c r="B98">
        <f t="shared" si="9"/>
        <v>95</v>
      </c>
      <c r="C98">
        <f t="shared" si="16"/>
        <v>8</v>
      </c>
      <c r="D98">
        <f t="shared" si="17"/>
        <v>11</v>
      </c>
      <c r="E98" s="15">
        <f>IF(C98&lt;='Input sheet(dashboard)'!$D$6, -PMT('Input sheet(dashboard)'!$E$5,'Input sheet(dashboard)'!$D$6*12,'Input sheet(dashboard)'!$D$3*'Input sheet(dashboard)'!$D$4),0)</f>
        <v>39834.137922259193</v>
      </c>
      <c r="F98" s="3">
        <f>I97*'Input sheet(dashboard)'!$E$5</f>
        <v>24691.671726838675</v>
      </c>
      <c r="G98" s="3">
        <f>IF(C98&lt;='Input sheet(dashboard)'!$D$6,E98*'Input sheet(dashboard)'!$D$7,0)</f>
        <v>3186.7310337807357</v>
      </c>
      <c r="H98" s="3">
        <f t="shared" si="10"/>
        <v>15142.466195420518</v>
      </c>
      <c r="I98" s="3">
        <f t="shared" si="11"/>
        <v>6763090.9664234892</v>
      </c>
      <c r="J98" s="3">
        <f>IF(B98&lt;='Input sheet(dashboard)'!$D$27*12,'Input sheet(dashboard)'!$D$3*(1+'Input sheet(dashboard)'!$E$24)^B98,0)</f>
        <v>13049691.8669025</v>
      </c>
      <c r="K98" s="3">
        <f>IF(B98&lt;='Input sheet(dashboard)'!$D$27*12,J98*'Input sheet(dashboard)'!$E$8,0)</f>
        <v>13516.166344185836</v>
      </c>
      <c r="L98" s="3">
        <f>IF(B98&lt;='Input sheet(dashboard)'!$D$27*12,'Input sheet(dashboard)'!$D$9*(1+'Input sheet(dashboard)'!$E$22)^B98,0)</f>
        <v>3647.6950379891382</v>
      </c>
      <c r="M98" s="3">
        <f>IF(B98=1,'Input sheet(dashboard)'!$D$3*'Input sheet(dashboard)'!$D$10,0)</f>
        <v>0</v>
      </c>
      <c r="N98" s="3">
        <f>IF(B98='Input sheet(dashboard)'!$D$27*12,J98*'Input sheet(dashboard)'!$D$11,0)</f>
        <v>0</v>
      </c>
      <c r="O98" s="3">
        <f>IF(SUM(F98:F109)&gt;=150000,150000/12*'Input sheet(dashboard)'!$D$28,SUM(F98:F109)/12*'Input sheet(dashboard)'!$D$28)</f>
        <v>1875</v>
      </c>
      <c r="P98" s="3">
        <f t="shared" si="15"/>
        <v>0</v>
      </c>
      <c r="Q98" s="3">
        <f>IF(B98&lt;='Input sheet(dashboard)'!$D$27*12,'Input sheet(dashboard)'!$D$12/12,0)</f>
        <v>192.5</v>
      </c>
      <c r="R98" s="3">
        <f>IF(B98&lt;='Input sheet(dashboard)'!$D$27*12,('Input sheet(dashboard)'!$D$15/12)*(1+'Input sheet(dashboard)'!$E$22)^Calculations!B98,0)</f>
        <v>405.29944866545981</v>
      </c>
      <c r="S98" s="3">
        <f>IF(B98&lt;='Input sheet(dashboard)'!$D$27*12,(E98+G98+K98+L98-O98+M98+Q98+R98),0)</f>
        <v>58907.529786880354</v>
      </c>
      <c r="T98" s="3">
        <f>IF(B98&lt;='Input sheet(dashboard)'!$D$27*12,IF(D98=12,SUM(S87:S98),0),0)</f>
        <v>0</v>
      </c>
      <c r="U98" s="3">
        <f>IF(B98&lt;='Input sheet(dashboard)'!$D$27*12,IF(S98&lt;AD98,AD98-S98,0),0)</f>
        <v>0</v>
      </c>
      <c r="V98" s="3">
        <f>IF(B98&lt;='Input sheet(dashboard)'!$D$27*12,V97*(1+'Input sheet(dashboard)'!$E$25)+U98,0)</f>
        <v>0</v>
      </c>
      <c r="W98" s="17">
        <f>IF(B98&lt;='Input sheet(dashboard)'!$D$27*12,J98-I98+V98-N98,0)</f>
        <v>6286600.9004790112</v>
      </c>
      <c r="X98" s="3">
        <f>IF(B98&lt;='Input sheet(dashboard)'!$D$27*12,'Input sheet(dashboard)'!$D$17*(1+'Input sheet(dashboard)'!$E$23)^(B98-1),0)</f>
        <v>37963.516999466621</v>
      </c>
      <c r="Y98" s="3"/>
      <c r="Z98" s="18"/>
      <c r="AA98" s="18"/>
      <c r="AB98" s="3">
        <f>IF(B98=1,'Input sheet(dashboard)'!$D$18*Calculations!X98,IF(Calculations!B98=12*'Input sheet(dashboard)'!$D$27,'Input sheet(dashboard)'!$D$18*-Calculations!X98,0))</f>
        <v>0</v>
      </c>
      <c r="AC98" s="3">
        <f>IF(B98&lt;='Input sheet(dashboard)'!$D$27*12,IF(MOD(B97,'Input sheet(dashboard)'!$D$19*12),0,'Input sheet(dashboard)'!$D$20*(1+'Input sheet(dashboard)'!$E$22)^Calculations!B98),0)</f>
        <v>0</v>
      </c>
      <c r="AD98" s="17">
        <f t="shared" si="12"/>
        <v>37963.516999466621</v>
      </c>
      <c r="AE98" s="17">
        <f>IF(B98&lt;='Input sheet(dashboard)'!$D$27*12,IF(D98=12,SUM(AD87:AD98),0),0)</f>
        <v>0</v>
      </c>
      <c r="AF98" s="17">
        <f t="shared" si="13"/>
        <v>20944.012787413732</v>
      </c>
      <c r="AG98" s="17">
        <f t="shared" si="14"/>
        <v>20944.012787413732</v>
      </c>
      <c r="AH98" s="3">
        <f>IF(B98&lt;='Input sheet(dashboard)'!$D$27*12,AH97*(1+'Input sheet(dashboard)'!$E$25)+AG98," ")</f>
        <v>4954959.6266521849</v>
      </c>
    </row>
    <row r="99" spans="2:34">
      <c r="B99">
        <f t="shared" si="9"/>
        <v>96</v>
      </c>
      <c r="C99">
        <f t="shared" si="16"/>
        <v>8</v>
      </c>
      <c r="D99">
        <f t="shared" si="17"/>
        <v>12</v>
      </c>
      <c r="E99" s="15">
        <f>IF(C99&lt;='Input sheet(dashboard)'!$D$6, -PMT('Input sheet(dashboard)'!$E$5,'Input sheet(dashboard)'!$D$6*12,'Input sheet(dashboard)'!$D$3*'Input sheet(dashboard)'!$D$4),0)</f>
        <v>39834.137922259193</v>
      </c>
      <c r="F99" s="3">
        <f>I98*'Input sheet(dashboard)'!$E$5</f>
        <v>24636.510923046822</v>
      </c>
      <c r="G99" s="3">
        <f>IF(C99&lt;='Input sheet(dashboard)'!$D$6,E99*'Input sheet(dashboard)'!$D$7,0)</f>
        <v>3186.7310337807357</v>
      </c>
      <c r="H99" s="3">
        <f t="shared" si="10"/>
        <v>15197.626999212371</v>
      </c>
      <c r="I99" s="3">
        <f t="shared" si="11"/>
        <v>6747893.3394242767</v>
      </c>
      <c r="J99" s="3">
        <f>IF(B99&lt;='Input sheet(dashboard)'!$D$27*12,'Input sheet(dashboard)'!$D$3*(1+'Input sheet(dashboard)'!$E$24)^B99,0)</f>
        <v>13102857.926906731</v>
      </c>
      <c r="K99" s="3">
        <f>IF(B99&lt;='Input sheet(dashboard)'!$D$27*12,J99*'Input sheet(dashboard)'!$E$8,0)</f>
        <v>13571.232878952431</v>
      </c>
      <c r="L99" s="3">
        <f>IF(B99&lt;='Input sheet(dashboard)'!$D$27*12,'Input sheet(dashboard)'!$D$9*(1+'Input sheet(dashboard)'!$E$22)^B99,0)</f>
        <v>3655.2086925297131</v>
      </c>
      <c r="M99" s="3">
        <f>IF(B99=1,'Input sheet(dashboard)'!$D$3*'Input sheet(dashboard)'!$D$10,0)</f>
        <v>0</v>
      </c>
      <c r="N99" s="3">
        <f>IF(B99='Input sheet(dashboard)'!$D$27*12,J99*'Input sheet(dashboard)'!$D$11,0)</f>
        <v>0</v>
      </c>
      <c r="O99" s="3">
        <f>IF(SUM(F99:F110)&gt;=150000,150000/12*'Input sheet(dashboard)'!$D$28,SUM(F99:F110)/12*'Input sheet(dashboard)'!$D$28)</f>
        <v>1875</v>
      </c>
      <c r="P99" s="3">
        <f t="shared" si="15"/>
        <v>22500</v>
      </c>
      <c r="Q99" s="3">
        <f>IF(B99&lt;='Input sheet(dashboard)'!$D$27*12,'Input sheet(dashboard)'!$D$12/12,0)</f>
        <v>192.5</v>
      </c>
      <c r="R99" s="3">
        <f>IF(B99&lt;='Input sheet(dashboard)'!$D$27*12,('Input sheet(dashboard)'!$D$15/12)*(1+'Input sheet(dashboard)'!$E$22)^Calculations!B99,0)</f>
        <v>406.13429916996813</v>
      </c>
      <c r="S99" s="3">
        <f>IF(B99&lt;='Input sheet(dashboard)'!$D$27*12,(E99+G99+K99+L99-O99+M99+Q99+R99),0)</f>
        <v>58970.944826692044</v>
      </c>
      <c r="T99" s="3">
        <f>IF(B99&lt;='Input sheet(dashboard)'!$D$27*12,IF(D99=12,SUM(S88:S99),0),0)</f>
        <v>703518.41374125995</v>
      </c>
      <c r="U99" s="3">
        <f>IF(B99&lt;='Input sheet(dashboard)'!$D$27*12,IF(S99&lt;AD99,AD99-S99,0),0)</f>
        <v>0</v>
      </c>
      <c r="V99" s="3">
        <f>IF(B99&lt;='Input sheet(dashboard)'!$D$27*12,V98*(1+'Input sheet(dashboard)'!$E$25)+U99,0)</f>
        <v>0</v>
      </c>
      <c r="W99" s="17">
        <f>IF(B99&lt;='Input sheet(dashboard)'!$D$27*12,J99-I99+V99-N99,0)</f>
        <v>6354964.5874824543</v>
      </c>
      <c r="X99" s="3">
        <f>IF(B99&lt;='Input sheet(dashboard)'!$D$27*12,'Input sheet(dashboard)'!$D$17*(1+'Input sheet(dashboard)'!$E$23)^(B99-1),0)</f>
        <v>38118.18506698509</v>
      </c>
      <c r="Y99" s="3"/>
      <c r="Z99" s="18"/>
      <c r="AA99" s="18"/>
      <c r="AB99" s="3">
        <f>IF(B99=1,'Input sheet(dashboard)'!$D$18*Calculations!X99,IF(Calculations!B99=12*'Input sheet(dashboard)'!$D$27,'Input sheet(dashboard)'!$D$18*-Calculations!X99,0))</f>
        <v>0</v>
      </c>
      <c r="AC99" s="3">
        <f>IF(B99&lt;='Input sheet(dashboard)'!$D$27*12,IF(MOD(B98,'Input sheet(dashboard)'!$D$19*12),0,'Input sheet(dashboard)'!$D$20*(1+'Input sheet(dashboard)'!$E$22)^Calculations!B99),0)</f>
        <v>0</v>
      </c>
      <c r="AD99" s="17">
        <f t="shared" si="12"/>
        <v>38118.18506698509</v>
      </c>
      <c r="AE99" s="17">
        <f>IF(B99&lt;='Input sheet(dashboard)'!$D$27*12,IF(D99=12,SUM(AD88:AD99),0),0)</f>
        <v>447346.94359567703</v>
      </c>
      <c r="AF99" s="17">
        <f t="shared" si="13"/>
        <v>20852.759759706954</v>
      </c>
      <c r="AG99" s="17">
        <f t="shared" si="14"/>
        <v>20852.759759706954</v>
      </c>
      <c r="AH99" s="3">
        <f>IF(B99&lt;='Input sheet(dashboard)'!$D$27*12,AH98*(1+'Input sheet(dashboard)'!$E$25)+AG99," ")</f>
        <v>5007692.7458436238</v>
      </c>
    </row>
    <row r="100" spans="2:34">
      <c r="B100">
        <f t="shared" si="9"/>
        <v>97</v>
      </c>
      <c r="C100">
        <f t="shared" si="16"/>
        <v>9</v>
      </c>
      <c r="D100">
        <f t="shared" si="17"/>
        <v>1</v>
      </c>
      <c r="E100" s="15">
        <f>IF(C100&lt;='Input sheet(dashboard)'!$D$6, -PMT('Input sheet(dashboard)'!$E$5,'Input sheet(dashboard)'!$D$6*12,'Input sheet(dashboard)'!$D$3*'Input sheet(dashboard)'!$D$4),0)</f>
        <v>39834.137922259193</v>
      </c>
      <c r="F100" s="3">
        <f>I99*'Input sheet(dashboard)'!$E$5</f>
        <v>24581.149180105709</v>
      </c>
      <c r="G100" s="3">
        <f>IF(C100&lt;='Input sheet(dashboard)'!$D$6,E100*'Input sheet(dashboard)'!$D$7,0)</f>
        <v>3186.7310337807357</v>
      </c>
      <c r="H100" s="3">
        <f t="shared" si="10"/>
        <v>15252.988742153484</v>
      </c>
      <c r="I100" s="3">
        <f t="shared" si="11"/>
        <v>6732640.3506821236</v>
      </c>
      <c r="J100" s="3">
        <f>IF(B100&lt;='Input sheet(dashboard)'!$D$27*12,'Input sheet(dashboard)'!$D$3*(1+'Input sheet(dashboard)'!$E$24)^B100,0)</f>
        <v>13156240.592020508</v>
      </c>
      <c r="K100" s="3">
        <f>IF(B100&lt;='Input sheet(dashboard)'!$D$27*12,J100*'Input sheet(dashboard)'!$E$8,0)</f>
        <v>13626.523761598004</v>
      </c>
      <c r="L100" s="3">
        <f>IF(B100&lt;='Input sheet(dashboard)'!$D$27*12,'Input sheet(dashboard)'!$D$9*(1+'Input sheet(dashboard)'!$E$22)^B100,0)</f>
        <v>3662.7378239684303</v>
      </c>
      <c r="M100" s="3">
        <f>IF(B100=1,'Input sheet(dashboard)'!$D$3*'Input sheet(dashboard)'!$D$10,0)</f>
        <v>0</v>
      </c>
      <c r="N100" s="3">
        <f>IF(B100='Input sheet(dashboard)'!$D$27*12,J100*'Input sheet(dashboard)'!$D$11,0)</f>
        <v>0</v>
      </c>
      <c r="O100" s="3">
        <f>IF(SUM(F100:F111)&gt;=150000,150000/12*'Input sheet(dashboard)'!$D$28,SUM(F100:F111)/12*'Input sheet(dashboard)'!$D$28)</f>
        <v>1875</v>
      </c>
      <c r="P100" s="3">
        <f t="shared" si="15"/>
        <v>0</v>
      </c>
      <c r="Q100" s="3">
        <f>IF(B100&lt;='Input sheet(dashboard)'!$D$27*12,'Input sheet(dashboard)'!$D$12/12,0)</f>
        <v>192.5</v>
      </c>
      <c r="R100" s="3">
        <f>IF(B100&lt;='Input sheet(dashboard)'!$D$27*12,('Input sheet(dashboard)'!$D$15/12)*(1+'Input sheet(dashboard)'!$E$22)^Calculations!B100,0)</f>
        <v>406.97086932982558</v>
      </c>
      <c r="S100" s="3">
        <f>IF(B100&lt;='Input sheet(dashboard)'!$D$27*12,(E100+G100+K100+L100-O100+M100+Q100+R100),0)</f>
        <v>59034.601410936193</v>
      </c>
      <c r="T100" s="3">
        <f>IF(B100&lt;='Input sheet(dashboard)'!$D$27*12,IF(D100=12,SUM(S89:S100),0),0)</f>
        <v>0</v>
      </c>
      <c r="U100" s="3">
        <f>IF(B100&lt;='Input sheet(dashboard)'!$D$27*12,IF(S100&lt;AD100,AD100-S100,0),0)</f>
        <v>0</v>
      </c>
      <c r="V100" s="3">
        <f>IF(B100&lt;='Input sheet(dashboard)'!$D$27*12,V99*(1+'Input sheet(dashboard)'!$E$25)+U100,0)</f>
        <v>0</v>
      </c>
      <c r="W100" s="17">
        <f>IF(B100&lt;='Input sheet(dashboard)'!$D$27*12,J100-I100+V100-N100,0)</f>
        <v>6423600.2413383843</v>
      </c>
      <c r="X100" s="3">
        <f>IF(B100&lt;='Input sheet(dashboard)'!$D$27*12,'Input sheet(dashboard)'!$D$17*(1+'Input sheet(dashboard)'!$E$23)^(B100-1),0)</f>
        <v>38273.483271356003</v>
      </c>
      <c r="Y100" s="3"/>
      <c r="Z100" s="18"/>
      <c r="AA100" s="18"/>
      <c r="AB100" s="3">
        <f>IF(B100=1,'Input sheet(dashboard)'!$D$18*Calculations!X100,IF(Calculations!B100=12*'Input sheet(dashboard)'!$D$27,'Input sheet(dashboard)'!$D$18*-Calculations!X100,0))</f>
        <v>0</v>
      </c>
      <c r="AC100" s="3">
        <f>IF(B100&lt;='Input sheet(dashboard)'!$D$27*12,IF(MOD(B99,'Input sheet(dashboard)'!$D$19*12),0,'Input sheet(dashboard)'!$D$20*(1+'Input sheet(dashboard)'!$E$22)^Calculations!B100),0)</f>
        <v>0</v>
      </c>
      <c r="AD100" s="17">
        <f t="shared" si="12"/>
        <v>38273.483271356003</v>
      </c>
      <c r="AE100" s="17">
        <f>IF(B100&lt;='Input sheet(dashboard)'!$D$27*12,IF(D100=12,SUM(AD89:AD100),0),0)</f>
        <v>0</v>
      </c>
      <c r="AF100" s="17">
        <f t="shared" si="13"/>
        <v>20761.11813958019</v>
      </c>
      <c r="AG100" s="17">
        <f t="shared" si="14"/>
        <v>20761.11813958019</v>
      </c>
      <c r="AH100" s="3">
        <f>IF(B100&lt;='Input sheet(dashboard)'!$D$27*12,AH99*(1+'Input sheet(dashboard)'!$E$25)+AG100," ")</f>
        <v>5060673.5098916069</v>
      </c>
    </row>
    <row r="101" spans="2:34">
      <c r="B101">
        <f t="shared" si="9"/>
        <v>98</v>
      </c>
      <c r="C101">
        <f t="shared" si="16"/>
        <v>9</v>
      </c>
      <c r="D101">
        <f t="shared" si="17"/>
        <v>2</v>
      </c>
      <c r="E101" s="15">
        <f>IF(C101&lt;='Input sheet(dashboard)'!$D$6, -PMT('Input sheet(dashboard)'!$E$5,'Input sheet(dashboard)'!$D$6*12,'Input sheet(dashboard)'!$D$3*'Input sheet(dashboard)'!$D$4),0)</f>
        <v>39834.137922259193</v>
      </c>
      <c r="F101" s="3">
        <f>I100*'Input sheet(dashboard)'!$E$5</f>
        <v>24525.585766036493</v>
      </c>
      <c r="G101" s="3">
        <f>IF(C101&lt;='Input sheet(dashboard)'!$D$6,E101*'Input sheet(dashboard)'!$D$7,0)</f>
        <v>3186.7310337807357</v>
      </c>
      <c r="H101" s="3">
        <f t="shared" si="10"/>
        <v>15308.5521562227</v>
      </c>
      <c r="I101" s="3">
        <f t="shared" si="11"/>
        <v>6717331.7985259006</v>
      </c>
      <c r="J101" s="3">
        <f>IF(B101&lt;='Input sheet(dashboard)'!$D$27*12,'Input sheet(dashboard)'!$D$3*(1+'Input sheet(dashboard)'!$E$24)^B101,0)</f>
        <v>13209840.744719861</v>
      </c>
      <c r="K101" s="3">
        <f>IF(B101&lt;='Input sheet(dashboard)'!$D$27*12,J101*'Input sheet(dashboard)'!$E$8,0)</f>
        <v>13682.039906143582</v>
      </c>
      <c r="L101" s="3">
        <f>IF(B101&lt;='Input sheet(dashboard)'!$D$27*12,'Input sheet(dashboard)'!$D$9*(1+'Input sheet(dashboard)'!$E$22)^B101,0)</f>
        <v>3670.2824641851653</v>
      </c>
      <c r="M101" s="3">
        <f>IF(B101=1,'Input sheet(dashboard)'!$D$3*'Input sheet(dashboard)'!$D$10,0)</f>
        <v>0</v>
      </c>
      <c r="N101" s="3">
        <f>IF(B101='Input sheet(dashboard)'!$D$27*12,J101*'Input sheet(dashboard)'!$D$11,0)</f>
        <v>0</v>
      </c>
      <c r="O101" s="3">
        <f>IF(SUM(F101:F112)&gt;=150000,150000/12*'Input sheet(dashboard)'!$D$28,SUM(F101:F112)/12*'Input sheet(dashboard)'!$D$28)</f>
        <v>1875</v>
      </c>
      <c r="P101" s="3">
        <f t="shared" si="15"/>
        <v>0</v>
      </c>
      <c r="Q101" s="3">
        <f>IF(B101&lt;='Input sheet(dashboard)'!$D$27*12,'Input sheet(dashboard)'!$D$12/12,0)</f>
        <v>192.5</v>
      </c>
      <c r="R101" s="3">
        <f>IF(B101&lt;='Input sheet(dashboard)'!$D$27*12,('Input sheet(dashboard)'!$D$15/12)*(1+'Input sheet(dashboard)'!$E$22)^Calculations!B101,0)</f>
        <v>407.80916268724059</v>
      </c>
      <c r="S101" s="3">
        <f>IF(B101&lt;='Input sheet(dashboard)'!$D$27*12,(E101+G101+K101+L101-O101+M101+Q101+R101),0)</f>
        <v>59098.500489055914</v>
      </c>
      <c r="T101" s="3">
        <f>IF(B101&lt;='Input sheet(dashboard)'!$D$27*12,IF(D101=12,SUM(S90:S101),0),0)</f>
        <v>0</v>
      </c>
      <c r="U101" s="3">
        <f>IF(B101&lt;='Input sheet(dashboard)'!$D$27*12,IF(S101&lt;AD101,AD101-S101,0),0)</f>
        <v>0</v>
      </c>
      <c r="V101" s="3">
        <f>IF(B101&lt;='Input sheet(dashboard)'!$D$27*12,V100*(1+'Input sheet(dashboard)'!$E$25)+U101,0)</f>
        <v>0</v>
      </c>
      <c r="W101" s="17">
        <f>IF(B101&lt;='Input sheet(dashboard)'!$D$27*12,J101-I101+V101-N101,0)</f>
        <v>6492508.9461939605</v>
      </c>
      <c r="X101" s="3">
        <f>IF(B101&lt;='Input sheet(dashboard)'!$D$27*12,'Input sheet(dashboard)'!$D$17*(1+'Input sheet(dashboard)'!$E$23)^(B101-1),0)</f>
        <v>38429.414179834901</v>
      </c>
      <c r="Y101" s="3"/>
      <c r="Z101" s="18"/>
      <c r="AA101" s="18"/>
      <c r="AB101" s="3">
        <f>IF(B101=1,'Input sheet(dashboard)'!$D$18*Calculations!X101,IF(Calculations!B101=12*'Input sheet(dashboard)'!$D$27,'Input sheet(dashboard)'!$D$18*-Calculations!X101,0))</f>
        <v>0</v>
      </c>
      <c r="AC101" s="3">
        <f>IF(B101&lt;='Input sheet(dashboard)'!$D$27*12,IF(MOD(B100,'Input sheet(dashboard)'!$D$19*12),0,'Input sheet(dashboard)'!$D$20*(1+'Input sheet(dashboard)'!$E$22)^Calculations!B101),0)</f>
        <v>0</v>
      </c>
      <c r="AD101" s="17">
        <f t="shared" si="12"/>
        <v>38429.414179834901</v>
      </c>
      <c r="AE101" s="17">
        <f>IF(B101&lt;='Input sheet(dashboard)'!$D$27*12,IF(D101=12,SUM(AD90:AD101),0),0)</f>
        <v>0</v>
      </c>
      <c r="AF101" s="17">
        <f t="shared" si="13"/>
        <v>20669.086309221013</v>
      </c>
      <c r="AG101" s="17">
        <f t="shared" si="14"/>
        <v>20669.086309221013</v>
      </c>
      <c r="AH101" s="3">
        <f>IF(B101&lt;='Input sheet(dashboard)'!$D$27*12,AH100*(1+'Input sheet(dashboard)'!$E$25)+AG101," ")</f>
        <v>5113903.1219403669</v>
      </c>
    </row>
    <row r="102" spans="2:34">
      <c r="B102">
        <f t="shared" si="9"/>
        <v>99</v>
      </c>
      <c r="C102">
        <f t="shared" si="16"/>
        <v>9</v>
      </c>
      <c r="D102">
        <f t="shared" si="17"/>
        <v>3</v>
      </c>
      <c r="E102" s="15">
        <f>IF(C102&lt;='Input sheet(dashboard)'!$D$6, -PMT('Input sheet(dashboard)'!$E$5,'Input sheet(dashboard)'!$D$6*12,'Input sheet(dashboard)'!$D$3*'Input sheet(dashboard)'!$D$4),0)</f>
        <v>39834.137922259193</v>
      </c>
      <c r="F102" s="3">
        <f>I101*'Input sheet(dashboard)'!$E$5</f>
        <v>24469.819946193875</v>
      </c>
      <c r="G102" s="3">
        <f>IF(C102&lt;='Input sheet(dashboard)'!$D$6,E102*'Input sheet(dashboard)'!$D$7,0)</f>
        <v>3186.7310337807357</v>
      </c>
      <c r="H102" s="3">
        <f t="shared" si="10"/>
        <v>15364.317976065318</v>
      </c>
      <c r="I102" s="3">
        <f t="shared" si="11"/>
        <v>6701967.4805498356</v>
      </c>
      <c r="J102" s="3">
        <f>IF(B102&lt;='Input sheet(dashboard)'!$D$27*12,'Input sheet(dashboard)'!$D$3*(1+'Input sheet(dashboard)'!$E$24)^B102,0)</f>
        <v>13263659.271076132</v>
      </c>
      <c r="K102" s="3">
        <f>IF(B102&lt;='Input sheet(dashboard)'!$D$27*12,J102*'Input sheet(dashboard)'!$E$8,0)</f>
        <v>13737.782230334027</v>
      </c>
      <c r="L102" s="3">
        <f>IF(B102&lt;='Input sheet(dashboard)'!$D$27*12,'Input sheet(dashboard)'!$D$9*(1+'Input sheet(dashboard)'!$E$22)^B102,0)</f>
        <v>3677.8426451254613</v>
      </c>
      <c r="M102" s="3">
        <f>IF(B102=1,'Input sheet(dashboard)'!$D$3*'Input sheet(dashboard)'!$D$10,0)</f>
        <v>0</v>
      </c>
      <c r="N102" s="3">
        <f>IF(B102='Input sheet(dashboard)'!$D$27*12,J102*'Input sheet(dashboard)'!$D$11,0)</f>
        <v>0</v>
      </c>
      <c r="O102" s="3">
        <f>IF(SUM(F102:F113)&gt;=150000,150000/12*'Input sheet(dashboard)'!$D$28,SUM(F102:F113)/12*'Input sheet(dashboard)'!$D$28)</f>
        <v>1875</v>
      </c>
      <c r="P102" s="3">
        <f t="shared" si="15"/>
        <v>0</v>
      </c>
      <c r="Q102" s="3">
        <f>IF(B102&lt;='Input sheet(dashboard)'!$D$27*12,'Input sheet(dashboard)'!$D$12/12,0)</f>
        <v>192.5</v>
      </c>
      <c r="R102" s="3">
        <f>IF(B102&lt;='Input sheet(dashboard)'!$D$27*12,('Input sheet(dashboard)'!$D$15/12)*(1+'Input sheet(dashboard)'!$E$22)^Calculations!B102,0)</f>
        <v>408.64918279171792</v>
      </c>
      <c r="S102" s="3">
        <f>IF(B102&lt;='Input sheet(dashboard)'!$D$27*12,(E102+G102+K102+L102-O102+M102+Q102+R102),0)</f>
        <v>59162.643014291141</v>
      </c>
      <c r="T102" s="3">
        <f>IF(B102&lt;='Input sheet(dashboard)'!$D$27*12,IF(D102=12,SUM(S91:S102),0),0)</f>
        <v>0</v>
      </c>
      <c r="U102" s="3">
        <f>IF(B102&lt;='Input sheet(dashboard)'!$D$27*12,IF(S102&lt;AD102,AD102-S102,0),0)</f>
        <v>0</v>
      </c>
      <c r="V102" s="3">
        <f>IF(B102&lt;='Input sheet(dashboard)'!$D$27*12,V101*(1+'Input sheet(dashboard)'!$E$25)+U102,0)</f>
        <v>0</v>
      </c>
      <c r="W102" s="17">
        <f>IF(B102&lt;='Input sheet(dashboard)'!$D$27*12,J102-I102+V102-N102,0)</f>
        <v>6561691.790526296</v>
      </c>
      <c r="X102" s="3">
        <f>IF(B102&lt;='Input sheet(dashboard)'!$D$27*12,'Input sheet(dashboard)'!$D$17*(1+'Input sheet(dashboard)'!$E$23)^(B102-1),0)</f>
        <v>38585.980370136647</v>
      </c>
      <c r="Y102" s="3"/>
      <c r="Z102" s="18"/>
      <c r="AA102" s="18"/>
      <c r="AB102" s="3">
        <f>IF(B102=1,'Input sheet(dashboard)'!$D$18*Calculations!X102,IF(Calculations!B102=12*'Input sheet(dashboard)'!$D$27,'Input sheet(dashboard)'!$D$18*-Calculations!X102,0))</f>
        <v>0</v>
      </c>
      <c r="AC102" s="3">
        <f>IF(B102&lt;='Input sheet(dashboard)'!$D$27*12,IF(MOD(B101,'Input sheet(dashboard)'!$D$19*12),0,'Input sheet(dashboard)'!$D$20*(1+'Input sheet(dashboard)'!$E$22)^Calculations!B102),0)</f>
        <v>0</v>
      </c>
      <c r="AD102" s="17">
        <f t="shared" si="12"/>
        <v>38585.980370136647</v>
      </c>
      <c r="AE102" s="17">
        <f>IF(B102&lt;='Input sheet(dashboard)'!$D$27*12,IF(D102=12,SUM(AD91:AD102),0),0)</f>
        <v>0</v>
      </c>
      <c r="AF102" s="17">
        <f t="shared" si="13"/>
        <v>20576.662644154494</v>
      </c>
      <c r="AG102" s="17">
        <f t="shared" si="14"/>
        <v>20576.662644154494</v>
      </c>
      <c r="AH102" s="3">
        <f>IF(B102&lt;='Input sheet(dashboard)'!$D$27*12,AH101*(1+'Input sheet(dashboard)'!$E$25)+AG102," ")</f>
        <v>5167382.7912507262</v>
      </c>
    </row>
    <row r="103" spans="2:34">
      <c r="B103">
        <f t="shared" si="9"/>
        <v>100</v>
      </c>
      <c r="C103">
        <f t="shared" si="16"/>
        <v>9</v>
      </c>
      <c r="D103">
        <f t="shared" si="17"/>
        <v>4</v>
      </c>
      <c r="E103" s="15">
        <f>IF(C103&lt;='Input sheet(dashboard)'!$D$6, -PMT('Input sheet(dashboard)'!$E$5,'Input sheet(dashboard)'!$D$6*12,'Input sheet(dashboard)'!$D$3*'Input sheet(dashboard)'!$D$4),0)</f>
        <v>39834.137922259193</v>
      </c>
      <c r="F103" s="3">
        <f>I102*'Input sheet(dashboard)'!$E$5</f>
        <v>24413.850983256405</v>
      </c>
      <c r="G103" s="3">
        <f>IF(C103&lt;='Input sheet(dashboard)'!$D$6,E103*'Input sheet(dashboard)'!$D$7,0)</f>
        <v>3186.7310337807357</v>
      </c>
      <c r="H103" s="3">
        <f t="shared" si="10"/>
        <v>15420.286939002788</v>
      </c>
      <c r="I103" s="3">
        <f t="shared" si="11"/>
        <v>6686547.193610833</v>
      </c>
      <c r="J103" s="3">
        <f>IF(B103&lt;='Input sheet(dashboard)'!$D$27*12,'Input sheet(dashboard)'!$D$3*(1+'Input sheet(dashboard)'!$E$24)^B103,0)</f>
        <v>13317697.060770631</v>
      </c>
      <c r="K103" s="3">
        <f>IF(B103&lt;='Input sheet(dashboard)'!$D$27*12,J103*'Input sheet(dashboard)'!$E$8,0)</f>
        <v>13793.751655653214</v>
      </c>
      <c r="L103" s="3">
        <f>IF(B103&lt;='Input sheet(dashboard)'!$D$27*12,'Input sheet(dashboard)'!$D$9*(1+'Input sheet(dashboard)'!$E$22)^B103,0)</f>
        <v>3685.4183988006662</v>
      </c>
      <c r="M103" s="3">
        <f>IF(B103=1,'Input sheet(dashboard)'!$D$3*'Input sheet(dashboard)'!$D$10,0)</f>
        <v>0</v>
      </c>
      <c r="N103" s="3">
        <f>IF(B103='Input sheet(dashboard)'!$D$27*12,J103*'Input sheet(dashboard)'!$D$11,0)</f>
        <v>0</v>
      </c>
      <c r="O103" s="3">
        <f>IF(SUM(F103:F114)&gt;=150000,150000/12*'Input sheet(dashboard)'!$D$28,SUM(F103:F114)/12*'Input sheet(dashboard)'!$D$28)</f>
        <v>1875</v>
      </c>
      <c r="P103" s="3">
        <f t="shared" si="15"/>
        <v>0</v>
      </c>
      <c r="Q103" s="3">
        <f>IF(B103&lt;='Input sheet(dashboard)'!$D$27*12,'Input sheet(dashboard)'!$D$12/12,0)</f>
        <v>192.5</v>
      </c>
      <c r="R103" s="3">
        <f>IF(B103&lt;='Input sheet(dashboard)'!$D$27*12,('Input sheet(dashboard)'!$D$15/12)*(1+'Input sheet(dashboard)'!$E$22)^Calculations!B103,0)</f>
        <v>409.49093320007398</v>
      </c>
      <c r="S103" s="3">
        <f>IF(B103&lt;='Input sheet(dashboard)'!$D$27*12,(E103+G103+K103+L103-O103+M103+Q103+R103),0)</f>
        <v>59227.029943693888</v>
      </c>
      <c r="T103" s="3">
        <f>IF(B103&lt;='Input sheet(dashboard)'!$D$27*12,IF(D103=12,SUM(S92:S103),0),0)</f>
        <v>0</v>
      </c>
      <c r="U103" s="3">
        <f>IF(B103&lt;='Input sheet(dashboard)'!$D$27*12,IF(S103&lt;AD103,AD103-S103,0),0)</f>
        <v>0</v>
      </c>
      <c r="V103" s="3">
        <f>IF(B103&lt;='Input sheet(dashboard)'!$D$27*12,V102*(1+'Input sheet(dashboard)'!$E$25)+U103,0)</f>
        <v>0</v>
      </c>
      <c r="W103" s="17">
        <f>IF(B103&lt;='Input sheet(dashboard)'!$D$27*12,J103-I103+V103-N103,0)</f>
        <v>6631149.8671597978</v>
      </c>
      <c r="X103" s="3">
        <f>IF(B103&lt;='Input sheet(dashboard)'!$D$27*12,'Input sheet(dashboard)'!$D$17*(1+'Input sheet(dashboard)'!$E$23)^(B103-1),0)</f>
        <v>38743.184430478017</v>
      </c>
      <c r="Y103" s="3"/>
      <c r="Z103" s="18"/>
      <c r="AA103" s="18"/>
      <c r="AB103" s="3">
        <f>IF(B103=1,'Input sheet(dashboard)'!$D$18*Calculations!X103,IF(Calculations!B103=12*'Input sheet(dashboard)'!$D$27,'Input sheet(dashboard)'!$D$18*-Calculations!X103,0))</f>
        <v>0</v>
      </c>
      <c r="AC103" s="3">
        <f>IF(B103&lt;='Input sheet(dashboard)'!$D$27*12,IF(MOD(B102,'Input sheet(dashboard)'!$D$19*12),0,'Input sheet(dashboard)'!$D$20*(1+'Input sheet(dashboard)'!$E$22)^Calculations!B103),0)</f>
        <v>0</v>
      </c>
      <c r="AD103" s="17">
        <f t="shared" si="12"/>
        <v>38743.184430478017</v>
      </c>
      <c r="AE103" s="17">
        <f>IF(B103&lt;='Input sheet(dashboard)'!$D$27*12,IF(D103=12,SUM(AD92:AD103),0),0)</f>
        <v>0</v>
      </c>
      <c r="AF103" s="17">
        <f t="shared" si="13"/>
        <v>20483.845513215871</v>
      </c>
      <c r="AG103" s="17">
        <f t="shared" si="14"/>
        <v>20483.845513215871</v>
      </c>
      <c r="AH103" s="3">
        <f>IF(B103&lt;='Input sheet(dashboard)'!$D$27*12,AH102*(1+'Input sheet(dashboard)'!$E$25)+AG103," ")</f>
        <v>5221113.7332327636</v>
      </c>
    </row>
    <row r="104" spans="2:34">
      <c r="B104">
        <f t="shared" si="9"/>
        <v>101</v>
      </c>
      <c r="C104">
        <f t="shared" si="16"/>
        <v>9</v>
      </c>
      <c r="D104">
        <f t="shared" si="17"/>
        <v>5</v>
      </c>
      <c r="E104" s="15">
        <f>IF(C104&lt;='Input sheet(dashboard)'!$D$6, -PMT('Input sheet(dashboard)'!$E$5,'Input sheet(dashboard)'!$D$6*12,'Input sheet(dashboard)'!$D$3*'Input sheet(dashboard)'!$D$4),0)</f>
        <v>39834.137922259193</v>
      </c>
      <c r="F104" s="3">
        <f>I103*'Input sheet(dashboard)'!$E$5</f>
        <v>24357.678137216724</v>
      </c>
      <c r="G104" s="3">
        <f>IF(C104&lt;='Input sheet(dashboard)'!$D$6,E104*'Input sheet(dashboard)'!$D$7,0)</f>
        <v>3186.7310337807357</v>
      </c>
      <c r="H104" s="3">
        <f t="shared" si="10"/>
        <v>15476.459785042469</v>
      </c>
      <c r="I104" s="3">
        <f t="shared" si="11"/>
        <v>6671070.7338257907</v>
      </c>
      <c r="J104" s="3">
        <f>IF(B104&lt;='Input sheet(dashboard)'!$D$27*12,'Input sheet(dashboard)'!$D$3*(1+'Input sheet(dashboard)'!$E$24)^B104,0)</f>
        <v>13371955.007109338</v>
      </c>
      <c r="K104" s="3">
        <f>IF(B104&lt;='Input sheet(dashboard)'!$D$27*12,J104*'Input sheet(dashboard)'!$E$8,0)</f>
        <v>13849.949107339247</v>
      </c>
      <c r="L104" s="3">
        <f>IF(B104&lt;='Input sheet(dashboard)'!$D$27*12,'Input sheet(dashboard)'!$D$9*(1+'Input sheet(dashboard)'!$E$22)^B104,0)</f>
        <v>3693.0097572880613</v>
      </c>
      <c r="M104" s="3">
        <f>IF(B104=1,'Input sheet(dashboard)'!$D$3*'Input sheet(dashboard)'!$D$10,0)</f>
        <v>0</v>
      </c>
      <c r="N104" s="3">
        <f>IF(B104='Input sheet(dashboard)'!$D$27*12,J104*'Input sheet(dashboard)'!$D$11,0)</f>
        <v>0</v>
      </c>
      <c r="O104" s="3">
        <f>IF(SUM(F104:F115)&gt;=150000,150000/12*'Input sheet(dashboard)'!$D$28,SUM(F104:F115)/12*'Input sheet(dashboard)'!$D$28)</f>
        <v>1875</v>
      </c>
      <c r="P104" s="3">
        <f t="shared" si="15"/>
        <v>0</v>
      </c>
      <c r="Q104" s="3">
        <f>IF(B104&lt;='Input sheet(dashboard)'!$D$27*12,'Input sheet(dashboard)'!$D$12/12,0)</f>
        <v>192.5</v>
      </c>
      <c r="R104" s="3">
        <f>IF(B104&lt;='Input sheet(dashboard)'!$D$27*12,('Input sheet(dashboard)'!$D$15/12)*(1+'Input sheet(dashboard)'!$E$22)^Calculations!B104,0)</f>
        <v>410.33441747645122</v>
      </c>
      <c r="S104" s="3">
        <f>IF(B104&lt;='Input sheet(dashboard)'!$D$27*12,(E104+G104+K104+L104-O104+M104+Q104+R104),0)</f>
        <v>59291.66223814369</v>
      </c>
      <c r="T104" s="3">
        <f>IF(B104&lt;='Input sheet(dashboard)'!$D$27*12,IF(D104=12,SUM(S93:S104),0),0)</f>
        <v>0</v>
      </c>
      <c r="U104" s="3">
        <f>IF(B104&lt;='Input sheet(dashboard)'!$D$27*12,IF(S104&lt;AD104,AD104-S104,0),0)</f>
        <v>0</v>
      </c>
      <c r="V104" s="3">
        <f>IF(B104&lt;='Input sheet(dashboard)'!$D$27*12,V103*(1+'Input sheet(dashboard)'!$E$25)+U104,0)</f>
        <v>0</v>
      </c>
      <c r="W104" s="17">
        <f>IF(B104&lt;='Input sheet(dashboard)'!$D$27*12,J104-I104+V104-N104,0)</f>
        <v>6700884.2732835477</v>
      </c>
      <c r="X104" s="3">
        <f>IF(B104&lt;='Input sheet(dashboard)'!$D$27*12,'Input sheet(dashboard)'!$D$17*(1+'Input sheet(dashboard)'!$E$23)^(B104-1),0)</f>
        <v>38901.028959620497</v>
      </c>
      <c r="Y104" s="3"/>
      <c r="Z104" s="18"/>
      <c r="AA104" s="18"/>
      <c r="AB104" s="3">
        <f>IF(B104=1,'Input sheet(dashboard)'!$D$18*Calculations!X104,IF(Calculations!B104=12*'Input sheet(dashboard)'!$D$27,'Input sheet(dashboard)'!$D$18*-Calculations!X104,0))</f>
        <v>0</v>
      </c>
      <c r="AC104" s="3">
        <f>IF(B104&lt;='Input sheet(dashboard)'!$D$27*12,IF(MOD(B103,'Input sheet(dashboard)'!$D$19*12),0,'Input sheet(dashboard)'!$D$20*(1+'Input sheet(dashboard)'!$E$22)^Calculations!B104),0)</f>
        <v>0</v>
      </c>
      <c r="AD104" s="17">
        <f t="shared" si="12"/>
        <v>38901.028959620497</v>
      </c>
      <c r="AE104" s="17">
        <f>IF(B104&lt;='Input sheet(dashboard)'!$D$27*12,IF(D104=12,SUM(AD93:AD104),0),0)</f>
        <v>0</v>
      </c>
      <c r="AF104" s="17">
        <f t="shared" si="13"/>
        <v>20390.633278523193</v>
      </c>
      <c r="AG104" s="17">
        <f t="shared" si="14"/>
        <v>20390.633278523193</v>
      </c>
      <c r="AH104" s="3">
        <f>IF(B104&lt;='Input sheet(dashboard)'!$D$27*12,AH103*(1+'Input sheet(dashboard)'!$E$25)+AG104," ")</f>
        <v>5275097.1694786595</v>
      </c>
    </row>
    <row r="105" spans="2:34">
      <c r="B105">
        <f t="shared" si="9"/>
        <v>102</v>
      </c>
      <c r="C105">
        <f t="shared" si="16"/>
        <v>9</v>
      </c>
      <c r="D105">
        <f t="shared" si="17"/>
        <v>6</v>
      </c>
      <c r="E105" s="15">
        <f>IF(C105&lt;='Input sheet(dashboard)'!$D$6, -PMT('Input sheet(dashboard)'!$E$5,'Input sheet(dashboard)'!$D$6*12,'Input sheet(dashboard)'!$D$3*'Input sheet(dashboard)'!$D$4),0)</f>
        <v>39834.137922259193</v>
      </c>
      <c r="F105" s="3">
        <f>I104*'Input sheet(dashboard)'!$E$5</f>
        <v>24301.300665371789</v>
      </c>
      <c r="G105" s="3">
        <f>IF(C105&lt;='Input sheet(dashboard)'!$D$6,E105*'Input sheet(dashboard)'!$D$7,0)</f>
        <v>3186.7310337807357</v>
      </c>
      <c r="H105" s="3">
        <f t="shared" si="10"/>
        <v>15532.837256887404</v>
      </c>
      <c r="I105" s="3">
        <f t="shared" si="11"/>
        <v>6655537.8965689037</v>
      </c>
      <c r="J105" s="3">
        <f>IF(B105&lt;='Input sheet(dashboard)'!$D$27*12,'Input sheet(dashboard)'!$D$3*(1+'Input sheet(dashboard)'!$E$24)^B105,0)</f>
        <v>13426434.007037679</v>
      </c>
      <c r="K105" s="3">
        <f>IF(B105&lt;='Input sheet(dashboard)'!$D$27*12,J105*'Input sheet(dashboard)'!$E$8,0)</f>
        <v>13906.375514399777</v>
      </c>
      <c r="L105" s="3">
        <f>IF(B105&lt;='Input sheet(dashboard)'!$D$27*12,'Input sheet(dashboard)'!$D$9*(1+'Input sheet(dashboard)'!$E$22)^B105,0)</f>
        <v>3700.6167527310058</v>
      </c>
      <c r="M105" s="3">
        <f>IF(B105=1,'Input sheet(dashboard)'!$D$3*'Input sheet(dashboard)'!$D$10,0)</f>
        <v>0</v>
      </c>
      <c r="N105" s="3">
        <f>IF(B105='Input sheet(dashboard)'!$D$27*12,J105*'Input sheet(dashboard)'!$D$11,0)</f>
        <v>0</v>
      </c>
      <c r="O105" s="3">
        <f>IF(SUM(F105:F116)&gt;=150000,150000/12*'Input sheet(dashboard)'!$D$28,SUM(F105:F116)/12*'Input sheet(dashboard)'!$D$28)</f>
        <v>1875</v>
      </c>
      <c r="P105" s="3">
        <f t="shared" si="15"/>
        <v>0</v>
      </c>
      <c r="Q105" s="3">
        <f>IF(B105&lt;='Input sheet(dashboard)'!$D$27*12,'Input sheet(dashboard)'!$D$12/12,0)</f>
        <v>192.5</v>
      </c>
      <c r="R105" s="3">
        <f>IF(B105&lt;='Input sheet(dashboard)'!$D$27*12,('Input sheet(dashboard)'!$D$15/12)*(1+'Input sheet(dashboard)'!$E$22)^Calculations!B105,0)</f>
        <v>411.17963919233398</v>
      </c>
      <c r="S105" s="3">
        <f>IF(B105&lt;='Input sheet(dashboard)'!$D$27*12,(E105+G105+K105+L105-O105+M105+Q105+R105),0)</f>
        <v>59356.540862363043</v>
      </c>
      <c r="T105" s="3">
        <f>IF(B105&lt;='Input sheet(dashboard)'!$D$27*12,IF(D105=12,SUM(S94:S105),0),0)</f>
        <v>0</v>
      </c>
      <c r="U105" s="3">
        <f>IF(B105&lt;='Input sheet(dashboard)'!$D$27*12,IF(S105&lt;AD105,AD105-S105,0),0)</f>
        <v>0</v>
      </c>
      <c r="V105" s="3">
        <f>IF(B105&lt;='Input sheet(dashboard)'!$D$27*12,V104*(1+'Input sheet(dashboard)'!$E$25)+U105,0)</f>
        <v>0</v>
      </c>
      <c r="W105" s="17">
        <f>IF(B105&lt;='Input sheet(dashboard)'!$D$27*12,J105-I105+V105-N105,0)</f>
        <v>6770896.110468775</v>
      </c>
      <c r="X105" s="3">
        <f>IF(B105&lt;='Input sheet(dashboard)'!$D$27*12,'Input sheet(dashboard)'!$D$17*(1+'Input sheet(dashboard)'!$E$23)^(B105-1),0)</f>
        <v>39059.516566913277</v>
      </c>
      <c r="Y105" s="3"/>
      <c r="Z105" s="18"/>
      <c r="AA105" s="18"/>
      <c r="AB105" s="3">
        <f>IF(B105=1,'Input sheet(dashboard)'!$D$18*Calculations!X105,IF(Calculations!B105=12*'Input sheet(dashboard)'!$D$27,'Input sheet(dashboard)'!$D$18*-Calculations!X105,0))</f>
        <v>0</v>
      </c>
      <c r="AC105" s="3">
        <f>IF(B105&lt;='Input sheet(dashboard)'!$D$27*12,IF(MOD(B104,'Input sheet(dashboard)'!$D$19*12),0,'Input sheet(dashboard)'!$D$20*(1+'Input sheet(dashboard)'!$E$22)^Calculations!B105),0)</f>
        <v>0</v>
      </c>
      <c r="AD105" s="17">
        <f t="shared" si="12"/>
        <v>39059.516566913277</v>
      </c>
      <c r="AE105" s="17">
        <f>IF(B105&lt;='Input sheet(dashboard)'!$D$27*12,IF(D105=12,SUM(AD94:AD105),0),0)</f>
        <v>0</v>
      </c>
      <c r="AF105" s="17">
        <f t="shared" si="13"/>
        <v>20297.024295449766</v>
      </c>
      <c r="AG105" s="17">
        <f t="shared" si="14"/>
        <v>20297.024295449766</v>
      </c>
      <c r="AH105" s="3">
        <f>IF(B105&lt;='Input sheet(dashboard)'!$D$27*12,AH104*(1+'Input sheet(dashboard)'!$E$25)+AG105," ")</f>
        <v>5329334.327795729</v>
      </c>
    </row>
    <row r="106" spans="2:34">
      <c r="B106">
        <f t="shared" si="9"/>
        <v>103</v>
      </c>
      <c r="C106">
        <f t="shared" si="16"/>
        <v>9</v>
      </c>
      <c r="D106">
        <f t="shared" si="17"/>
        <v>7</v>
      </c>
      <c r="E106" s="15">
        <f>IF(C106&lt;='Input sheet(dashboard)'!$D$6, -PMT('Input sheet(dashboard)'!$E$5,'Input sheet(dashboard)'!$D$6*12,'Input sheet(dashboard)'!$D$3*'Input sheet(dashboard)'!$D$4),0)</f>
        <v>39834.137922259193</v>
      </c>
      <c r="F106" s="3">
        <f>I105*'Input sheet(dashboard)'!$E$5</f>
        <v>24244.717822313036</v>
      </c>
      <c r="G106" s="3">
        <f>IF(C106&lt;='Input sheet(dashboard)'!$D$6,E106*'Input sheet(dashboard)'!$D$7,0)</f>
        <v>3186.7310337807357</v>
      </c>
      <c r="H106" s="3">
        <f t="shared" si="10"/>
        <v>15589.420099946157</v>
      </c>
      <c r="I106" s="3">
        <f t="shared" si="11"/>
        <v>6639948.476468958</v>
      </c>
      <c r="J106" s="3">
        <f>IF(B106&lt;='Input sheet(dashboard)'!$D$27*12,'Input sheet(dashboard)'!$D$3*(1+'Input sheet(dashboard)'!$E$24)^B106,0)</f>
        <v>13481134.961155336</v>
      </c>
      <c r="K106" s="3">
        <f>IF(B106&lt;='Input sheet(dashboard)'!$D$27*12,J106*'Input sheet(dashboard)'!$E$8,0)</f>
        <v>13963.031809627339</v>
      </c>
      <c r="L106" s="3">
        <f>IF(B106&lt;='Input sheet(dashboard)'!$D$27*12,'Input sheet(dashboard)'!$D$9*(1+'Input sheet(dashboard)'!$E$22)^B106,0)</f>
        <v>3708.2394173390699</v>
      </c>
      <c r="M106" s="3">
        <f>IF(B106=1,'Input sheet(dashboard)'!$D$3*'Input sheet(dashboard)'!$D$10,0)</f>
        <v>0</v>
      </c>
      <c r="N106" s="3">
        <f>IF(B106='Input sheet(dashboard)'!$D$27*12,J106*'Input sheet(dashboard)'!$D$11,0)</f>
        <v>0</v>
      </c>
      <c r="O106" s="3">
        <f>IF(SUM(F106:F117)&gt;=150000,150000/12*'Input sheet(dashboard)'!$D$28,SUM(F106:F117)/12*'Input sheet(dashboard)'!$D$28)</f>
        <v>1875</v>
      </c>
      <c r="P106" s="3">
        <f t="shared" si="15"/>
        <v>0</v>
      </c>
      <c r="Q106" s="3">
        <f>IF(B106&lt;='Input sheet(dashboard)'!$D$27*12,'Input sheet(dashboard)'!$D$12/12,0)</f>
        <v>192.5</v>
      </c>
      <c r="R106" s="3">
        <f>IF(B106&lt;='Input sheet(dashboard)'!$D$27*12,('Input sheet(dashboard)'!$D$15/12)*(1+'Input sheet(dashboard)'!$E$22)^Calculations!B106,0)</f>
        <v>412.02660192656333</v>
      </c>
      <c r="S106" s="3">
        <f>IF(B106&lt;='Input sheet(dashboard)'!$D$27*12,(E106+G106+K106+L106-O106+M106+Q106+R106),0)</f>
        <v>59421.666784932902</v>
      </c>
      <c r="T106" s="3">
        <f>IF(B106&lt;='Input sheet(dashboard)'!$D$27*12,IF(D106=12,SUM(S95:S106),0),0)</f>
        <v>0</v>
      </c>
      <c r="U106" s="3">
        <f>IF(B106&lt;='Input sheet(dashboard)'!$D$27*12,IF(S106&lt;AD106,AD106-S106,0),0)</f>
        <v>0</v>
      </c>
      <c r="V106" s="3">
        <f>IF(B106&lt;='Input sheet(dashboard)'!$D$27*12,V105*(1+'Input sheet(dashboard)'!$E$25)+U106,0)</f>
        <v>0</v>
      </c>
      <c r="W106" s="17">
        <f>IF(B106&lt;='Input sheet(dashboard)'!$D$27*12,J106-I106+V106-N106,0)</f>
        <v>6841186.4846863784</v>
      </c>
      <c r="X106" s="3">
        <f>IF(B106&lt;='Input sheet(dashboard)'!$D$27*12,'Input sheet(dashboard)'!$D$17*(1+'Input sheet(dashboard)'!$E$23)^(B106-1),0)</f>
        <v>39218.649872336347</v>
      </c>
      <c r="Y106" s="3"/>
      <c r="Z106" s="18"/>
      <c r="AA106" s="18"/>
      <c r="AB106" s="3">
        <f>IF(B106=1,'Input sheet(dashboard)'!$D$18*Calculations!X106,IF(Calculations!B106=12*'Input sheet(dashboard)'!$D$27,'Input sheet(dashboard)'!$D$18*-Calculations!X106,0))</f>
        <v>0</v>
      </c>
      <c r="AC106" s="3">
        <f>IF(B106&lt;='Input sheet(dashboard)'!$D$27*12,IF(MOD(B105,'Input sheet(dashboard)'!$D$19*12),0,'Input sheet(dashboard)'!$D$20*(1+'Input sheet(dashboard)'!$E$22)^Calculations!B106),0)</f>
        <v>0</v>
      </c>
      <c r="AD106" s="17">
        <f t="shared" si="12"/>
        <v>39218.649872336347</v>
      </c>
      <c r="AE106" s="17">
        <f>IF(B106&lt;='Input sheet(dashboard)'!$D$27*12,IF(D106=12,SUM(AD95:AD106),0),0)</f>
        <v>0</v>
      </c>
      <c r="AF106" s="17">
        <f t="shared" si="13"/>
        <v>20203.016912596555</v>
      </c>
      <c r="AG106" s="17">
        <f t="shared" si="14"/>
        <v>20203.016912596555</v>
      </c>
      <c r="AH106" s="3">
        <f>IF(B106&lt;='Input sheet(dashboard)'!$D$27*12,AH105*(1+'Input sheet(dashboard)'!$E$25)+AG106," ")</f>
        <v>5383826.4422396384</v>
      </c>
    </row>
    <row r="107" spans="2:34">
      <c r="B107">
        <f t="shared" si="9"/>
        <v>104</v>
      </c>
      <c r="C107">
        <f t="shared" si="16"/>
        <v>9</v>
      </c>
      <c r="D107">
        <f t="shared" si="17"/>
        <v>8</v>
      </c>
      <c r="E107" s="15">
        <f>IF(C107&lt;='Input sheet(dashboard)'!$D$6, -PMT('Input sheet(dashboard)'!$E$5,'Input sheet(dashboard)'!$D$6*12,'Input sheet(dashboard)'!$D$3*'Input sheet(dashboard)'!$D$4),0)</f>
        <v>39834.137922259193</v>
      </c>
      <c r="F107" s="3">
        <f>I106*'Input sheet(dashboard)'!$E$5</f>
        <v>24187.928859916545</v>
      </c>
      <c r="G107" s="3">
        <f>IF(C107&lt;='Input sheet(dashboard)'!$D$6,E107*'Input sheet(dashboard)'!$D$7,0)</f>
        <v>3186.7310337807357</v>
      </c>
      <c r="H107" s="3">
        <f t="shared" si="10"/>
        <v>15646.209062342648</v>
      </c>
      <c r="I107" s="3">
        <f t="shared" si="11"/>
        <v>6624302.2674066154</v>
      </c>
      <c r="J107" s="3">
        <f>IF(B107&lt;='Input sheet(dashboard)'!$D$27*12,'Input sheet(dashboard)'!$D$3*(1+'Input sheet(dashboard)'!$E$24)^B107,0)</f>
        <v>13536058.773731155</v>
      </c>
      <c r="K107" s="3">
        <f>IF(B107&lt;='Input sheet(dashboard)'!$D$27*12,J107*'Input sheet(dashboard)'!$E$8,0)</f>
        <v>14019.918929614783</v>
      </c>
      <c r="L107" s="3">
        <f>IF(B107&lt;='Input sheet(dashboard)'!$D$27*12,'Input sheet(dashboard)'!$D$9*(1+'Input sheet(dashboard)'!$E$22)^B107,0)</f>
        <v>3715.877783388165</v>
      </c>
      <c r="M107" s="3">
        <f>IF(B107=1,'Input sheet(dashboard)'!$D$3*'Input sheet(dashboard)'!$D$10,0)</f>
        <v>0</v>
      </c>
      <c r="N107" s="3">
        <f>IF(B107='Input sheet(dashboard)'!$D$27*12,J107*'Input sheet(dashboard)'!$D$11,0)</f>
        <v>0</v>
      </c>
      <c r="O107" s="3">
        <f>IF(SUM(F107:F118)&gt;=150000,150000/12*'Input sheet(dashboard)'!$D$28,SUM(F107:F118)/12*'Input sheet(dashboard)'!$D$28)</f>
        <v>1875</v>
      </c>
      <c r="P107" s="3">
        <f t="shared" si="15"/>
        <v>0</v>
      </c>
      <c r="Q107" s="3">
        <f>IF(B107&lt;='Input sheet(dashboard)'!$D$27*12,'Input sheet(dashboard)'!$D$12/12,0)</f>
        <v>192.5</v>
      </c>
      <c r="R107" s="3">
        <f>IF(B107&lt;='Input sheet(dashboard)'!$D$27*12,('Input sheet(dashboard)'!$D$15/12)*(1+'Input sheet(dashboard)'!$E$22)^Calculations!B107,0)</f>
        <v>412.87530926535163</v>
      </c>
      <c r="S107" s="3">
        <f>IF(B107&lt;='Input sheet(dashboard)'!$D$27*12,(E107+G107+K107+L107-O107+M107+Q107+R107),0)</f>
        <v>59487.040978308229</v>
      </c>
      <c r="T107" s="3">
        <f>IF(B107&lt;='Input sheet(dashboard)'!$D$27*12,IF(D107=12,SUM(S96:S107),0),0)</f>
        <v>0</v>
      </c>
      <c r="U107" s="3">
        <f>IF(B107&lt;='Input sheet(dashboard)'!$D$27*12,IF(S107&lt;AD107,AD107-S107,0),0)</f>
        <v>0</v>
      </c>
      <c r="V107" s="3">
        <f>IF(B107&lt;='Input sheet(dashboard)'!$D$27*12,V106*(1+'Input sheet(dashboard)'!$E$25)+U107,0)</f>
        <v>0</v>
      </c>
      <c r="W107" s="17">
        <f>IF(B107&lt;='Input sheet(dashboard)'!$D$27*12,J107-I107+V107-N107,0)</f>
        <v>6911756.5063245399</v>
      </c>
      <c r="X107" s="3">
        <f>IF(B107&lt;='Input sheet(dashboard)'!$D$27*12,'Input sheet(dashboard)'!$D$17*(1+'Input sheet(dashboard)'!$E$23)^(B107-1),0)</f>
        <v>39378.431506543813</v>
      </c>
      <c r="Y107" s="3"/>
      <c r="Z107" s="18"/>
      <c r="AA107" s="18"/>
      <c r="AB107" s="3">
        <f>IF(B107=1,'Input sheet(dashboard)'!$D$18*Calculations!X107,IF(Calculations!B107=12*'Input sheet(dashboard)'!$D$27,'Input sheet(dashboard)'!$D$18*-Calculations!X107,0))</f>
        <v>0</v>
      </c>
      <c r="AC107" s="3">
        <f>IF(B107&lt;='Input sheet(dashboard)'!$D$27*12,IF(MOD(B106,'Input sheet(dashboard)'!$D$19*12),0,'Input sheet(dashboard)'!$D$20*(1+'Input sheet(dashboard)'!$E$22)^Calculations!B107),0)</f>
        <v>0</v>
      </c>
      <c r="AD107" s="17">
        <f t="shared" si="12"/>
        <v>39378.431506543813</v>
      </c>
      <c r="AE107" s="17">
        <f>IF(B107&lt;='Input sheet(dashboard)'!$D$27*12,IF(D107=12,SUM(AD96:AD107),0),0)</f>
        <v>0</v>
      </c>
      <c r="AF107" s="17">
        <f t="shared" si="13"/>
        <v>20108.609471764416</v>
      </c>
      <c r="AG107" s="17">
        <f t="shared" si="14"/>
        <v>20108.609471764416</v>
      </c>
      <c r="AH107" s="3">
        <f>IF(B107&lt;='Input sheet(dashboard)'!$D$27*12,AH106*(1+'Input sheet(dashboard)'!$E$25)+AG107," ")</f>
        <v>5438574.7531478051</v>
      </c>
    </row>
    <row r="108" spans="2:34">
      <c r="B108">
        <f t="shared" si="9"/>
        <v>105</v>
      </c>
      <c r="C108">
        <f t="shared" si="16"/>
        <v>9</v>
      </c>
      <c r="D108">
        <f t="shared" si="17"/>
        <v>9</v>
      </c>
      <c r="E108" s="15">
        <f>IF(C108&lt;='Input sheet(dashboard)'!$D$6, -PMT('Input sheet(dashboard)'!$E$5,'Input sheet(dashboard)'!$D$6*12,'Input sheet(dashboard)'!$D$3*'Input sheet(dashboard)'!$D$4),0)</f>
        <v>39834.137922259193</v>
      </c>
      <c r="F108" s="3">
        <f>I107*'Input sheet(dashboard)'!$E$5</f>
        <v>24130.933027333129</v>
      </c>
      <c r="G108" s="3">
        <f>IF(C108&lt;='Input sheet(dashboard)'!$D$6,E108*'Input sheet(dashboard)'!$D$7,0)</f>
        <v>3186.7310337807357</v>
      </c>
      <c r="H108" s="3">
        <f t="shared" si="10"/>
        <v>15703.204894926064</v>
      </c>
      <c r="I108" s="3">
        <f t="shared" si="11"/>
        <v>6608599.062511689</v>
      </c>
      <c r="J108" s="3">
        <f>IF(B108&lt;='Input sheet(dashboard)'!$D$27*12,'Input sheet(dashboard)'!$D$3*(1+'Input sheet(dashboard)'!$E$24)^B108,0)</f>
        <v>13591206.352718078</v>
      </c>
      <c r="K108" s="3">
        <f>IF(B108&lt;='Input sheet(dashboard)'!$D$27*12,J108*'Input sheet(dashboard)'!$E$8,0)</f>
        <v>14077.037814770751</v>
      </c>
      <c r="L108" s="3">
        <f>IF(B108&lt;='Input sheet(dashboard)'!$D$27*12,'Input sheet(dashboard)'!$D$9*(1+'Input sheet(dashboard)'!$E$22)^B108,0)</f>
        <v>3723.5318832206913</v>
      </c>
      <c r="M108" s="3">
        <f>IF(B108=1,'Input sheet(dashboard)'!$D$3*'Input sheet(dashboard)'!$D$10,0)</f>
        <v>0</v>
      </c>
      <c r="N108" s="3">
        <f>IF(B108='Input sheet(dashboard)'!$D$27*12,J108*'Input sheet(dashboard)'!$D$11,0)</f>
        <v>0</v>
      </c>
      <c r="O108" s="3">
        <f>IF(SUM(F108:F119)&gt;=150000,150000/12*'Input sheet(dashboard)'!$D$28,SUM(F108:F119)/12*'Input sheet(dashboard)'!$D$28)</f>
        <v>1875</v>
      </c>
      <c r="P108" s="3">
        <f t="shared" si="15"/>
        <v>0</v>
      </c>
      <c r="Q108" s="3">
        <f>IF(B108&lt;='Input sheet(dashboard)'!$D$27*12,'Input sheet(dashboard)'!$D$12/12,0)</f>
        <v>192.5</v>
      </c>
      <c r="R108" s="3">
        <f>IF(B108&lt;='Input sheet(dashboard)'!$D$27*12,('Input sheet(dashboard)'!$D$15/12)*(1+'Input sheet(dashboard)'!$E$22)^Calculations!B108,0)</f>
        <v>413.72576480229901</v>
      </c>
      <c r="S108" s="3">
        <f>IF(B108&lt;='Input sheet(dashboard)'!$D$27*12,(E108+G108+K108+L108-O108+M108+Q108+R108),0)</f>
        <v>59552.664418833672</v>
      </c>
      <c r="T108" s="3">
        <f>IF(B108&lt;='Input sheet(dashboard)'!$D$27*12,IF(D108=12,SUM(S97:S108),0),0)</f>
        <v>0</v>
      </c>
      <c r="U108" s="3">
        <f>IF(B108&lt;='Input sheet(dashboard)'!$D$27*12,IF(S108&lt;AD108,AD108-S108,0),0)</f>
        <v>0</v>
      </c>
      <c r="V108" s="3">
        <f>IF(B108&lt;='Input sheet(dashboard)'!$D$27*12,V107*(1+'Input sheet(dashboard)'!$E$25)+U108,0)</f>
        <v>0</v>
      </c>
      <c r="W108" s="17">
        <f>IF(B108&lt;='Input sheet(dashboard)'!$D$27*12,J108-I108+V108-N108,0)</f>
        <v>6982607.2902063886</v>
      </c>
      <c r="X108" s="3">
        <f>IF(B108&lt;='Input sheet(dashboard)'!$D$27*12,'Input sheet(dashboard)'!$D$17*(1+'Input sheet(dashboard)'!$E$23)^(B108-1),0)</f>
        <v>39538.864110907394</v>
      </c>
      <c r="Y108" s="3"/>
      <c r="Z108" s="18"/>
      <c r="AA108" s="18"/>
      <c r="AB108" s="3">
        <f>IF(B108=1,'Input sheet(dashboard)'!$D$18*Calculations!X108,IF(Calculations!B108=12*'Input sheet(dashboard)'!$D$27,'Input sheet(dashboard)'!$D$18*-Calculations!X108,0))</f>
        <v>0</v>
      </c>
      <c r="AC108" s="3">
        <f>IF(B108&lt;='Input sheet(dashboard)'!$D$27*12,IF(MOD(B107,'Input sheet(dashboard)'!$D$19*12),0,'Input sheet(dashboard)'!$D$20*(1+'Input sheet(dashboard)'!$E$22)^Calculations!B108),0)</f>
        <v>9929.4183552551767</v>
      </c>
      <c r="AD108" s="17">
        <f t="shared" si="12"/>
        <v>49468.282466162571</v>
      </c>
      <c r="AE108" s="17">
        <f>IF(B108&lt;='Input sheet(dashboard)'!$D$27*12,IF(D108=12,SUM(AD97:AD108),0),0)</f>
        <v>0</v>
      </c>
      <c r="AF108" s="17">
        <f t="shared" si="13"/>
        <v>10084.381952671101</v>
      </c>
      <c r="AG108" s="17">
        <f t="shared" si="14"/>
        <v>10084.381952671101</v>
      </c>
      <c r="AH108" s="3">
        <f>IF(B108&lt;='Input sheet(dashboard)'!$D$27*12,AH107*(1+'Input sheet(dashboard)'!$E$25)+AG108," ")</f>
        <v>5483651.0888177343</v>
      </c>
    </row>
    <row r="109" spans="2:34">
      <c r="B109">
        <f t="shared" si="9"/>
        <v>106</v>
      </c>
      <c r="C109">
        <f t="shared" si="16"/>
        <v>9</v>
      </c>
      <c r="D109">
        <f t="shared" si="17"/>
        <v>10</v>
      </c>
      <c r="E109" s="15">
        <f>IF(C109&lt;='Input sheet(dashboard)'!$D$6, -PMT('Input sheet(dashboard)'!$E$5,'Input sheet(dashboard)'!$D$6*12,'Input sheet(dashboard)'!$D$3*'Input sheet(dashboard)'!$D$4),0)</f>
        <v>39834.137922259193</v>
      </c>
      <c r="F109" s="3">
        <f>I108*'Input sheet(dashboard)'!$E$5</f>
        <v>24073.729570978427</v>
      </c>
      <c r="G109" s="3">
        <f>IF(C109&lt;='Input sheet(dashboard)'!$D$6,E109*'Input sheet(dashboard)'!$D$7,0)</f>
        <v>3186.7310337807357</v>
      </c>
      <c r="H109" s="3">
        <f t="shared" si="10"/>
        <v>15760.408351280767</v>
      </c>
      <c r="I109" s="3">
        <f t="shared" si="11"/>
        <v>6592838.6541604083</v>
      </c>
      <c r="J109" s="3">
        <f>IF(B109&lt;='Input sheet(dashboard)'!$D$27*12,'Input sheet(dashboard)'!$D$3*(1+'Input sheet(dashboard)'!$E$24)^B109,0)</f>
        <v>13646578.609768158</v>
      </c>
      <c r="K109" s="3">
        <f>IF(B109&lt;='Input sheet(dashboard)'!$D$27*12,J109*'Input sheet(dashboard)'!$E$8,0)</f>
        <v>14134.389409335225</v>
      </c>
      <c r="L109" s="3">
        <f>IF(B109&lt;='Input sheet(dashboard)'!$D$27*12,'Input sheet(dashboard)'!$D$9*(1+'Input sheet(dashboard)'!$E$22)^B109,0)</f>
        <v>3731.2017492456644</v>
      </c>
      <c r="M109" s="3">
        <f>IF(B109=1,'Input sheet(dashboard)'!$D$3*'Input sheet(dashboard)'!$D$10,0)</f>
        <v>0</v>
      </c>
      <c r="N109" s="3">
        <f>IF(B109='Input sheet(dashboard)'!$D$27*12,J109*'Input sheet(dashboard)'!$D$11,0)</f>
        <v>0</v>
      </c>
      <c r="O109" s="3">
        <f>IF(SUM(F109:F120)&gt;=150000,150000/12*'Input sheet(dashboard)'!$D$28,SUM(F109:F120)/12*'Input sheet(dashboard)'!$D$28)</f>
        <v>1875</v>
      </c>
      <c r="P109" s="3">
        <f t="shared" si="15"/>
        <v>0</v>
      </c>
      <c r="Q109" s="3">
        <f>IF(B109&lt;='Input sheet(dashboard)'!$D$27*12,'Input sheet(dashboard)'!$D$12/12,0)</f>
        <v>192.5</v>
      </c>
      <c r="R109" s="3">
        <f>IF(B109&lt;='Input sheet(dashboard)'!$D$27*12,('Input sheet(dashboard)'!$D$15/12)*(1+'Input sheet(dashboard)'!$E$22)^Calculations!B109,0)</f>
        <v>414.57797213840712</v>
      </c>
      <c r="S109" s="3">
        <f>IF(B109&lt;='Input sheet(dashboard)'!$D$27*12,(E109+G109+K109+L109-O109+M109+Q109+R109),0)</f>
        <v>59618.538086759225</v>
      </c>
      <c r="T109" s="3">
        <f>IF(B109&lt;='Input sheet(dashboard)'!$D$27*12,IF(D109=12,SUM(S98:S109),0),0)</f>
        <v>0</v>
      </c>
      <c r="U109" s="3">
        <f>IF(B109&lt;='Input sheet(dashboard)'!$D$27*12,IF(S109&lt;AD109,AD109-S109,0),0)</f>
        <v>0</v>
      </c>
      <c r="V109" s="3">
        <f>IF(B109&lt;='Input sheet(dashboard)'!$D$27*12,V108*(1+'Input sheet(dashboard)'!$E$25)+U109,0)</f>
        <v>0</v>
      </c>
      <c r="W109" s="17">
        <f>IF(B109&lt;='Input sheet(dashboard)'!$D$27*12,J109-I109+V109-N109,0)</f>
        <v>7053739.9556077495</v>
      </c>
      <c r="X109" s="3">
        <f>IF(B109&lt;='Input sheet(dashboard)'!$D$27*12,'Input sheet(dashboard)'!$D$17*(1+'Input sheet(dashboard)'!$E$23)^(B109-1),0)</f>
        <v>39699.950337560091</v>
      </c>
      <c r="Y109" s="3"/>
      <c r="Z109" s="18"/>
      <c r="AA109" s="18"/>
      <c r="AB109" s="3">
        <f>IF(B109=1,'Input sheet(dashboard)'!$D$18*Calculations!X109,IF(Calculations!B109=12*'Input sheet(dashboard)'!$D$27,'Input sheet(dashboard)'!$D$18*-Calculations!X109,0))</f>
        <v>0</v>
      </c>
      <c r="AC109" s="3">
        <f>IF(B109&lt;='Input sheet(dashboard)'!$D$27*12,IF(MOD(B108,'Input sheet(dashboard)'!$D$19*12),0,'Input sheet(dashboard)'!$D$20*(1+'Input sheet(dashboard)'!$E$22)^Calculations!B109),0)</f>
        <v>0</v>
      </c>
      <c r="AD109" s="17">
        <f t="shared" si="12"/>
        <v>39699.950337560091</v>
      </c>
      <c r="AE109" s="17">
        <f>IF(B109&lt;='Input sheet(dashboard)'!$D$27*12,IF(D109=12,SUM(AD98:AD109),0),0)</f>
        <v>0</v>
      </c>
      <c r="AF109" s="17">
        <f t="shared" si="13"/>
        <v>19918.587749199134</v>
      </c>
      <c r="AG109" s="17">
        <f t="shared" si="14"/>
        <v>19918.587749199134</v>
      </c>
      <c r="AH109" s="3">
        <f>IF(B109&lt;='Input sheet(dashboard)'!$D$27*12,AH108*(1+'Input sheet(dashboard)'!$E$25)+AG109," ")</f>
        <v>5538851.6527851401</v>
      </c>
    </row>
    <row r="110" spans="2:34">
      <c r="B110">
        <f t="shared" si="9"/>
        <v>107</v>
      </c>
      <c r="C110">
        <f t="shared" si="16"/>
        <v>9</v>
      </c>
      <c r="D110">
        <f t="shared" si="17"/>
        <v>11</v>
      </c>
      <c r="E110" s="15">
        <f>IF(C110&lt;='Input sheet(dashboard)'!$D$6, -PMT('Input sheet(dashboard)'!$E$5,'Input sheet(dashboard)'!$D$6*12,'Input sheet(dashboard)'!$D$3*'Input sheet(dashboard)'!$D$4),0)</f>
        <v>39834.137922259193</v>
      </c>
      <c r="F110" s="3">
        <f>I109*'Input sheet(dashboard)'!$E$5</f>
        <v>24016.31773452292</v>
      </c>
      <c r="G110" s="3">
        <f>IF(C110&lt;='Input sheet(dashboard)'!$D$6,E110*'Input sheet(dashboard)'!$D$7,0)</f>
        <v>3186.7310337807357</v>
      </c>
      <c r="H110" s="3">
        <f t="shared" si="10"/>
        <v>15817.820187736274</v>
      </c>
      <c r="I110" s="3">
        <f t="shared" si="11"/>
        <v>6577020.833972672</v>
      </c>
      <c r="J110" s="3">
        <f>IF(B110&lt;='Input sheet(dashboard)'!$D$27*12,'Input sheet(dashboard)'!$D$3*(1+'Input sheet(dashboard)'!$E$24)^B110,0)</f>
        <v>13702176.460247641</v>
      </c>
      <c r="K110" s="3">
        <f>IF(B110&lt;='Input sheet(dashboard)'!$D$27*12,J110*'Input sheet(dashboard)'!$E$8,0)</f>
        <v>14191.974661395145</v>
      </c>
      <c r="L110" s="3">
        <f>IF(B110&lt;='Input sheet(dashboard)'!$D$27*12,'Input sheet(dashboard)'!$D$9*(1+'Input sheet(dashboard)'!$E$22)^B110,0)</f>
        <v>3738.8874139388613</v>
      </c>
      <c r="M110" s="3">
        <f>IF(B110=1,'Input sheet(dashboard)'!$D$3*'Input sheet(dashboard)'!$D$10,0)</f>
        <v>0</v>
      </c>
      <c r="N110" s="3">
        <f>IF(B110='Input sheet(dashboard)'!$D$27*12,J110*'Input sheet(dashboard)'!$D$11,0)</f>
        <v>0</v>
      </c>
      <c r="O110" s="3">
        <f>IF(SUM(F110:F121)&gt;=150000,150000/12*'Input sheet(dashboard)'!$D$28,SUM(F110:F121)/12*'Input sheet(dashboard)'!$D$28)</f>
        <v>1875</v>
      </c>
      <c r="P110" s="3">
        <f t="shared" si="15"/>
        <v>0</v>
      </c>
      <c r="Q110" s="3">
        <f>IF(B110&lt;='Input sheet(dashboard)'!$D$27*12,'Input sheet(dashboard)'!$D$12/12,0)</f>
        <v>192.5</v>
      </c>
      <c r="R110" s="3">
        <f>IF(B110&lt;='Input sheet(dashboard)'!$D$27*12,('Input sheet(dashboard)'!$D$15/12)*(1+'Input sheet(dashboard)'!$E$22)^Calculations!B110,0)</f>
        <v>415.43193488209567</v>
      </c>
      <c r="S110" s="3">
        <f>IF(B110&lt;='Input sheet(dashboard)'!$D$27*12,(E110+G110+K110+L110-O110+M110+Q110+R110),0)</f>
        <v>59684.66296625603</v>
      </c>
      <c r="T110" s="3">
        <f>IF(B110&lt;='Input sheet(dashboard)'!$D$27*12,IF(D110=12,SUM(S99:S110),0),0)</f>
        <v>0</v>
      </c>
      <c r="U110" s="3">
        <f>IF(B110&lt;='Input sheet(dashboard)'!$D$27*12,IF(S110&lt;AD110,AD110-S110,0),0)</f>
        <v>0</v>
      </c>
      <c r="V110" s="3">
        <f>IF(B110&lt;='Input sheet(dashboard)'!$D$27*12,V109*(1+'Input sheet(dashboard)'!$E$25)+U110,0)</f>
        <v>0</v>
      </c>
      <c r="W110" s="17">
        <f>IF(B110&lt;='Input sheet(dashboard)'!$D$27*12,J110-I110+V110-N110,0)</f>
        <v>7125155.6262749694</v>
      </c>
      <c r="X110" s="3">
        <f>IF(B110&lt;='Input sheet(dashboard)'!$D$27*12,'Input sheet(dashboard)'!$D$17*(1+'Input sheet(dashboard)'!$E$23)^(B110-1),0)</f>
        <v>39861.692849440005</v>
      </c>
      <c r="Y110" s="3"/>
      <c r="Z110" s="18"/>
      <c r="AA110" s="18"/>
      <c r="AB110" s="3">
        <f>IF(B110=1,'Input sheet(dashboard)'!$D$18*Calculations!X110,IF(Calculations!B110=12*'Input sheet(dashboard)'!$D$27,'Input sheet(dashboard)'!$D$18*-Calculations!X110,0))</f>
        <v>0</v>
      </c>
      <c r="AC110" s="3">
        <f>IF(B110&lt;='Input sheet(dashboard)'!$D$27*12,IF(MOD(B109,'Input sheet(dashboard)'!$D$19*12),0,'Input sheet(dashboard)'!$D$20*(1+'Input sheet(dashboard)'!$E$22)^Calculations!B110),0)</f>
        <v>0</v>
      </c>
      <c r="AD110" s="17">
        <f t="shared" si="12"/>
        <v>39861.692849440005</v>
      </c>
      <c r="AE110" s="17">
        <f>IF(B110&lt;='Input sheet(dashboard)'!$D$27*12,IF(D110=12,SUM(AD99:AD110),0),0)</f>
        <v>0</v>
      </c>
      <c r="AF110" s="17">
        <f t="shared" si="13"/>
        <v>19822.970116816025</v>
      </c>
      <c r="AG110" s="17">
        <f t="shared" si="14"/>
        <v>19822.970116816025</v>
      </c>
      <c r="AH110" s="3">
        <f>IF(B110&lt;='Input sheet(dashboard)'!$D$27*12,AH109*(1+'Input sheet(dashboard)'!$E$25)+AG110," ")</f>
        <v>5594311.7612108188</v>
      </c>
    </row>
    <row r="111" spans="2:34">
      <c r="B111">
        <f t="shared" si="9"/>
        <v>108</v>
      </c>
      <c r="C111">
        <f t="shared" si="16"/>
        <v>9</v>
      </c>
      <c r="D111">
        <f t="shared" si="17"/>
        <v>12</v>
      </c>
      <c r="E111" s="15">
        <f>IF(C111&lt;='Input sheet(dashboard)'!$D$6, -PMT('Input sheet(dashboard)'!$E$5,'Input sheet(dashboard)'!$D$6*12,'Input sheet(dashboard)'!$D$3*'Input sheet(dashboard)'!$D$4),0)</f>
        <v>39834.137922259193</v>
      </c>
      <c r="F111" s="3">
        <f>I110*'Input sheet(dashboard)'!$E$5</f>
        <v>23958.69675888195</v>
      </c>
      <c r="G111" s="3">
        <f>IF(C111&lt;='Input sheet(dashboard)'!$D$6,E111*'Input sheet(dashboard)'!$D$7,0)</f>
        <v>3186.7310337807357</v>
      </c>
      <c r="H111" s="3">
        <f t="shared" si="10"/>
        <v>15875.441163377243</v>
      </c>
      <c r="I111" s="3">
        <f t="shared" si="11"/>
        <v>6561145.3928092951</v>
      </c>
      <c r="J111" s="3">
        <f>IF(B111&lt;='Input sheet(dashboard)'!$D$27*12,'Input sheet(dashboard)'!$D$3*(1+'Input sheet(dashboard)'!$E$24)^B111,0)</f>
        <v>13758000.823252082</v>
      </c>
      <c r="K111" s="3">
        <f>IF(B111&lt;='Input sheet(dashboard)'!$D$27*12,J111*'Input sheet(dashboard)'!$E$8,0)</f>
        <v>14249.794522900069</v>
      </c>
      <c r="L111" s="3">
        <f>IF(B111&lt;='Input sheet(dashboard)'!$D$27*12,'Input sheet(dashboard)'!$D$9*(1+'Input sheet(dashboard)'!$E$22)^B111,0)</f>
        <v>3746.5889098429511</v>
      </c>
      <c r="M111" s="3">
        <f>IF(B111=1,'Input sheet(dashboard)'!$D$3*'Input sheet(dashboard)'!$D$10,0)</f>
        <v>0</v>
      </c>
      <c r="N111" s="3">
        <f>IF(B111='Input sheet(dashboard)'!$D$27*12,J111*'Input sheet(dashboard)'!$D$11,0)</f>
        <v>0</v>
      </c>
      <c r="O111" s="3">
        <f>IF(SUM(F111:F122)&gt;=150000,150000/12*'Input sheet(dashboard)'!$D$28,SUM(F111:F122)/12*'Input sheet(dashboard)'!$D$28)</f>
        <v>1875</v>
      </c>
      <c r="P111" s="3">
        <f t="shared" si="15"/>
        <v>22500</v>
      </c>
      <c r="Q111" s="3">
        <f>IF(B111&lt;='Input sheet(dashboard)'!$D$27*12,'Input sheet(dashboard)'!$D$12/12,0)</f>
        <v>192.5</v>
      </c>
      <c r="R111" s="3">
        <f>IF(B111&lt;='Input sheet(dashboard)'!$D$27*12,('Input sheet(dashboard)'!$D$15/12)*(1+'Input sheet(dashboard)'!$E$22)^Calculations!B111,0)</f>
        <v>416.28765664921673</v>
      </c>
      <c r="S111" s="3">
        <f>IF(B111&lt;='Input sheet(dashboard)'!$D$27*12,(E111+G111+K111+L111-O111+M111+Q111+R111),0)</f>
        <v>59751.040045432172</v>
      </c>
      <c r="T111" s="3">
        <f>IF(B111&lt;='Input sheet(dashboard)'!$D$27*12,IF(D111=12,SUM(S100:S111),0),0)</f>
        <v>712686.59123900614</v>
      </c>
      <c r="U111" s="3">
        <f>IF(B111&lt;='Input sheet(dashboard)'!$D$27*12,IF(S111&lt;AD111,AD111-S111,0),0)</f>
        <v>0</v>
      </c>
      <c r="V111" s="3">
        <f>IF(B111&lt;='Input sheet(dashboard)'!$D$27*12,V110*(1+'Input sheet(dashboard)'!$E$25)+U111,0)</f>
        <v>0</v>
      </c>
      <c r="W111" s="17">
        <f>IF(B111&lt;='Input sheet(dashboard)'!$D$27*12,J111-I111+V111-N111,0)</f>
        <v>7196855.4304427868</v>
      </c>
      <c r="X111" s="3">
        <f>IF(B111&lt;='Input sheet(dashboard)'!$D$27*12,'Input sheet(dashboard)'!$D$17*(1+'Input sheet(dashboard)'!$E$23)^(B111-1),0)</f>
        <v>40024.094320334392</v>
      </c>
      <c r="Y111" s="3"/>
      <c r="Z111" s="18"/>
      <c r="AA111" s="18"/>
      <c r="AB111" s="3">
        <f>IF(B111=1,'Input sheet(dashboard)'!$D$18*Calculations!X111,IF(Calculations!B111=12*'Input sheet(dashboard)'!$D$27,'Input sheet(dashboard)'!$D$18*-Calculations!X111,0))</f>
        <v>0</v>
      </c>
      <c r="AC111" s="3">
        <f>IF(B111&lt;='Input sheet(dashboard)'!$D$27*12,IF(MOD(B110,'Input sheet(dashboard)'!$D$19*12),0,'Input sheet(dashboard)'!$D$20*(1+'Input sheet(dashboard)'!$E$22)^Calculations!B111),0)</f>
        <v>0</v>
      </c>
      <c r="AD111" s="17">
        <f t="shared" si="12"/>
        <v>40024.094320334392</v>
      </c>
      <c r="AE111" s="17">
        <f>IF(B111&lt;='Input sheet(dashboard)'!$D$27*12,IF(D111=12,SUM(AD100:AD111),0),0)</f>
        <v>479643.70913071663</v>
      </c>
      <c r="AF111" s="17">
        <f t="shared" si="13"/>
        <v>19726.945725097779</v>
      </c>
      <c r="AG111" s="17">
        <f t="shared" si="14"/>
        <v>19726.945725097779</v>
      </c>
      <c r="AH111" s="3">
        <f>IF(B111&lt;='Input sheet(dashboard)'!$D$27*12,AH110*(1+'Input sheet(dashboard)'!$E$25)+AG111," ")</f>
        <v>5650032.6772522926</v>
      </c>
    </row>
    <row r="112" spans="2:34">
      <c r="B112">
        <f t="shared" si="9"/>
        <v>109</v>
      </c>
      <c r="C112">
        <f t="shared" si="16"/>
        <v>10</v>
      </c>
      <c r="D112">
        <f t="shared" si="17"/>
        <v>1</v>
      </c>
      <c r="E112" s="15">
        <f>IF(C112&lt;='Input sheet(dashboard)'!$D$6, -PMT('Input sheet(dashboard)'!$E$5,'Input sheet(dashboard)'!$D$6*12,'Input sheet(dashboard)'!$D$3*'Input sheet(dashboard)'!$D$4),0)</f>
        <v>39834.137922259193</v>
      </c>
      <c r="F112" s="3">
        <f>I111*'Input sheet(dashboard)'!$E$5</f>
        <v>23900.865882205668</v>
      </c>
      <c r="G112" s="3">
        <f>IF(C112&lt;='Input sheet(dashboard)'!$D$6,E112*'Input sheet(dashboard)'!$D$7,0)</f>
        <v>3186.7310337807357</v>
      </c>
      <c r="H112" s="3">
        <f t="shared" si="10"/>
        <v>15933.272040053525</v>
      </c>
      <c r="I112" s="3">
        <f t="shared" si="11"/>
        <v>6545212.1207692418</v>
      </c>
      <c r="J112" s="3">
        <f>IF(B112&lt;='Input sheet(dashboard)'!$D$27*12,'Input sheet(dashboard)'!$D$3*(1+'Input sheet(dashboard)'!$E$24)^B112,0)</f>
        <v>13814052.621621549</v>
      </c>
      <c r="K112" s="3">
        <f>IF(B112&lt;='Input sheet(dashboard)'!$D$27*12,J112*'Input sheet(dashboard)'!$E$8,0)</f>
        <v>14307.84994967792</v>
      </c>
      <c r="L112" s="3">
        <f>IF(B112&lt;='Input sheet(dashboard)'!$D$27*12,'Input sheet(dashboard)'!$D$9*(1+'Input sheet(dashboard)'!$E$22)^B112,0)</f>
        <v>3754.3062695676358</v>
      </c>
      <c r="M112" s="3">
        <f>IF(B112=1,'Input sheet(dashboard)'!$D$3*'Input sheet(dashboard)'!$D$10,0)</f>
        <v>0</v>
      </c>
      <c r="N112" s="3">
        <f>IF(B112='Input sheet(dashboard)'!$D$27*12,J112*'Input sheet(dashboard)'!$D$11,0)</f>
        <v>0</v>
      </c>
      <c r="O112" s="3">
        <f>IF(SUM(F112:F123)&gt;=150000,150000/12*'Input sheet(dashboard)'!$D$28,SUM(F112:F123)/12*'Input sheet(dashboard)'!$D$28)</f>
        <v>1875</v>
      </c>
      <c r="P112" s="3">
        <f t="shared" si="15"/>
        <v>0</v>
      </c>
      <c r="Q112" s="3">
        <f>IF(B112&lt;='Input sheet(dashboard)'!$D$27*12,'Input sheet(dashboard)'!$D$12/12,0)</f>
        <v>192.5</v>
      </c>
      <c r="R112" s="3">
        <f>IF(B112&lt;='Input sheet(dashboard)'!$D$27*12,('Input sheet(dashboard)'!$D$15/12)*(1+'Input sheet(dashboard)'!$E$22)^Calculations!B112,0)</f>
        <v>417.14514106307064</v>
      </c>
      <c r="S112" s="3">
        <f>IF(B112&lt;='Input sheet(dashboard)'!$D$27*12,(E112+G112+K112+L112-O112+M112+Q112+R112),0)</f>
        <v>59817.670316348551</v>
      </c>
      <c r="T112" s="3">
        <f>IF(B112&lt;='Input sheet(dashboard)'!$D$27*12,IF(D112=12,SUM(S101:S112),0),0)</f>
        <v>0</v>
      </c>
      <c r="U112" s="3">
        <f>IF(B112&lt;='Input sheet(dashboard)'!$D$27*12,IF(S112&lt;AD112,AD112-S112,0),0)</f>
        <v>0</v>
      </c>
      <c r="V112" s="3">
        <f>IF(B112&lt;='Input sheet(dashboard)'!$D$27*12,V111*(1+'Input sheet(dashboard)'!$E$25)+U112,0)</f>
        <v>0</v>
      </c>
      <c r="W112" s="17">
        <f>IF(B112&lt;='Input sheet(dashboard)'!$D$27*12,J112-I112+V112-N112,0)</f>
        <v>7268840.5008523073</v>
      </c>
      <c r="X112" s="3">
        <f>IF(B112&lt;='Input sheet(dashboard)'!$D$27*12,'Input sheet(dashboard)'!$D$17*(1+'Input sheet(dashboard)'!$E$23)^(B112-1),0)</f>
        <v>40187.157434923851</v>
      </c>
      <c r="Y112" s="3"/>
      <c r="Z112" s="18"/>
      <c r="AA112" s="18"/>
      <c r="AB112" s="3">
        <f>IF(B112=1,'Input sheet(dashboard)'!$D$18*Calculations!X112,IF(Calculations!B112=12*'Input sheet(dashboard)'!$D$27,'Input sheet(dashboard)'!$D$18*-Calculations!X112,0))</f>
        <v>0</v>
      </c>
      <c r="AC112" s="3">
        <f>IF(B112&lt;='Input sheet(dashboard)'!$D$27*12,IF(MOD(B111,'Input sheet(dashboard)'!$D$19*12),0,'Input sheet(dashboard)'!$D$20*(1+'Input sheet(dashboard)'!$E$22)^Calculations!B112),0)</f>
        <v>0</v>
      </c>
      <c r="AD112" s="17">
        <f t="shared" si="12"/>
        <v>40187.157434923851</v>
      </c>
      <c r="AE112" s="17">
        <f>IF(B112&lt;='Input sheet(dashboard)'!$D$27*12,IF(D112=12,SUM(AD101:AD112),0),0)</f>
        <v>0</v>
      </c>
      <c r="AF112" s="17">
        <f t="shared" si="13"/>
        <v>19630.5128814247</v>
      </c>
      <c r="AG112" s="17">
        <f t="shared" si="14"/>
        <v>19630.5128814247</v>
      </c>
      <c r="AH112" s="3">
        <f>IF(B112&lt;='Input sheet(dashboard)'!$D$27*12,AH111*(1+'Input sheet(dashboard)'!$E$25)+AG112," ")</f>
        <v>5706015.6705016615</v>
      </c>
    </row>
    <row r="113" spans="2:34">
      <c r="B113">
        <f t="shared" si="9"/>
        <v>110</v>
      </c>
      <c r="C113">
        <f t="shared" si="16"/>
        <v>10</v>
      </c>
      <c r="D113">
        <f t="shared" si="17"/>
        <v>2</v>
      </c>
      <c r="E113" s="15">
        <f>IF(C113&lt;='Input sheet(dashboard)'!$D$6, -PMT('Input sheet(dashboard)'!$E$5,'Input sheet(dashboard)'!$D$6*12,'Input sheet(dashboard)'!$D$3*'Input sheet(dashboard)'!$D$4),0)</f>
        <v>39834.137922259193</v>
      </c>
      <c r="F113" s="3">
        <f>I112*'Input sheet(dashboard)'!$E$5</f>
        <v>23842.824339868963</v>
      </c>
      <c r="G113" s="3">
        <f>IF(C113&lt;='Input sheet(dashboard)'!$D$6,E113*'Input sheet(dashboard)'!$D$7,0)</f>
        <v>3186.7310337807357</v>
      </c>
      <c r="H113" s="3">
        <f t="shared" si="10"/>
        <v>15991.31358239023</v>
      </c>
      <c r="I113" s="3">
        <f t="shared" si="11"/>
        <v>6529220.8071868513</v>
      </c>
      <c r="J113" s="3">
        <f>IF(B113&lt;='Input sheet(dashboard)'!$D$27*12,'Input sheet(dashboard)'!$D$3*(1+'Input sheet(dashboard)'!$E$24)^B113,0)</f>
        <v>13870332.781955866</v>
      </c>
      <c r="K113" s="3">
        <f>IF(B113&lt;='Input sheet(dashboard)'!$D$27*12,J113*'Input sheet(dashboard)'!$E$8,0)</f>
        <v>14366.141901450774</v>
      </c>
      <c r="L113" s="3">
        <f>IF(B113&lt;='Input sheet(dashboard)'!$D$27*12,'Input sheet(dashboard)'!$D$9*(1+'Input sheet(dashboard)'!$E$22)^B113,0)</f>
        <v>3762.0395257897899</v>
      </c>
      <c r="M113" s="3">
        <f>IF(B113=1,'Input sheet(dashboard)'!$D$3*'Input sheet(dashboard)'!$D$10,0)</f>
        <v>0</v>
      </c>
      <c r="N113" s="3">
        <f>IF(B113='Input sheet(dashboard)'!$D$27*12,J113*'Input sheet(dashboard)'!$D$11,0)</f>
        <v>0</v>
      </c>
      <c r="O113" s="3">
        <f>IF(SUM(F113:F124)&gt;=150000,150000/12*'Input sheet(dashboard)'!$D$28,SUM(F113:F124)/12*'Input sheet(dashboard)'!$D$28)</f>
        <v>1875</v>
      </c>
      <c r="P113" s="3">
        <f t="shared" si="15"/>
        <v>0</v>
      </c>
      <c r="Q113" s="3">
        <f>IF(B113&lt;='Input sheet(dashboard)'!$D$27*12,'Input sheet(dashboard)'!$D$12/12,0)</f>
        <v>192.5</v>
      </c>
      <c r="R113" s="3">
        <f>IF(B113&lt;='Input sheet(dashboard)'!$D$27*12,('Input sheet(dashboard)'!$D$15/12)*(1+'Input sheet(dashboard)'!$E$22)^Calculations!B113,0)</f>
        <v>418.00439175442108</v>
      </c>
      <c r="S113" s="3">
        <f>IF(B113&lt;='Input sheet(dashboard)'!$D$27*12,(E113+G113+K113+L113-O113+M113+Q113+R113),0)</f>
        <v>59884.554775034921</v>
      </c>
      <c r="T113" s="3">
        <f>IF(B113&lt;='Input sheet(dashboard)'!$D$27*12,IF(D113=12,SUM(S102:S113),0),0)</f>
        <v>0</v>
      </c>
      <c r="U113" s="3">
        <f>IF(B113&lt;='Input sheet(dashboard)'!$D$27*12,IF(S113&lt;AD113,AD113-S113,0),0)</f>
        <v>0</v>
      </c>
      <c r="V113" s="3">
        <f>IF(B113&lt;='Input sheet(dashboard)'!$D$27*12,V112*(1+'Input sheet(dashboard)'!$E$25)+U113,0)</f>
        <v>0</v>
      </c>
      <c r="W113" s="17">
        <f>IF(B113&lt;='Input sheet(dashboard)'!$D$27*12,J113-I113+V113-N113,0)</f>
        <v>7341111.9747690149</v>
      </c>
      <c r="X113" s="3">
        <f>IF(B113&lt;='Input sheet(dashboard)'!$D$27*12,'Input sheet(dashboard)'!$D$17*(1+'Input sheet(dashboard)'!$E$23)^(B113-1),0)</f>
        <v>40350.884888826695</v>
      </c>
      <c r="Y113" s="3"/>
      <c r="Z113" s="18"/>
      <c r="AA113" s="18"/>
      <c r="AB113" s="3">
        <f>IF(B113=1,'Input sheet(dashboard)'!$D$18*Calculations!X113,IF(Calculations!B113=12*'Input sheet(dashboard)'!$D$27,'Input sheet(dashboard)'!$D$18*-Calculations!X113,0))</f>
        <v>0</v>
      </c>
      <c r="AC113" s="3">
        <f>IF(B113&lt;='Input sheet(dashboard)'!$D$27*12,IF(MOD(B112,'Input sheet(dashboard)'!$D$19*12),0,'Input sheet(dashboard)'!$D$20*(1+'Input sheet(dashboard)'!$E$22)^Calculations!B113),0)</f>
        <v>0</v>
      </c>
      <c r="AD113" s="17">
        <f t="shared" si="12"/>
        <v>40350.884888826695</v>
      </c>
      <c r="AE113" s="17">
        <f>IF(B113&lt;='Input sheet(dashboard)'!$D$27*12,IF(D113=12,SUM(AD102:AD113),0),0)</f>
        <v>0</v>
      </c>
      <c r="AF113" s="17">
        <f t="shared" si="13"/>
        <v>19533.669886208227</v>
      </c>
      <c r="AG113" s="17">
        <f t="shared" si="14"/>
        <v>19533.669886208227</v>
      </c>
      <c r="AH113" s="3">
        <f>IF(B113&lt;='Input sheet(dashboard)'!$D$27*12,AH112*(1+'Input sheet(dashboard)'!$E$25)+AG113," ")</f>
        <v>5762262.017020029</v>
      </c>
    </row>
    <row r="114" spans="2:34">
      <c r="B114">
        <f t="shared" si="9"/>
        <v>111</v>
      </c>
      <c r="C114">
        <f t="shared" si="16"/>
        <v>10</v>
      </c>
      <c r="D114">
        <f t="shared" si="17"/>
        <v>3</v>
      </c>
      <c r="E114" s="15">
        <f>IF(C114&lt;='Input sheet(dashboard)'!$D$6, -PMT('Input sheet(dashboard)'!$E$5,'Input sheet(dashboard)'!$D$6*12,'Input sheet(dashboard)'!$D$3*'Input sheet(dashboard)'!$D$4),0)</f>
        <v>39834.137922259193</v>
      </c>
      <c r="F114" s="3">
        <f>I113*'Input sheet(dashboard)'!$E$5</f>
        <v>23784.571364461364</v>
      </c>
      <c r="G114" s="3">
        <f>IF(C114&lt;='Input sheet(dashboard)'!$D$6,E114*'Input sheet(dashboard)'!$D$7,0)</f>
        <v>3186.7310337807357</v>
      </c>
      <c r="H114" s="3">
        <f t="shared" si="10"/>
        <v>16049.566557797829</v>
      </c>
      <c r="I114" s="3">
        <f t="shared" si="11"/>
        <v>6513171.2406290537</v>
      </c>
      <c r="J114" s="3">
        <f>IF(B114&lt;='Input sheet(dashboard)'!$D$27*12,'Input sheet(dashboard)'!$D$3*(1+'Input sheet(dashboard)'!$E$24)^B114,0)</f>
        <v>13926842.234629951</v>
      </c>
      <c r="K114" s="3">
        <f>IF(B114&lt;='Input sheet(dashboard)'!$D$27*12,J114*'Input sheet(dashboard)'!$E$8,0)</f>
        <v>14424.671341850742</v>
      </c>
      <c r="L114" s="3">
        <f>IF(B114&lt;='Input sheet(dashboard)'!$D$27*12,'Input sheet(dashboard)'!$D$9*(1+'Input sheet(dashboard)'!$E$22)^B114,0)</f>
        <v>3769.7887112535936</v>
      </c>
      <c r="M114" s="3">
        <f>IF(B114=1,'Input sheet(dashboard)'!$D$3*'Input sheet(dashboard)'!$D$10,0)</f>
        <v>0</v>
      </c>
      <c r="N114" s="3">
        <f>IF(B114='Input sheet(dashboard)'!$D$27*12,J114*'Input sheet(dashboard)'!$D$11,0)</f>
        <v>0</v>
      </c>
      <c r="O114" s="3">
        <f>IF(SUM(F114:F125)&gt;=150000,150000/12*'Input sheet(dashboard)'!$D$28,SUM(F114:F125)/12*'Input sheet(dashboard)'!$D$28)</f>
        <v>1875</v>
      </c>
      <c r="P114" s="3">
        <f t="shared" si="15"/>
        <v>0</v>
      </c>
      <c r="Q114" s="3">
        <f>IF(B114&lt;='Input sheet(dashboard)'!$D$27*12,'Input sheet(dashboard)'!$D$12/12,0)</f>
        <v>192.5</v>
      </c>
      <c r="R114" s="3">
        <f>IF(B114&lt;='Input sheet(dashboard)'!$D$27*12,('Input sheet(dashboard)'!$D$15/12)*(1+'Input sheet(dashboard)'!$E$22)^Calculations!B114,0)</f>
        <v>418.86541236151038</v>
      </c>
      <c r="S114" s="3">
        <f>IF(B114&lt;='Input sheet(dashboard)'!$D$27*12,(E114+G114+K114+L114-O114+M114+Q114+R114),0)</f>
        <v>59951.694421505774</v>
      </c>
      <c r="T114" s="3">
        <f>IF(B114&lt;='Input sheet(dashboard)'!$D$27*12,IF(D114=12,SUM(S103:S114),0),0)</f>
        <v>0</v>
      </c>
      <c r="U114" s="3">
        <f>IF(B114&lt;='Input sheet(dashboard)'!$D$27*12,IF(S114&lt;AD114,AD114-S114,0),0)</f>
        <v>0</v>
      </c>
      <c r="V114" s="3">
        <f>IF(B114&lt;='Input sheet(dashboard)'!$D$27*12,V113*(1+'Input sheet(dashboard)'!$E$25)+U114,0)</f>
        <v>0</v>
      </c>
      <c r="W114" s="17">
        <f>IF(B114&lt;='Input sheet(dashboard)'!$D$27*12,J114-I114+V114-N114,0)</f>
        <v>7413670.9940008977</v>
      </c>
      <c r="X114" s="3">
        <f>IF(B114&lt;='Input sheet(dashboard)'!$D$27*12,'Input sheet(dashboard)'!$D$17*(1+'Input sheet(dashboard)'!$E$23)^(B114-1),0)</f>
        <v>40515.279388643517</v>
      </c>
      <c r="Y114" s="3"/>
      <c r="Z114" s="18"/>
      <c r="AA114" s="18"/>
      <c r="AB114" s="3">
        <f>IF(B114=1,'Input sheet(dashboard)'!$D$18*Calculations!X114,IF(Calculations!B114=12*'Input sheet(dashboard)'!$D$27,'Input sheet(dashboard)'!$D$18*-Calculations!X114,0))</f>
        <v>0</v>
      </c>
      <c r="AC114" s="3">
        <f>IF(B114&lt;='Input sheet(dashboard)'!$D$27*12,IF(MOD(B113,'Input sheet(dashboard)'!$D$19*12),0,'Input sheet(dashboard)'!$D$20*(1+'Input sheet(dashboard)'!$E$22)^Calculations!B114),0)</f>
        <v>0</v>
      </c>
      <c r="AD114" s="17">
        <f t="shared" si="12"/>
        <v>40515.279388643517</v>
      </c>
      <c r="AE114" s="17">
        <f>IF(B114&lt;='Input sheet(dashboard)'!$D$27*12,IF(D114=12,SUM(AD103:AD114),0),0)</f>
        <v>0</v>
      </c>
      <c r="AF114" s="17">
        <f t="shared" si="13"/>
        <v>19436.415032862256</v>
      </c>
      <c r="AG114" s="17">
        <f t="shared" si="14"/>
        <v>19436.415032862256</v>
      </c>
      <c r="AH114" s="3">
        <f>IF(B114&lt;='Input sheet(dashboard)'!$D$27*12,AH113*(1+'Input sheet(dashboard)'!$E$25)+AG114," ")</f>
        <v>5818772.9993721275</v>
      </c>
    </row>
    <row r="115" spans="2:34">
      <c r="B115">
        <f t="shared" si="9"/>
        <v>112</v>
      </c>
      <c r="C115">
        <f t="shared" si="16"/>
        <v>10</v>
      </c>
      <c r="D115">
        <f t="shared" si="17"/>
        <v>4</v>
      </c>
      <c r="E115" s="15">
        <f>IF(C115&lt;='Input sheet(dashboard)'!$D$6, -PMT('Input sheet(dashboard)'!$E$5,'Input sheet(dashboard)'!$D$6*12,'Input sheet(dashboard)'!$D$3*'Input sheet(dashboard)'!$D$4),0)</f>
        <v>39834.137922259193</v>
      </c>
      <c r="F115" s="3">
        <f>I114*'Input sheet(dashboard)'!$E$5</f>
        <v>23726.106185776884</v>
      </c>
      <c r="G115" s="3">
        <f>IF(C115&lt;='Input sheet(dashboard)'!$D$6,E115*'Input sheet(dashboard)'!$D$7,0)</f>
        <v>3186.7310337807357</v>
      </c>
      <c r="H115" s="3">
        <f t="shared" si="10"/>
        <v>16108.031736482309</v>
      </c>
      <c r="I115" s="3">
        <f t="shared" si="11"/>
        <v>6497063.2088925717</v>
      </c>
      <c r="J115" s="3">
        <f>IF(B115&lt;='Input sheet(dashboard)'!$D$27*12,'Input sheet(dashboard)'!$D$3*(1+'Input sheet(dashboard)'!$E$24)^B115,0)</f>
        <v>13983581.913809178</v>
      </c>
      <c r="K115" s="3">
        <f>IF(B115&lt;='Input sheet(dashboard)'!$D$27*12,J115*'Input sheet(dashboard)'!$E$8,0)</f>
        <v>14483.439238435891</v>
      </c>
      <c r="L115" s="3">
        <f>IF(B115&lt;='Input sheet(dashboard)'!$D$27*12,'Input sheet(dashboard)'!$D$9*(1+'Input sheet(dashboard)'!$E$22)^B115,0)</f>
        <v>3777.5538587706769</v>
      </c>
      <c r="M115" s="3">
        <f>IF(B115=1,'Input sheet(dashboard)'!$D$3*'Input sheet(dashboard)'!$D$10,0)</f>
        <v>0</v>
      </c>
      <c r="N115" s="3">
        <f>IF(B115='Input sheet(dashboard)'!$D$27*12,J115*'Input sheet(dashboard)'!$D$11,0)</f>
        <v>0</v>
      </c>
      <c r="O115" s="3">
        <f>IF(SUM(F115:F126)&gt;=150000,150000/12*'Input sheet(dashboard)'!$D$28,SUM(F115:F126)/12*'Input sheet(dashboard)'!$D$28)</f>
        <v>1875</v>
      </c>
      <c r="P115" s="3">
        <f t="shared" si="15"/>
        <v>0</v>
      </c>
      <c r="Q115" s="3">
        <f>IF(B115&lt;='Input sheet(dashboard)'!$D$27*12,'Input sheet(dashboard)'!$D$12/12,0)</f>
        <v>192.5</v>
      </c>
      <c r="R115" s="3">
        <f>IF(B115&lt;='Input sheet(dashboard)'!$D$27*12,('Input sheet(dashboard)'!$D$15/12)*(1+'Input sheet(dashboard)'!$E$22)^Calculations!B115,0)</f>
        <v>419.72820653007517</v>
      </c>
      <c r="S115" s="3">
        <f>IF(B115&lt;='Input sheet(dashboard)'!$D$27*12,(E115+G115+K115+L115-O115+M115+Q115+R115),0)</f>
        <v>60019.090259776567</v>
      </c>
      <c r="T115" s="3">
        <f>IF(B115&lt;='Input sheet(dashboard)'!$D$27*12,IF(D115=12,SUM(S104:S115),0),0)</f>
        <v>0</v>
      </c>
      <c r="U115" s="3">
        <f>IF(B115&lt;='Input sheet(dashboard)'!$D$27*12,IF(S115&lt;AD115,AD115-S115,0),0)</f>
        <v>0</v>
      </c>
      <c r="V115" s="3">
        <f>IF(B115&lt;='Input sheet(dashboard)'!$D$27*12,V114*(1+'Input sheet(dashboard)'!$E$25)+U115,0)</f>
        <v>0</v>
      </c>
      <c r="W115" s="17">
        <f>IF(B115&lt;='Input sheet(dashboard)'!$D$27*12,J115-I115+V115-N115,0)</f>
        <v>7486518.7049166067</v>
      </c>
      <c r="X115" s="3">
        <f>IF(B115&lt;='Input sheet(dashboard)'!$D$27*12,'Input sheet(dashboard)'!$D$17*(1+'Input sheet(dashboard)'!$E$23)^(B115-1),0)</f>
        <v>40680.343652001953</v>
      </c>
      <c r="Y115" s="3"/>
      <c r="Z115" s="18"/>
      <c r="AA115" s="18"/>
      <c r="AB115" s="3">
        <f>IF(B115=1,'Input sheet(dashboard)'!$D$18*Calculations!X115,IF(Calculations!B115=12*'Input sheet(dashboard)'!$D$27,'Input sheet(dashboard)'!$D$18*-Calculations!X115,0))</f>
        <v>0</v>
      </c>
      <c r="AC115" s="3">
        <f>IF(B115&lt;='Input sheet(dashboard)'!$D$27*12,IF(MOD(B114,'Input sheet(dashboard)'!$D$19*12),0,'Input sheet(dashboard)'!$D$20*(1+'Input sheet(dashboard)'!$E$22)^Calculations!B115),0)</f>
        <v>0</v>
      </c>
      <c r="AD115" s="17">
        <f t="shared" si="12"/>
        <v>40680.343652001953</v>
      </c>
      <c r="AE115" s="17">
        <f>IF(B115&lt;='Input sheet(dashboard)'!$D$27*12,IF(D115=12,SUM(AD104:AD115),0),0)</f>
        <v>0</v>
      </c>
      <c r="AF115" s="17">
        <f t="shared" si="13"/>
        <v>19338.746607774614</v>
      </c>
      <c r="AG115" s="17">
        <f t="shared" si="14"/>
        <v>19338.746607774614</v>
      </c>
      <c r="AH115" s="3">
        <f>IF(B115&lt;='Input sheet(dashboard)'!$D$27*12,AH114*(1+'Input sheet(dashboard)'!$E$25)+AG115," ")</f>
        <v>5875549.9066611379</v>
      </c>
    </row>
    <row r="116" spans="2:34">
      <c r="B116">
        <f t="shared" si="9"/>
        <v>113</v>
      </c>
      <c r="C116">
        <f t="shared" si="16"/>
        <v>10</v>
      </c>
      <c r="D116">
        <f t="shared" si="17"/>
        <v>5</v>
      </c>
      <c r="E116" s="15">
        <f>IF(C116&lt;='Input sheet(dashboard)'!$D$6, -PMT('Input sheet(dashboard)'!$E$5,'Input sheet(dashboard)'!$D$6*12,'Input sheet(dashboard)'!$D$3*'Input sheet(dashboard)'!$D$4),0)</f>
        <v>39834.137922259193</v>
      </c>
      <c r="F116" s="3">
        <f>I115*'Input sheet(dashboard)'!$E$5</f>
        <v>23667.428030803832</v>
      </c>
      <c r="G116" s="3">
        <f>IF(C116&lt;='Input sheet(dashboard)'!$D$6,E116*'Input sheet(dashboard)'!$D$7,0)</f>
        <v>3186.7310337807357</v>
      </c>
      <c r="H116" s="3">
        <f t="shared" si="10"/>
        <v>16166.709891455361</v>
      </c>
      <c r="I116" s="3">
        <f t="shared" si="11"/>
        <v>6480896.4990011165</v>
      </c>
      <c r="J116" s="3">
        <f>IF(B116&lt;='Input sheet(dashboard)'!$D$27*12,'Input sheet(dashboard)'!$D$3*(1+'Input sheet(dashboard)'!$E$24)^B116,0)</f>
        <v>14040552.757464821</v>
      </c>
      <c r="K116" s="3">
        <f>IF(B116&lt;='Input sheet(dashboard)'!$D$27*12,J116*'Input sheet(dashboard)'!$E$8,0)</f>
        <v>14542.446562706225</v>
      </c>
      <c r="L116" s="3">
        <f>IF(B116&lt;='Input sheet(dashboard)'!$D$27*12,'Input sheet(dashboard)'!$D$9*(1+'Input sheet(dashboard)'!$E$22)^B116,0)</f>
        <v>3785.3350012202577</v>
      </c>
      <c r="M116" s="3">
        <f>IF(B116=1,'Input sheet(dashboard)'!$D$3*'Input sheet(dashboard)'!$D$10,0)</f>
        <v>0</v>
      </c>
      <c r="N116" s="3">
        <f>IF(B116='Input sheet(dashboard)'!$D$27*12,J116*'Input sheet(dashboard)'!$D$11,0)</f>
        <v>0</v>
      </c>
      <c r="O116" s="3">
        <f>IF(SUM(F116:F127)&gt;=150000,150000/12*'Input sheet(dashboard)'!$D$28,SUM(F116:F127)/12*'Input sheet(dashboard)'!$D$28)</f>
        <v>1875</v>
      </c>
      <c r="P116" s="3">
        <f t="shared" si="15"/>
        <v>0</v>
      </c>
      <c r="Q116" s="3">
        <f>IF(B116&lt;='Input sheet(dashboard)'!$D$27*12,'Input sheet(dashboard)'!$D$12/12,0)</f>
        <v>192.5</v>
      </c>
      <c r="R116" s="3">
        <f>IF(B116&lt;='Input sheet(dashboard)'!$D$27*12,('Input sheet(dashboard)'!$D$15/12)*(1+'Input sheet(dashboard)'!$E$22)^Calculations!B116,0)</f>
        <v>420.59277791336194</v>
      </c>
      <c r="S116" s="3">
        <f>IF(B116&lt;='Input sheet(dashboard)'!$D$27*12,(E116+G116+K116+L116-O116+M116+Q116+R116),0)</f>
        <v>60086.743297879773</v>
      </c>
      <c r="T116" s="3">
        <f>IF(B116&lt;='Input sheet(dashboard)'!$D$27*12,IF(D116=12,SUM(S105:S116),0),0)</f>
        <v>0</v>
      </c>
      <c r="U116" s="3">
        <f>IF(B116&lt;='Input sheet(dashboard)'!$D$27*12,IF(S116&lt;AD116,AD116-S116,0),0)</f>
        <v>0</v>
      </c>
      <c r="V116" s="3">
        <f>IF(B116&lt;='Input sheet(dashboard)'!$D$27*12,V115*(1+'Input sheet(dashboard)'!$E$25)+U116,0)</f>
        <v>0</v>
      </c>
      <c r="W116" s="17">
        <f>IF(B116&lt;='Input sheet(dashboard)'!$D$27*12,J116-I116+V116-N116,0)</f>
        <v>7559656.258463704</v>
      </c>
      <c r="X116" s="3">
        <f>IF(B116&lt;='Input sheet(dashboard)'!$D$27*12,'Input sheet(dashboard)'!$D$17*(1+'Input sheet(dashboard)'!$E$23)^(B116-1),0)</f>
        <v>40846.08040760157</v>
      </c>
      <c r="Y116" s="3"/>
      <c r="Z116" s="18"/>
      <c r="AA116" s="18"/>
      <c r="AB116" s="3">
        <f>IF(B116=1,'Input sheet(dashboard)'!$D$18*Calculations!X116,IF(Calculations!B116=12*'Input sheet(dashboard)'!$D$27,'Input sheet(dashboard)'!$D$18*-Calculations!X116,0))</f>
        <v>0</v>
      </c>
      <c r="AC116" s="3">
        <f>IF(B116&lt;='Input sheet(dashboard)'!$D$27*12,IF(MOD(B115,'Input sheet(dashboard)'!$D$19*12),0,'Input sheet(dashboard)'!$D$20*(1+'Input sheet(dashboard)'!$E$22)^Calculations!B116),0)</f>
        <v>0</v>
      </c>
      <c r="AD116" s="17">
        <f t="shared" si="12"/>
        <v>40846.08040760157</v>
      </c>
      <c r="AE116" s="17">
        <f>IF(B116&lt;='Input sheet(dashboard)'!$D$27*12,IF(D116=12,SUM(AD105:AD116),0),0)</f>
        <v>0</v>
      </c>
      <c r="AF116" s="17">
        <f t="shared" si="13"/>
        <v>19240.662890278203</v>
      </c>
      <c r="AG116" s="17">
        <f t="shared" si="14"/>
        <v>19240.662890278203</v>
      </c>
      <c r="AH116" s="3">
        <f>IF(B116&lt;='Input sheet(dashboard)'!$D$27*12,AH115*(1+'Input sheet(dashboard)'!$E$25)+AG116," ")</f>
        <v>5932594.0345637016</v>
      </c>
    </row>
    <row r="117" spans="2:34">
      <c r="B117">
        <f t="shared" si="9"/>
        <v>114</v>
      </c>
      <c r="C117">
        <f t="shared" si="16"/>
        <v>10</v>
      </c>
      <c r="D117">
        <f t="shared" si="17"/>
        <v>6</v>
      </c>
      <c r="E117" s="15">
        <f>IF(C117&lt;='Input sheet(dashboard)'!$D$6, -PMT('Input sheet(dashboard)'!$E$5,'Input sheet(dashboard)'!$D$6*12,'Input sheet(dashboard)'!$D$3*'Input sheet(dashboard)'!$D$4),0)</f>
        <v>39834.137922259193</v>
      </c>
      <c r="F117" s="3">
        <f>I116*'Input sheet(dashboard)'!$E$5</f>
        <v>23608.536123714613</v>
      </c>
      <c r="G117" s="3">
        <f>IF(C117&lt;='Input sheet(dashboard)'!$D$6,E117*'Input sheet(dashboard)'!$D$7,0)</f>
        <v>3186.7310337807357</v>
      </c>
      <c r="H117" s="3">
        <f t="shared" si="10"/>
        <v>16225.60179854458</v>
      </c>
      <c r="I117" s="3">
        <f t="shared" si="11"/>
        <v>6464670.8972025719</v>
      </c>
      <c r="J117" s="3">
        <f>IF(B117&lt;='Input sheet(dashboard)'!$D$27*12,'Input sheet(dashboard)'!$D$3*(1+'Input sheet(dashboard)'!$E$24)^B117,0)</f>
        <v>14097755.70738958</v>
      </c>
      <c r="K117" s="3">
        <f>IF(B117&lt;='Input sheet(dashboard)'!$D$27*12,J117*'Input sheet(dashboard)'!$E$8,0)</f>
        <v>14601.694290119784</v>
      </c>
      <c r="L117" s="3">
        <f>IF(B117&lt;='Input sheet(dashboard)'!$D$27*12,'Input sheet(dashboard)'!$D$9*(1+'Input sheet(dashboard)'!$E$22)^B117,0)</f>
        <v>3793.1321715492763</v>
      </c>
      <c r="M117" s="3">
        <f>IF(B117=1,'Input sheet(dashboard)'!$D$3*'Input sheet(dashboard)'!$D$10,0)</f>
        <v>0</v>
      </c>
      <c r="N117" s="3">
        <f>IF(B117='Input sheet(dashboard)'!$D$27*12,J117*'Input sheet(dashboard)'!$D$11,0)</f>
        <v>0</v>
      </c>
      <c r="O117" s="3">
        <f>IF(SUM(F117:F128)&gt;=150000,150000/12*'Input sheet(dashboard)'!$D$28,SUM(F117:F128)/12*'Input sheet(dashboard)'!$D$28)</f>
        <v>1875</v>
      </c>
      <c r="P117" s="3">
        <f t="shared" si="15"/>
        <v>0</v>
      </c>
      <c r="Q117" s="3">
        <f>IF(B117&lt;='Input sheet(dashboard)'!$D$27*12,'Input sheet(dashboard)'!$D$12/12,0)</f>
        <v>192.5</v>
      </c>
      <c r="R117" s="3">
        <f>IF(B117&lt;='Input sheet(dashboard)'!$D$27*12,('Input sheet(dashboard)'!$D$15/12)*(1+'Input sheet(dashboard)'!$E$22)^Calculations!B117,0)</f>
        <v>421.45913017214178</v>
      </c>
      <c r="S117" s="3">
        <f>IF(B117&lt;='Input sheet(dashboard)'!$D$27*12,(E117+G117+K117+L117-O117+M117+Q117+R117),0)</f>
        <v>60154.654547881131</v>
      </c>
      <c r="T117" s="3">
        <f>IF(B117&lt;='Input sheet(dashboard)'!$D$27*12,IF(D117=12,SUM(S106:S117),0),0)</f>
        <v>0</v>
      </c>
      <c r="U117" s="3">
        <f>IF(B117&lt;='Input sheet(dashboard)'!$D$27*12,IF(S117&lt;AD117,AD117-S117,0),0)</f>
        <v>0</v>
      </c>
      <c r="V117" s="3">
        <f>IF(B117&lt;='Input sheet(dashboard)'!$D$27*12,V116*(1+'Input sheet(dashboard)'!$E$25)+U117,0)</f>
        <v>0</v>
      </c>
      <c r="W117" s="17">
        <f>IF(B117&lt;='Input sheet(dashboard)'!$D$27*12,J117-I117+V117-N117,0)</f>
        <v>7633084.8101870082</v>
      </c>
      <c r="X117" s="3">
        <f>IF(B117&lt;='Input sheet(dashboard)'!$D$27*12,'Input sheet(dashboard)'!$D$17*(1+'Input sheet(dashboard)'!$E$23)^(B117-1),0)</f>
        <v>41012.492395258982</v>
      </c>
      <c r="Y117" s="3"/>
      <c r="Z117" s="18"/>
      <c r="AA117" s="18"/>
      <c r="AB117" s="3">
        <f>IF(B117=1,'Input sheet(dashboard)'!$D$18*Calculations!X117,IF(Calculations!B117=12*'Input sheet(dashboard)'!$D$27,'Input sheet(dashboard)'!$D$18*-Calculations!X117,0))</f>
        <v>0</v>
      </c>
      <c r="AC117" s="3">
        <f>IF(B117&lt;='Input sheet(dashboard)'!$D$27*12,IF(MOD(B116,'Input sheet(dashboard)'!$D$19*12),0,'Input sheet(dashboard)'!$D$20*(1+'Input sheet(dashboard)'!$E$22)^Calculations!B117),0)</f>
        <v>0</v>
      </c>
      <c r="AD117" s="17">
        <f t="shared" si="12"/>
        <v>41012.492395258982</v>
      </c>
      <c r="AE117" s="17">
        <f>IF(B117&lt;='Input sheet(dashboard)'!$D$27*12,IF(D117=12,SUM(AD106:AD117),0),0)</f>
        <v>0</v>
      </c>
      <c r="AF117" s="17">
        <f t="shared" si="13"/>
        <v>19142.16215262215</v>
      </c>
      <c r="AG117" s="17">
        <f t="shared" si="14"/>
        <v>19142.16215262215</v>
      </c>
      <c r="AH117" s="3">
        <f>IF(B117&lt;='Input sheet(dashboard)'!$D$27*12,AH116*(1+'Input sheet(dashboard)'!$E$25)+AG117," ")</f>
        <v>5989906.685365133</v>
      </c>
    </row>
    <row r="118" spans="2:34">
      <c r="B118">
        <f t="shared" si="9"/>
        <v>115</v>
      </c>
      <c r="C118">
        <f t="shared" si="16"/>
        <v>10</v>
      </c>
      <c r="D118">
        <f t="shared" si="17"/>
        <v>7</v>
      </c>
      <c r="E118" s="15">
        <f>IF(C118&lt;='Input sheet(dashboard)'!$D$6, -PMT('Input sheet(dashboard)'!$E$5,'Input sheet(dashboard)'!$D$6*12,'Input sheet(dashboard)'!$D$3*'Input sheet(dashboard)'!$D$4),0)</f>
        <v>39834.137922259193</v>
      </c>
      <c r="F118" s="3">
        <f>I117*'Input sheet(dashboard)'!$E$5</f>
        <v>23549.429685855437</v>
      </c>
      <c r="G118" s="3">
        <f>IF(C118&lt;='Input sheet(dashboard)'!$D$6,E118*'Input sheet(dashboard)'!$D$7,0)</f>
        <v>3186.7310337807357</v>
      </c>
      <c r="H118" s="3">
        <f t="shared" si="10"/>
        <v>16284.708236403756</v>
      </c>
      <c r="I118" s="3">
        <f t="shared" si="11"/>
        <v>6448386.1889661681</v>
      </c>
      <c r="J118" s="3">
        <f>IF(B118&lt;='Input sheet(dashboard)'!$D$27*12,'Input sheet(dashboard)'!$D$3*(1+'Input sheet(dashboard)'!$E$24)^B118,0)</f>
        <v>14155191.709213121</v>
      </c>
      <c r="K118" s="3">
        <f>IF(B118&lt;='Input sheet(dashboard)'!$D$27*12,J118*'Input sheet(dashboard)'!$E$8,0)</f>
        <v>14661.183400108725</v>
      </c>
      <c r="L118" s="3">
        <f>IF(B118&lt;='Input sheet(dashboard)'!$D$27*12,'Input sheet(dashboard)'!$D$9*(1+'Input sheet(dashboard)'!$E$22)^B118,0)</f>
        <v>3800.9454027725401</v>
      </c>
      <c r="M118" s="3">
        <f>IF(B118=1,'Input sheet(dashboard)'!$D$3*'Input sheet(dashboard)'!$D$10,0)</f>
        <v>0</v>
      </c>
      <c r="N118" s="3">
        <f>IF(B118='Input sheet(dashboard)'!$D$27*12,J118*'Input sheet(dashboard)'!$D$11,0)</f>
        <v>0</v>
      </c>
      <c r="O118" s="3">
        <f>IF(SUM(F118:F129)&gt;=150000,150000/12*'Input sheet(dashboard)'!$D$28,SUM(F118:F129)/12*'Input sheet(dashboard)'!$D$28)</f>
        <v>1875</v>
      </c>
      <c r="P118" s="3">
        <f t="shared" si="15"/>
        <v>0</v>
      </c>
      <c r="Q118" s="3">
        <f>IF(B118&lt;='Input sheet(dashboard)'!$D$27*12,'Input sheet(dashboard)'!$D$12/12,0)</f>
        <v>192.5</v>
      </c>
      <c r="R118" s="3">
        <f>IF(B118&lt;='Input sheet(dashboard)'!$D$27*12,('Input sheet(dashboard)'!$D$15/12)*(1+'Input sheet(dashboard)'!$E$22)^Calculations!B118,0)</f>
        <v>422.32726697472663</v>
      </c>
      <c r="S118" s="3">
        <f>IF(B118&lt;='Input sheet(dashboard)'!$D$27*12,(E118+G118+K118+L118-O118+M118+Q118+R118),0)</f>
        <v>60222.825025895916</v>
      </c>
      <c r="T118" s="3">
        <f>IF(B118&lt;='Input sheet(dashboard)'!$D$27*12,IF(D118=12,SUM(S107:S118),0),0)</f>
        <v>0</v>
      </c>
      <c r="U118" s="3">
        <f>IF(B118&lt;='Input sheet(dashboard)'!$D$27*12,IF(S118&lt;AD118,AD118-S118,0),0)</f>
        <v>0</v>
      </c>
      <c r="V118" s="3">
        <f>IF(B118&lt;='Input sheet(dashboard)'!$D$27*12,V117*(1+'Input sheet(dashboard)'!$E$25)+U118,0)</f>
        <v>0</v>
      </c>
      <c r="W118" s="17">
        <f>IF(B118&lt;='Input sheet(dashboard)'!$D$27*12,J118-I118+V118-N118,0)</f>
        <v>7706805.5202469528</v>
      </c>
      <c r="X118" s="3">
        <f>IF(B118&lt;='Input sheet(dashboard)'!$D$27*12,'Input sheet(dashboard)'!$D$17*(1+'Input sheet(dashboard)'!$E$23)^(B118-1),0)</f>
        <v>41179.582365953218</v>
      </c>
      <c r="Y118" s="3"/>
      <c r="Z118" s="18"/>
      <c r="AA118" s="18"/>
      <c r="AB118" s="3">
        <f>IF(B118=1,'Input sheet(dashboard)'!$D$18*Calculations!X118,IF(Calculations!B118=12*'Input sheet(dashboard)'!$D$27,'Input sheet(dashboard)'!$D$18*-Calculations!X118,0))</f>
        <v>0</v>
      </c>
      <c r="AC118" s="3">
        <f>IF(B118&lt;='Input sheet(dashboard)'!$D$27*12,IF(MOD(B117,'Input sheet(dashboard)'!$D$19*12),0,'Input sheet(dashboard)'!$D$20*(1+'Input sheet(dashboard)'!$E$22)^Calculations!B118),0)</f>
        <v>0</v>
      </c>
      <c r="AD118" s="17">
        <f t="shared" si="12"/>
        <v>41179.582365953218</v>
      </c>
      <c r="AE118" s="17">
        <f>IF(B118&lt;='Input sheet(dashboard)'!$D$27*12,IF(D118=12,SUM(AD107:AD118),0),0)</f>
        <v>0</v>
      </c>
      <c r="AF118" s="17">
        <f t="shared" si="13"/>
        <v>19043.242659942698</v>
      </c>
      <c r="AG118" s="17">
        <f t="shared" si="14"/>
        <v>19043.242659942698</v>
      </c>
      <c r="AH118" s="3">
        <f>IF(B118&lt;='Input sheet(dashboard)'!$D$27*12,AH117*(1+'Input sheet(dashboard)'!$E$25)+AG118," ")</f>
        <v>6047489.1679948252</v>
      </c>
    </row>
    <row r="119" spans="2:34">
      <c r="B119">
        <f t="shared" si="9"/>
        <v>116</v>
      </c>
      <c r="C119">
        <f t="shared" si="16"/>
        <v>10</v>
      </c>
      <c r="D119">
        <f t="shared" si="17"/>
        <v>8</v>
      </c>
      <c r="E119" s="15">
        <f>IF(C119&lt;='Input sheet(dashboard)'!$D$6, -PMT('Input sheet(dashboard)'!$E$5,'Input sheet(dashboard)'!$D$6*12,'Input sheet(dashboard)'!$D$3*'Input sheet(dashboard)'!$D$4),0)</f>
        <v>39834.137922259193</v>
      </c>
      <c r="F119" s="3">
        <f>I118*'Input sheet(dashboard)'!$E$5</f>
        <v>23490.107935736061</v>
      </c>
      <c r="G119" s="3">
        <f>IF(C119&lt;='Input sheet(dashboard)'!$D$6,E119*'Input sheet(dashboard)'!$D$7,0)</f>
        <v>3186.7310337807357</v>
      </c>
      <c r="H119" s="3">
        <f t="shared" si="10"/>
        <v>16344.029986523132</v>
      </c>
      <c r="I119" s="3">
        <f t="shared" si="11"/>
        <v>6432042.158979645</v>
      </c>
      <c r="J119" s="3">
        <f>IF(B119&lt;='Input sheet(dashboard)'!$D$27*12,'Input sheet(dashboard)'!$D$3*(1+'Input sheet(dashboard)'!$E$24)^B119,0)</f>
        <v>14212861.712417727</v>
      </c>
      <c r="K119" s="3">
        <f>IF(B119&lt;='Input sheet(dashboard)'!$D$27*12,J119*'Input sheet(dashboard)'!$E$8,0)</f>
        <v>14720.914876095536</v>
      </c>
      <c r="L119" s="3">
        <f>IF(B119&lt;='Input sheet(dashboard)'!$D$27*12,'Input sheet(dashboard)'!$D$9*(1+'Input sheet(dashboard)'!$E$22)^B119,0)</f>
        <v>3808.7747279728637</v>
      </c>
      <c r="M119" s="3">
        <f>IF(B119=1,'Input sheet(dashboard)'!$D$3*'Input sheet(dashboard)'!$D$10,0)</f>
        <v>0</v>
      </c>
      <c r="N119" s="3">
        <f>IF(B119='Input sheet(dashboard)'!$D$27*12,J119*'Input sheet(dashboard)'!$D$11,0)</f>
        <v>0</v>
      </c>
      <c r="O119" s="3">
        <f>IF(SUM(F119:F130)&gt;=150000,150000/12*'Input sheet(dashboard)'!$D$28,SUM(F119:F130)/12*'Input sheet(dashboard)'!$D$28)</f>
        <v>1875</v>
      </c>
      <c r="P119" s="3">
        <f t="shared" si="15"/>
        <v>0</v>
      </c>
      <c r="Q119" s="3">
        <f>IF(B119&lt;='Input sheet(dashboard)'!$D$27*12,'Input sheet(dashboard)'!$D$12/12,0)</f>
        <v>192.5</v>
      </c>
      <c r="R119" s="3">
        <f>IF(B119&lt;='Input sheet(dashboard)'!$D$27*12,('Input sheet(dashboard)'!$D$15/12)*(1+'Input sheet(dashboard)'!$E$22)^Calculations!B119,0)</f>
        <v>423.19719199698483</v>
      </c>
      <c r="S119" s="3">
        <f>IF(B119&lt;='Input sheet(dashboard)'!$D$27*12,(E119+G119+K119+L119-O119+M119+Q119+R119),0)</f>
        <v>60291.255752105317</v>
      </c>
      <c r="T119" s="3">
        <f>IF(B119&lt;='Input sheet(dashboard)'!$D$27*12,IF(D119=12,SUM(S108:S119),0),0)</f>
        <v>0</v>
      </c>
      <c r="U119" s="3">
        <f>IF(B119&lt;='Input sheet(dashboard)'!$D$27*12,IF(S119&lt;AD119,AD119-S119,0),0)</f>
        <v>0</v>
      </c>
      <c r="V119" s="3">
        <f>IF(B119&lt;='Input sheet(dashboard)'!$D$27*12,V118*(1+'Input sheet(dashboard)'!$E$25)+U119,0)</f>
        <v>0</v>
      </c>
      <c r="W119" s="17">
        <f>IF(B119&lt;='Input sheet(dashboard)'!$D$27*12,J119-I119+V119-N119,0)</f>
        <v>7780819.5534380823</v>
      </c>
      <c r="X119" s="3">
        <f>IF(B119&lt;='Input sheet(dashboard)'!$D$27*12,'Input sheet(dashboard)'!$D$17*(1+'Input sheet(dashboard)'!$E$23)^(B119-1),0)</f>
        <v>41347.35308187105</v>
      </c>
      <c r="Y119" s="3"/>
      <c r="Z119" s="18"/>
      <c r="AA119" s="18"/>
      <c r="AB119" s="3">
        <f>IF(B119=1,'Input sheet(dashboard)'!$D$18*Calculations!X119,IF(Calculations!B119=12*'Input sheet(dashboard)'!$D$27,'Input sheet(dashboard)'!$D$18*-Calculations!X119,0))</f>
        <v>0</v>
      </c>
      <c r="AC119" s="3">
        <f>IF(B119&lt;='Input sheet(dashboard)'!$D$27*12,IF(MOD(B118,'Input sheet(dashboard)'!$D$19*12),0,'Input sheet(dashboard)'!$D$20*(1+'Input sheet(dashboard)'!$E$22)^Calculations!B119),0)</f>
        <v>0</v>
      </c>
      <c r="AD119" s="17">
        <f t="shared" si="12"/>
        <v>41347.35308187105</v>
      </c>
      <c r="AE119" s="17">
        <f>IF(B119&lt;='Input sheet(dashboard)'!$D$27*12,IF(D119=12,SUM(AD108:AD119),0),0)</f>
        <v>0</v>
      </c>
      <c r="AF119" s="17">
        <f t="shared" si="13"/>
        <v>18943.902670234267</v>
      </c>
      <c r="AG119" s="17">
        <f t="shared" si="14"/>
        <v>18943.902670234267</v>
      </c>
      <c r="AH119" s="3">
        <f>IF(B119&lt;='Input sheet(dashboard)'!$D$27*12,AH118*(1+'Input sheet(dashboard)'!$E$25)+AG119," ")</f>
        <v>6105342.7980618579</v>
      </c>
    </row>
    <row r="120" spans="2:34">
      <c r="B120">
        <f t="shared" si="9"/>
        <v>117</v>
      </c>
      <c r="C120">
        <f t="shared" si="16"/>
        <v>10</v>
      </c>
      <c r="D120">
        <f t="shared" si="17"/>
        <v>9</v>
      </c>
      <c r="E120" s="15">
        <f>IF(C120&lt;='Input sheet(dashboard)'!$D$6, -PMT('Input sheet(dashboard)'!$E$5,'Input sheet(dashboard)'!$D$6*12,'Input sheet(dashboard)'!$D$3*'Input sheet(dashboard)'!$D$4),0)</f>
        <v>39834.137922259193</v>
      </c>
      <c r="F120" s="3">
        <f>I119*'Input sheet(dashboard)'!$E$5</f>
        <v>23430.570089019424</v>
      </c>
      <c r="G120" s="3">
        <f>IF(C120&lt;='Input sheet(dashboard)'!$D$6,E120*'Input sheet(dashboard)'!$D$7,0)</f>
        <v>3186.7310337807357</v>
      </c>
      <c r="H120" s="3">
        <f t="shared" si="10"/>
        <v>16403.567833239769</v>
      </c>
      <c r="I120" s="3">
        <f t="shared" si="11"/>
        <v>6415638.5911464049</v>
      </c>
      <c r="J120" s="3">
        <f>IF(B120&lt;='Input sheet(dashboard)'!$D$27*12,'Input sheet(dashboard)'!$D$3*(1+'Input sheet(dashboard)'!$E$24)^B120,0)</f>
        <v>14270766.670353992</v>
      </c>
      <c r="K120" s="3">
        <f>IF(B120&lt;='Input sheet(dashboard)'!$D$27*12,J120*'Input sheet(dashboard)'!$E$8,0)</f>
        <v>14780.889705509298</v>
      </c>
      <c r="L120" s="3">
        <f>IF(B120&lt;='Input sheet(dashboard)'!$D$27*12,'Input sheet(dashboard)'!$D$9*(1+'Input sheet(dashboard)'!$E$22)^B120,0)</f>
        <v>3816.6201803012023</v>
      </c>
      <c r="M120" s="3">
        <f>IF(B120=1,'Input sheet(dashboard)'!$D$3*'Input sheet(dashboard)'!$D$10,0)</f>
        <v>0</v>
      </c>
      <c r="N120" s="3">
        <f>IF(B120='Input sheet(dashboard)'!$D$27*12,J120*'Input sheet(dashboard)'!$D$11,0)</f>
        <v>0</v>
      </c>
      <c r="O120" s="3">
        <f>IF(SUM(F120:F131)&gt;=150000,150000/12*'Input sheet(dashboard)'!$D$28,SUM(F120:F131)/12*'Input sheet(dashboard)'!$D$28)</f>
        <v>1875</v>
      </c>
      <c r="P120" s="3">
        <f t="shared" si="15"/>
        <v>0</v>
      </c>
      <c r="Q120" s="3">
        <f>IF(B120&lt;='Input sheet(dashboard)'!$D$27*12,'Input sheet(dashboard)'!$D$12/12,0)</f>
        <v>192.5</v>
      </c>
      <c r="R120" s="3">
        <f>IF(B120&lt;='Input sheet(dashboard)'!$D$27*12,('Input sheet(dashboard)'!$D$15/12)*(1+'Input sheet(dashboard)'!$E$22)^Calculations!B120,0)</f>
        <v>424.06890892235577</v>
      </c>
      <c r="S120" s="3">
        <f>IF(B120&lt;='Input sheet(dashboard)'!$D$27*12,(E120+G120+K120+L120-O120+M120+Q120+R120),0)</f>
        <v>60359.947750772779</v>
      </c>
      <c r="T120" s="3">
        <f>IF(B120&lt;='Input sheet(dashboard)'!$D$27*12,IF(D120=12,SUM(S109:S120),0),0)</f>
        <v>0</v>
      </c>
      <c r="U120" s="3">
        <f>IF(B120&lt;='Input sheet(dashboard)'!$D$27*12,IF(S120&lt;AD120,AD120-S120,0),0)</f>
        <v>0</v>
      </c>
      <c r="V120" s="3">
        <f>IF(B120&lt;='Input sheet(dashboard)'!$D$27*12,V119*(1+'Input sheet(dashboard)'!$E$25)+U120,0)</f>
        <v>0</v>
      </c>
      <c r="W120" s="17">
        <f>IF(B120&lt;='Input sheet(dashboard)'!$D$27*12,J120-I120+V120-N120,0)</f>
        <v>7855128.0792075871</v>
      </c>
      <c r="X120" s="3">
        <f>IF(B120&lt;='Input sheet(dashboard)'!$D$27*12,'Input sheet(dashboard)'!$D$17*(1+'Input sheet(dashboard)'!$E$23)^(B120-1),0)</f>
        <v>41515.80731645281</v>
      </c>
      <c r="Y120" s="3"/>
      <c r="Z120" s="18"/>
      <c r="AA120" s="18"/>
      <c r="AB120" s="3">
        <f>IF(B120=1,'Input sheet(dashboard)'!$D$18*Calculations!X120,IF(Calculations!B120=12*'Input sheet(dashboard)'!$D$27,'Input sheet(dashboard)'!$D$18*-Calculations!X120,0))</f>
        <v>0</v>
      </c>
      <c r="AC120" s="3">
        <f>IF(B120&lt;='Input sheet(dashboard)'!$D$27*12,IF(MOD(B119,'Input sheet(dashboard)'!$D$19*12),0,'Input sheet(dashboard)'!$D$20*(1+'Input sheet(dashboard)'!$E$22)^Calculations!B120),0)</f>
        <v>0</v>
      </c>
      <c r="AD120" s="17">
        <f t="shared" si="12"/>
        <v>41515.80731645281</v>
      </c>
      <c r="AE120" s="17">
        <f>IF(B120&lt;='Input sheet(dashboard)'!$D$27*12,IF(D120=12,SUM(AD109:AD120),0),0)</f>
        <v>0</v>
      </c>
      <c r="AF120" s="17">
        <f t="shared" si="13"/>
        <v>18844.140434319968</v>
      </c>
      <c r="AG120" s="17">
        <f t="shared" si="14"/>
        <v>18844.140434319968</v>
      </c>
      <c r="AH120" s="3">
        <f>IF(B120&lt;='Input sheet(dashboard)'!$D$27*12,AH119*(1+'Input sheet(dashboard)'!$E$25)+AG120," ")</f>
        <v>6163468.8978908006</v>
      </c>
    </row>
    <row r="121" spans="2:34">
      <c r="B121">
        <f t="shared" si="9"/>
        <v>118</v>
      </c>
      <c r="C121">
        <f t="shared" si="16"/>
        <v>10</v>
      </c>
      <c r="D121">
        <f t="shared" si="17"/>
        <v>10</v>
      </c>
      <c r="E121" s="15">
        <f>IF(C121&lt;='Input sheet(dashboard)'!$D$6, -PMT('Input sheet(dashboard)'!$E$5,'Input sheet(dashboard)'!$D$6*12,'Input sheet(dashboard)'!$D$3*'Input sheet(dashboard)'!$D$4),0)</f>
        <v>39834.137922259193</v>
      </c>
      <c r="F121" s="3">
        <f>I120*'Input sheet(dashboard)'!$E$5</f>
        <v>23370.815358511303</v>
      </c>
      <c r="G121" s="3">
        <f>IF(C121&lt;='Input sheet(dashboard)'!$D$6,E121*'Input sheet(dashboard)'!$D$7,0)</f>
        <v>3186.7310337807357</v>
      </c>
      <c r="H121" s="3">
        <f t="shared" si="10"/>
        <v>16463.32256374789</v>
      </c>
      <c r="I121" s="3">
        <f t="shared" si="11"/>
        <v>6399175.268582657</v>
      </c>
      <c r="J121" s="3">
        <f>IF(B121&lt;='Input sheet(dashboard)'!$D$27*12,'Input sheet(dashboard)'!$D$3*(1+'Input sheet(dashboard)'!$E$24)^B121,0)</f>
        <v>14328907.54025658</v>
      </c>
      <c r="K121" s="3">
        <f>IF(B121&lt;='Input sheet(dashboard)'!$D$27*12,J121*'Input sheet(dashboard)'!$E$8,0)</f>
        <v>14841.108879802001</v>
      </c>
      <c r="L121" s="3">
        <f>IF(B121&lt;='Input sheet(dashboard)'!$D$27*12,'Input sheet(dashboard)'!$D$9*(1+'Input sheet(dashboard)'!$E$22)^B121,0)</f>
        <v>3824.4817929768005</v>
      </c>
      <c r="M121" s="3">
        <f>IF(B121=1,'Input sheet(dashboard)'!$D$3*'Input sheet(dashboard)'!$D$10,0)</f>
        <v>0</v>
      </c>
      <c r="N121" s="3">
        <f>IF(B121='Input sheet(dashboard)'!$D$27*12,J121*'Input sheet(dashboard)'!$D$11,0)</f>
        <v>0</v>
      </c>
      <c r="O121" s="3">
        <f>IF(SUM(F121:F132)&gt;=150000,150000/12*'Input sheet(dashboard)'!$D$28,SUM(F121:F132)/12*'Input sheet(dashboard)'!$D$28)</f>
        <v>1875</v>
      </c>
      <c r="P121" s="3">
        <f t="shared" si="15"/>
        <v>0</v>
      </c>
      <c r="Q121" s="3">
        <f>IF(B121&lt;='Input sheet(dashboard)'!$D$27*12,'Input sheet(dashboard)'!$D$12/12,0)</f>
        <v>192.5</v>
      </c>
      <c r="R121" s="3">
        <f>IF(B121&lt;='Input sheet(dashboard)'!$D$27*12,('Input sheet(dashboard)'!$D$15/12)*(1+'Input sheet(dashboard)'!$E$22)^Calculations!B121,0)</f>
        <v>424.94242144186671</v>
      </c>
      <c r="S121" s="3">
        <f>IF(B121&lt;='Input sheet(dashboard)'!$D$27*12,(E121+G121+K121+L121-O121+M121+Q121+R121),0)</f>
        <v>60428.9020502606</v>
      </c>
      <c r="T121" s="3">
        <f>IF(B121&lt;='Input sheet(dashboard)'!$D$27*12,IF(D121=12,SUM(S110:S121),0),0)</f>
        <v>0</v>
      </c>
      <c r="U121" s="3">
        <f>IF(B121&lt;='Input sheet(dashboard)'!$D$27*12,IF(S121&lt;AD121,AD121-S121,0),0)</f>
        <v>0</v>
      </c>
      <c r="V121" s="3">
        <f>IF(B121&lt;='Input sheet(dashboard)'!$D$27*12,V120*(1+'Input sheet(dashboard)'!$E$25)+U121,0)</f>
        <v>0</v>
      </c>
      <c r="W121" s="17">
        <f>IF(B121&lt;='Input sheet(dashboard)'!$D$27*12,J121-I121+V121-N121,0)</f>
        <v>7929732.2716739234</v>
      </c>
      <c r="X121" s="3">
        <f>IF(B121&lt;='Input sheet(dashboard)'!$D$27*12,'Input sheet(dashboard)'!$D$17*(1+'Input sheet(dashboard)'!$E$23)^(B121-1),0)</f>
        <v>41684.947854438127</v>
      </c>
      <c r="Y121" s="3"/>
      <c r="Z121" s="18"/>
      <c r="AA121" s="18"/>
      <c r="AB121" s="3">
        <f>IF(B121=1,'Input sheet(dashboard)'!$D$18*Calculations!X121,IF(Calculations!B121=12*'Input sheet(dashboard)'!$D$27,'Input sheet(dashboard)'!$D$18*-Calculations!X121,0))</f>
        <v>0</v>
      </c>
      <c r="AC121" s="3">
        <f>IF(B121&lt;='Input sheet(dashboard)'!$D$27*12,IF(MOD(B120,'Input sheet(dashboard)'!$D$19*12),0,'Input sheet(dashboard)'!$D$20*(1+'Input sheet(dashboard)'!$E$22)^Calculations!B121),0)</f>
        <v>0</v>
      </c>
      <c r="AD121" s="17">
        <f t="shared" si="12"/>
        <v>41684.947854438127</v>
      </c>
      <c r="AE121" s="17">
        <f>IF(B121&lt;='Input sheet(dashboard)'!$D$27*12,IF(D121=12,SUM(AD110:AD121),0),0)</f>
        <v>0</v>
      </c>
      <c r="AF121" s="17">
        <f t="shared" si="13"/>
        <v>18743.954195822473</v>
      </c>
      <c r="AG121" s="17">
        <f t="shared" si="14"/>
        <v>18743.954195822473</v>
      </c>
      <c r="AH121" s="3">
        <f>IF(B121&lt;='Input sheet(dashboard)'!$D$27*12,AH120*(1+'Input sheet(dashboard)'!$E$25)+AG121," ")</f>
        <v>6221868.7965577226</v>
      </c>
    </row>
    <row r="122" spans="2:34">
      <c r="B122">
        <f t="shared" si="9"/>
        <v>119</v>
      </c>
      <c r="C122">
        <f t="shared" si="16"/>
        <v>10</v>
      </c>
      <c r="D122">
        <f t="shared" si="17"/>
        <v>11</v>
      </c>
      <c r="E122" s="15">
        <f>IF(C122&lt;='Input sheet(dashboard)'!$D$6, -PMT('Input sheet(dashboard)'!$E$5,'Input sheet(dashboard)'!$D$6*12,'Input sheet(dashboard)'!$D$3*'Input sheet(dashboard)'!$D$4),0)</f>
        <v>39834.137922259193</v>
      </c>
      <c r="F122" s="3">
        <f>I121*'Input sheet(dashboard)'!$E$5</f>
        <v>23310.842954149881</v>
      </c>
      <c r="G122" s="3">
        <f>IF(C122&lt;='Input sheet(dashboard)'!$D$6,E122*'Input sheet(dashboard)'!$D$7,0)</f>
        <v>3186.7310337807357</v>
      </c>
      <c r="H122" s="3">
        <f t="shared" si="10"/>
        <v>16523.294968109312</v>
      </c>
      <c r="I122" s="3">
        <f t="shared" si="11"/>
        <v>6382651.9736145474</v>
      </c>
      <c r="J122" s="3">
        <f>IF(B122&lt;='Input sheet(dashboard)'!$D$27*12,'Input sheet(dashboard)'!$D$3*(1+'Input sheet(dashboard)'!$E$24)^B122,0)</f>
        <v>14387285.283260036</v>
      </c>
      <c r="K122" s="3">
        <f>IF(B122&lt;='Input sheet(dashboard)'!$D$27*12,J122*'Input sheet(dashboard)'!$E$8,0)</f>
        <v>14901.573394464915</v>
      </c>
      <c r="L122" s="3">
        <f>IF(B122&lt;='Input sheet(dashboard)'!$D$27*12,'Input sheet(dashboard)'!$D$9*(1+'Input sheet(dashboard)'!$E$22)^B122,0)</f>
        <v>3832.3595992873275</v>
      </c>
      <c r="M122" s="3">
        <f>IF(B122=1,'Input sheet(dashboard)'!$D$3*'Input sheet(dashboard)'!$D$10,0)</f>
        <v>0</v>
      </c>
      <c r="N122" s="3">
        <f>IF(B122='Input sheet(dashboard)'!$D$27*12,J122*'Input sheet(dashboard)'!$D$11,0)</f>
        <v>0</v>
      </c>
      <c r="O122" s="3">
        <f>IF(SUM(F122:F133)&gt;=150000,150000/12*'Input sheet(dashboard)'!$D$28,SUM(F122:F133)/12*'Input sheet(dashboard)'!$D$28)</f>
        <v>1875</v>
      </c>
      <c r="P122" s="3">
        <f t="shared" si="15"/>
        <v>0</v>
      </c>
      <c r="Q122" s="3">
        <f>IF(B122&lt;='Input sheet(dashboard)'!$D$27*12,'Input sheet(dashboard)'!$D$12/12,0)</f>
        <v>192.5</v>
      </c>
      <c r="R122" s="3">
        <f>IF(B122&lt;='Input sheet(dashboard)'!$D$27*12,('Input sheet(dashboard)'!$D$15/12)*(1+'Input sheet(dashboard)'!$E$22)^Calculations!B122,0)</f>
        <v>425.81773325414747</v>
      </c>
      <c r="S122" s="3">
        <f>IF(B122&lt;='Input sheet(dashboard)'!$D$27*12,(E122+G122+K122+L122-O122+M122+Q122+R122),0)</f>
        <v>60498.119683046323</v>
      </c>
      <c r="T122" s="3">
        <f>IF(B122&lt;='Input sheet(dashboard)'!$D$27*12,IF(D122=12,SUM(S111:S122),0),0)</f>
        <v>0</v>
      </c>
      <c r="U122" s="3">
        <f>IF(B122&lt;='Input sheet(dashboard)'!$D$27*12,IF(S122&lt;AD122,AD122-S122,0),0)</f>
        <v>0</v>
      </c>
      <c r="V122" s="3">
        <f>IF(B122&lt;='Input sheet(dashboard)'!$D$27*12,V121*(1+'Input sheet(dashboard)'!$E$25)+U122,0)</f>
        <v>0</v>
      </c>
      <c r="W122" s="17">
        <f>IF(B122&lt;='Input sheet(dashboard)'!$D$27*12,J122-I122+V122-N122,0)</f>
        <v>8004633.3096454889</v>
      </c>
      <c r="X122" s="3">
        <f>IF(B122&lt;='Input sheet(dashboard)'!$D$27*12,'Input sheet(dashboard)'!$D$17*(1+'Input sheet(dashboard)'!$E$23)^(B122-1),0)</f>
        <v>41854.777491912042</v>
      </c>
      <c r="Y122" s="3"/>
      <c r="Z122" s="18"/>
      <c r="AA122" s="18"/>
      <c r="AB122" s="3">
        <f>IF(B122=1,'Input sheet(dashboard)'!$D$18*Calculations!X122,IF(Calculations!B122=12*'Input sheet(dashboard)'!$D$27,'Input sheet(dashboard)'!$D$18*-Calculations!X122,0))</f>
        <v>0</v>
      </c>
      <c r="AC122" s="3">
        <f>IF(B122&lt;='Input sheet(dashboard)'!$D$27*12,IF(MOD(B121,'Input sheet(dashboard)'!$D$19*12),0,'Input sheet(dashboard)'!$D$20*(1+'Input sheet(dashboard)'!$E$22)^Calculations!B122),0)</f>
        <v>0</v>
      </c>
      <c r="AD122" s="17">
        <f t="shared" si="12"/>
        <v>41854.777491912042</v>
      </c>
      <c r="AE122" s="17">
        <f>IF(B122&lt;='Input sheet(dashboard)'!$D$27*12,IF(D122=12,SUM(AD111:AD122),0),0)</f>
        <v>0</v>
      </c>
      <c r="AF122" s="17">
        <f t="shared" si="13"/>
        <v>18643.342191134281</v>
      </c>
      <c r="AG122" s="17">
        <f t="shared" si="14"/>
        <v>18643.342191134281</v>
      </c>
      <c r="AH122" s="3">
        <f>IF(B122&lt;='Input sheet(dashboard)'!$D$27*12,AH121*(1+'Input sheet(dashboard)'!$E$25)+AG122," ")</f>
        <v>6280543.8299264004</v>
      </c>
    </row>
    <row r="123" spans="2:34">
      <c r="B123">
        <f t="shared" si="9"/>
        <v>120</v>
      </c>
      <c r="C123">
        <f t="shared" si="16"/>
        <v>10</v>
      </c>
      <c r="D123">
        <f t="shared" si="17"/>
        <v>12</v>
      </c>
      <c r="E123" s="15">
        <f>IF(C123&lt;='Input sheet(dashboard)'!$D$6, -PMT('Input sheet(dashboard)'!$E$5,'Input sheet(dashboard)'!$D$6*12,'Input sheet(dashboard)'!$D$3*'Input sheet(dashboard)'!$D$4),0)</f>
        <v>39834.137922259193</v>
      </c>
      <c r="F123" s="3">
        <f>I122*'Input sheet(dashboard)'!$E$5</f>
        <v>23250.652082995322</v>
      </c>
      <c r="G123" s="3">
        <f>IF(C123&lt;='Input sheet(dashboard)'!$D$6,E123*'Input sheet(dashboard)'!$D$7,0)</f>
        <v>3186.7310337807357</v>
      </c>
      <c r="H123" s="3">
        <f t="shared" si="10"/>
        <v>16583.485839263871</v>
      </c>
      <c r="I123" s="3">
        <f t="shared" si="11"/>
        <v>6366068.4877752839</v>
      </c>
      <c r="J123" s="3">
        <f>IF(B123&lt;='Input sheet(dashboard)'!$D$27*12,'Input sheet(dashboard)'!$D$3*(1+'Input sheet(dashboard)'!$E$24)^B123,0)</f>
        <v>14445900.864414705</v>
      </c>
      <c r="K123" s="3">
        <f>IF(B123&lt;='Input sheet(dashboard)'!$D$27*12,J123*'Input sheet(dashboard)'!$E$8,0)</f>
        <v>14962.284249045091</v>
      </c>
      <c r="L123" s="3">
        <f>IF(B123&lt;='Input sheet(dashboard)'!$D$27*12,'Input sheet(dashboard)'!$D$9*(1+'Input sheet(dashboard)'!$E$22)^B123,0)</f>
        <v>3840.2536325890201</v>
      </c>
      <c r="M123" s="3">
        <f>IF(B123=1,'Input sheet(dashboard)'!$D$3*'Input sheet(dashboard)'!$D$10,0)</f>
        <v>0</v>
      </c>
      <c r="N123" s="3">
        <f>IF(B123='Input sheet(dashboard)'!$D$27*12,J123*'Input sheet(dashboard)'!$D$11,0)</f>
        <v>0</v>
      </c>
      <c r="O123" s="3">
        <f>IF(SUM(F123:F134)&gt;=150000,150000/12*'Input sheet(dashboard)'!$D$28,SUM(F123:F134)/12*'Input sheet(dashboard)'!$D$28)</f>
        <v>1875</v>
      </c>
      <c r="P123" s="3">
        <f t="shared" si="15"/>
        <v>22500</v>
      </c>
      <c r="Q123" s="3">
        <f>IF(B123&lt;='Input sheet(dashboard)'!$D$27*12,'Input sheet(dashboard)'!$D$12/12,0)</f>
        <v>192.5</v>
      </c>
      <c r="R123" s="3">
        <f>IF(B123&lt;='Input sheet(dashboard)'!$D$27*12,('Input sheet(dashboard)'!$D$15/12)*(1+'Input sheet(dashboard)'!$E$22)^Calculations!B123,0)</f>
        <v>426.69484806544665</v>
      </c>
      <c r="S123" s="3">
        <f>IF(B123&lt;='Input sheet(dashboard)'!$D$27*12,(E123+G123+K123+L123-O123+M123+Q123+R123),0)</f>
        <v>60567.601685739486</v>
      </c>
      <c r="T123" s="3">
        <f>IF(B123&lt;='Input sheet(dashboard)'!$D$27*12,IF(D123=12,SUM(S112:S123),0),0)</f>
        <v>722283.05956624716</v>
      </c>
      <c r="U123" s="3">
        <f>IF(B123&lt;='Input sheet(dashboard)'!$D$27*12,IF(S123&lt;AD123,AD123-S123,0),0)</f>
        <v>0</v>
      </c>
      <c r="V123" s="3">
        <f>IF(B123&lt;='Input sheet(dashboard)'!$D$27*12,V122*(1+'Input sheet(dashboard)'!$E$25)+U123,0)</f>
        <v>0</v>
      </c>
      <c r="W123" s="17">
        <f>IF(B123&lt;='Input sheet(dashboard)'!$D$27*12,J123-I123+V123-N123,0)</f>
        <v>8079832.3766394211</v>
      </c>
      <c r="X123" s="3">
        <f>IF(B123&lt;='Input sheet(dashboard)'!$D$27*12,'Input sheet(dashboard)'!$D$17*(1+'Input sheet(dashboard)'!$E$23)^(B123-1),0)</f>
        <v>42025.299036351149</v>
      </c>
      <c r="Y123" s="3"/>
      <c r="Z123" s="18"/>
      <c r="AA123" s="18"/>
      <c r="AB123" s="3">
        <f>IF(B123=1,'Input sheet(dashboard)'!$D$18*Calculations!X123,IF(Calculations!B123=12*'Input sheet(dashboard)'!$D$27,'Input sheet(dashboard)'!$D$18*-Calculations!X123,0))</f>
        <v>0</v>
      </c>
      <c r="AC123" s="3">
        <f>IF(B123&lt;='Input sheet(dashboard)'!$D$27*12,IF(MOD(B122,'Input sheet(dashboard)'!$D$19*12),0,'Input sheet(dashboard)'!$D$20*(1+'Input sheet(dashboard)'!$E$22)^Calculations!B123),0)</f>
        <v>0</v>
      </c>
      <c r="AD123" s="17">
        <f t="shared" si="12"/>
        <v>42025.299036351149</v>
      </c>
      <c r="AE123" s="17">
        <f>IF(B123&lt;='Input sheet(dashboard)'!$D$27*12,IF(D123=12,SUM(AD112:AD123),0),0)</f>
        <v>493200.00531423499</v>
      </c>
      <c r="AF123" s="17">
        <f t="shared" si="13"/>
        <v>18542.302649388337</v>
      </c>
      <c r="AG123" s="17">
        <f t="shared" si="14"/>
        <v>18542.302649388337</v>
      </c>
      <c r="AH123" s="3">
        <f>IF(B123&lt;='Input sheet(dashboard)'!$D$27*12,AH122*(1+'Input sheet(dashboard)'!$E$25)+AG123," ")</f>
        <v>6339495.3406847315</v>
      </c>
    </row>
    <row r="124" spans="2:34">
      <c r="B124">
        <f t="shared" si="9"/>
        <v>121</v>
      </c>
      <c r="C124">
        <f t="shared" si="16"/>
        <v>11</v>
      </c>
      <c r="D124">
        <f t="shared" si="17"/>
        <v>1</v>
      </c>
      <c r="E124" s="15">
        <f>IF(C124&lt;='Input sheet(dashboard)'!$D$6, -PMT('Input sheet(dashboard)'!$E$5,'Input sheet(dashboard)'!$D$6*12,'Input sheet(dashboard)'!$D$3*'Input sheet(dashboard)'!$D$4),0)</f>
        <v>39834.137922259193</v>
      </c>
      <c r="F124" s="3">
        <f>I123*'Input sheet(dashboard)'!$E$5</f>
        <v>23190.241949219278</v>
      </c>
      <c r="G124" s="3">
        <f>IF(C124&lt;='Input sheet(dashboard)'!$D$6,E124*'Input sheet(dashboard)'!$D$7,0)</f>
        <v>3186.7310337807357</v>
      </c>
      <c r="H124" s="3">
        <f t="shared" si="10"/>
        <v>16643.895973039915</v>
      </c>
      <c r="I124" s="3">
        <f t="shared" si="11"/>
        <v>6349424.5918022441</v>
      </c>
      <c r="J124" s="3">
        <f>IF(B124&lt;='Input sheet(dashboard)'!$D$27*12,'Input sheet(dashboard)'!$D$3*(1+'Input sheet(dashboard)'!$E$24)^B124,0)</f>
        <v>14504755.252702644</v>
      </c>
      <c r="K124" s="3">
        <f>IF(B124&lt;='Input sheet(dashboard)'!$D$27*12,J124*'Input sheet(dashboard)'!$E$8,0)</f>
        <v>15023.242447161834</v>
      </c>
      <c r="L124" s="3">
        <f>IF(B124&lt;='Input sheet(dashboard)'!$D$27*12,'Input sheet(dashboard)'!$D$9*(1+'Input sheet(dashboard)'!$E$22)^B124,0)</f>
        <v>3848.1639263068218</v>
      </c>
      <c r="M124" s="3">
        <f>IF(B124=1,'Input sheet(dashboard)'!$D$3*'Input sheet(dashboard)'!$D$10,0)</f>
        <v>0</v>
      </c>
      <c r="N124" s="3">
        <f>IF(B124='Input sheet(dashboard)'!$D$27*12,J124*'Input sheet(dashboard)'!$D$11,0)</f>
        <v>0</v>
      </c>
      <c r="O124" s="3">
        <f>IF(SUM(F124:F135)&gt;=150000,150000/12*'Input sheet(dashboard)'!$D$28,SUM(F124:F135)/12*'Input sheet(dashboard)'!$D$28)</f>
        <v>1875</v>
      </c>
      <c r="P124" s="3">
        <f t="shared" si="15"/>
        <v>0</v>
      </c>
      <c r="Q124" s="3">
        <f>IF(B124&lt;='Input sheet(dashboard)'!$D$27*12,'Input sheet(dashboard)'!$D$12/12,0)</f>
        <v>192.5</v>
      </c>
      <c r="R124" s="3">
        <f>IF(B124&lt;='Input sheet(dashboard)'!$D$27*12,('Input sheet(dashboard)'!$D$15/12)*(1+'Input sheet(dashboard)'!$E$22)^Calculations!B124,0)</f>
        <v>427.57376958964687</v>
      </c>
      <c r="S124" s="3">
        <f>IF(B124&lt;='Input sheet(dashboard)'!$D$27*12,(E124+G124+K124+L124-O124+M124+Q124+R124),0)</f>
        <v>60637.349099098232</v>
      </c>
      <c r="T124" s="3">
        <f>IF(B124&lt;='Input sheet(dashboard)'!$D$27*12,IF(D124=12,SUM(S113:S124),0),0)</f>
        <v>0</v>
      </c>
      <c r="U124" s="3">
        <f>IF(B124&lt;='Input sheet(dashboard)'!$D$27*12,IF(S124&lt;AD124,AD124-S124,0),0)</f>
        <v>0</v>
      </c>
      <c r="V124" s="3">
        <f>IF(B124&lt;='Input sheet(dashboard)'!$D$27*12,V123*(1+'Input sheet(dashboard)'!$E$25)+U124,0)</f>
        <v>0</v>
      </c>
      <c r="W124" s="17">
        <f>IF(B124&lt;='Input sheet(dashboard)'!$D$27*12,J124-I124+V124-N124,0)</f>
        <v>8155330.6609004</v>
      </c>
      <c r="X124" s="3">
        <f>IF(B124&lt;='Input sheet(dashboard)'!$D$27*12,'Input sheet(dashboard)'!$D$17*(1+'Input sheet(dashboard)'!$E$23)^(B124-1),0)</f>
        <v>42196.515306670095</v>
      </c>
      <c r="Y124" s="3"/>
      <c r="Z124" s="18"/>
      <c r="AA124" s="18"/>
      <c r="AB124" s="3">
        <f>IF(B124=1,'Input sheet(dashboard)'!$D$18*Calculations!X124,IF(Calculations!B124=12*'Input sheet(dashboard)'!$D$27,'Input sheet(dashboard)'!$D$18*-Calculations!X124,0))</f>
        <v>0</v>
      </c>
      <c r="AC124" s="3">
        <f>IF(B124&lt;='Input sheet(dashboard)'!$D$27*12,IF(MOD(B123,'Input sheet(dashboard)'!$D$19*12),0,'Input sheet(dashboard)'!$D$20*(1+'Input sheet(dashboard)'!$E$22)^Calculations!B124),0)</f>
        <v>0</v>
      </c>
      <c r="AD124" s="17">
        <f t="shared" si="12"/>
        <v>42196.515306670095</v>
      </c>
      <c r="AE124" s="17">
        <f>IF(B124&lt;='Input sheet(dashboard)'!$D$27*12,IF(D124=12,SUM(AD113:AD124),0),0)</f>
        <v>0</v>
      </c>
      <c r="AF124" s="17">
        <f t="shared" si="13"/>
        <v>18440.833792428137</v>
      </c>
      <c r="AG124" s="17">
        <f t="shared" si="14"/>
        <v>18440.833792428137</v>
      </c>
      <c r="AH124" s="3">
        <f>IF(B124&lt;='Input sheet(dashboard)'!$D$27*12,AH123*(1+'Input sheet(dashboard)'!$E$25)+AG124," ")</f>
        <v>6398724.6783813518</v>
      </c>
    </row>
    <row r="125" spans="2:34">
      <c r="B125">
        <f t="shared" si="9"/>
        <v>122</v>
      </c>
      <c r="C125">
        <f t="shared" si="16"/>
        <v>11</v>
      </c>
      <c r="D125">
        <f t="shared" si="17"/>
        <v>2</v>
      </c>
      <c r="E125" s="15">
        <f>IF(C125&lt;='Input sheet(dashboard)'!$D$6, -PMT('Input sheet(dashboard)'!$E$5,'Input sheet(dashboard)'!$D$6*12,'Input sheet(dashboard)'!$D$3*'Input sheet(dashboard)'!$D$4),0)</f>
        <v>39834.137922259193</v>
      </c>
      <c r="F125" s="3">
        <f>I124*'Input sheet(dashboard)'!$E$5</f>
        <v>23129.611754094356</v>
      </c>
      <c r="G125" s="3">
        <f>IF(C125&lt;='Input sheet(dashboard)'!$D$6,E125*'Input sheet(dashboard)'!$D$7,0)</f>
        <v>3186.7310337807357</v>
      </c>
      <c r="H125" s="3">
        <f t="shared" si="10"/>
        <v>16704.526168164837</v>
      </c>
      <c r="I125" s="3">
        <f t="shared" si="11"/>
        <v>6332720.0656340793</v>
      </c>
      <c r="J125" s="3">
        <f>IF(B125&lt;='Input sheet(dashboard)'!$D$27*12,'Input sheet(dashboard)'!$D$3*(1+'Input sheet(dashboard)'!$E$24)^B125,0)</f>
        <v>14563849.421053676</v>
      </c>
      <c r="K125" s="3">
        <f>IF(B125&lt;='Input sheet(dashboard)'!$D$27*12,J125*'Input sheet(dashboard)'!$E$8,0)</f>
        <v>15084.44899652333</v>
      </c>
      <c r="L125" s="3">
        <f>IF(B125&lt;='Input sheet(dashboard)'!$D$27*12,'Input sheet(dashboard)'!$D$9*(1+'Input sheet(dashboard)'!$E$22)^B125,0)</f>
        <v>3856.0905139345286</v>
      </c>
      <c r="M125" s="3">
        <f>IF(B125=1,'Input sheet(dashboard)'!$D$3*'Input sheet(dashboard)'!$D$10,0)</f>
        <v>0</v>
      </c>
      <c r="N125" s="3">
        <f>IF(B125='Input sheet(dashboard)'!$D$27*12,J125*'Input sheet(dashboard)'!$D$11,0)</f>
        <v>0</v>
      </c>
      <c r="O125" s="3">
        <f>IF(SUM(F125:F136)&gt;=150000,150000/12*'Input sheet(dashboard)'!$D$28,SUM(F125:F136)/12*'Input sheet(dashboard)'!$D$28)</f>
        <v>1875</v>
      </c>
      <c r="P125" s="3">
        <f t="shared" si="15"/>
        <v>0</v>
      </c>
      <c r="Q125" s="3">
        <f>IF(B125&lt;='Input sheet(dashboard)'!$D$27*12,'Input sheet(dashboard)'!$D$12/12,0)</f>
        <v>192.5</v>
      </c>
      <c r="R125" s="3">
        <f>IF(B125&lt;='Input sheet(dashboard)'!$D$27*12,('Input sheet(dashboard)'!$D$15/12)*(1+'Input sheet(dashboard)'!$E$22)^Calculations!B125,0)</f>
        <v>428.45450154828092</v>
      </c>
      <c r="S125" s="3">
        <f>IF(B125&lt;='Input sheet(dashboard)'!$D$27*12,(E125+G125+K125+L125-O125+M125+Q125+R125),0)</f>
        <v>60707.362968046065</v>
      </c>
      <c r="T125" s="3">
        <f>IF(B125&lt;='Input sheet(dashboard)'!$D$27*12,IF(D125=12,SUM(S114:S125),0),0)</f>
        <v>0</v>
      </c>
      <c r="U125" s="3">
        <f>IF(B125&lt;='Input sheet(dashboard)'!$D$27*12,IF(S125&lt;AD125,AD125-S125,0),0)</f>
        <v>0</v>
      </c>
      <c r="V125" s="3">
        <f>IF(B125&lt;='Input sheet(dashboard)'!$D$27*12,V124*(1+'Input sheet(dashboard)'!$E$25)+U125,0)</f>
        <v>0</v>
      </c>
      <c r="W125" s="17">
        <f>IF(B125&lt;='Input sheet(dashboard)'!$D$27*12,J125-I125+V125-N125,0)</f>
        <v>8231129.3554195967</v>
      </c>
      <c r="X125" s="3">
        <f>IF(B125&lt;='Input sheet(dashboard)'!$D$27*12,'Input sheet(dashboard)'!$D$17*(1+'Input sheet(dashboard)'!$E$23)^(B125-1),0)</f>
        <v>42368.42913326808</v>
      </c>
      <c r="Y125" s="3"/>
      <c r="Z125" s="18"/>
      <c r="AA125" s="18"/>
      <c r="AB125" s="3">
        <f>IF(B125=1,'Input sheet(dashboard)'!$D$18*Calculations!X125,IF(Calculations!B125=12*'Input sheet(dashboard)'!$D$27,'Input sheet(dashboard)'!$D$18*-Calculations!X125,0))</f>
        <v>0</v>
      </c>
      <c r="AC125" s="3">
        <f>IF(B125&lt;='Input sheet(dashboard)'!$D$27*12,IF(MOD(B124,'Input sheet(dashboard)'!$D$19*12),0,'Input sheet(dashboard)'!$D$20*(1+'Input sheet(dashboard)'!$E$22)^Calculations!B125),0)</f>
        <v>0</v>
      </c>
      <c r="AD125" s="17">
        <f t="shared" si="12"/>
        <v>42368.42913326808</v>
      </c>
      <c r="AE125" s="17">
        <f>IF(B125&lt;='Input sheet(dashboard)'!$D$27*12,IF(D125=12,SUM(AD114:AD125),0),0)</f>
        <v>0</v>
      </c>
      <c r="AF125" s="17">
        <f t="shared" si="13"/>
        <v>18338.933834777985</v>
      </c>
      <c r="AG125" s="17">
        <f t="shared" si="14"/>
        <v>18338.933834777985</v>
      </c>
      <c r="AH125" s="3">
        <f>IF(B125&lt;='Input sheet(dashboard)'!$D$27*12,AH124*(1+'Input sheet(dashboard)'!$E$25)+AG125," ")</f>
        <v>6458233.1994624576</v>
      </c>
    </row>
    <row r="126" spans="2:34">
      <c r="B126">
        <f t="shared" si="9"/>
        <v>123</v>
      </c>
      <c r="C126">
        <f t="shared" si="16"/>
        <v>11</v>
      </c>
      <c r="D126">
        <f t="shared" si="17"/>
        <v>3</v>
      </c>
      <c r="E126" s="15">
        <f>IF(C126&lt;='Input sheet(dashboard)'!$D$6, -PMT('Input sheet(dashboard)'!$E$5,'Input sheet(dashboard)'!$D$6*12,'Input sheet(dashboard)'!$D$3*'Input sheet(dashboard)'!$D$4),0)</f>
        <v>39834.137922259193</v>
      </c>
      <c r="F126" s="3">
        <f>I125*'Input sheet(dashboard)'!$E$5</f>
        <v>23068.760695983579</v>
      </c>
      <c r="G126" s="3">
        <f>IF(C126&lt;='Input sheet(dashboard)'!$D$6,E126*'Input sheet(dashboard)'!$D$7,0)</f>
        <v>3186.7310337807357</v>
      </c>
      <c r="H126" s="3">
        <f t="shared" si="10"/>
        <v>16765.377226275614</v>
      </c>
      <c r="I126" s="3">
        <f t="shared" si="11"/>
        <v>6315954.6884078039</v>
      </c>
      <c r="J126" s="3">
        <f>IF(B126&lt;='Input sheet(dashboard)'!$D$27*12,'Input sheet(dashboard)'!$D$3*(1+'Input sheet(dashboard)'!$E$24)^B126,0)</f>
        <v>14623184.346361466</v>
      </c>
      <c r="K126" s="3">
        <f>IF(B126&lt;='Input sheet(dashboard)'!$D$27*12,J126*'Input sheet(dashboard)'!$E$8,0)</f>
        <v>15145.904908943297</v>
      </c>
      <c r="L126" s="3">
        <f>IF(B126&lt;='Input sheet(dashboard)'!$D$27*12,'Input sheet(dashboard)'!$D$9*(1+'Input sheet(dashboard)'!$E$22)^B126,0)</f>
        <v>3864.0334290349278</v>
      </c>
      <c r="M126" s="3">
        <f>IF(B126=1,'Input sheet(dashboard)'!$D$3*'Input sheet(dashboard)'!$D$10,0)</f>
        <v>0</v>
      </c>
      <c r="N126" s="3">
        <f>IF(B126='Input sheet(dashboard)'!$D$27*12,J126*'Input sheet(dashboard)'!$D$11,0)</f>
        <v>0</v>
      </c>
      <c r="O126" s="3">
        <f>IF(SUM(F126:F137)&gt;=150000,150000/12*'Input sheet(dashboard)'!$D$28,SUM(F126:F137)/12*'Input sheet(dashboard)'!$D$28)</f>
        <v>1875</v>
      </c>
      <c r="P126" s="3">
        <f t="shared" si="15"/>
        <v>0</v>
      </c>
      <c r="Q126" s="3">
        <f>IF(B126&lt;='Input sheet(dashboard)'!$D$27*12,'Input sheet(dashboard)'!$D$12/12,0)</f>
        <v>192.5</v>
      </c>
      <c r="R126" s="3">
        <f>IF(B126&lt;='Input sheet(dashboard)'!$D$27*12,('Input sheet(dashboard)'!$D$15/12)*(1+'Input sheet(dashboard)'!$E$22)^Calculations!B126,0)</f>
        <v>429.33704767054746</v>
      </c>
      <c r="S126" s="3">
        <f>IF(B126&lt;='Input sheet(dashboard)'!$D$27*12,(E126+G126+K126+L126-O126+M126+Q126+R126),0)</f>
        <v>60777.644341688698</v>
      </c>
      <c r="T126" s="3">
        <f>IF(B126&lt;='Input sheet(dashboard)'!$D$27*12,IF(D126=12,SUM(S115:S126),0),0)</f>
        <v>0</v>
      </c>
      <c r="U126" s="3">
        <f>IF(B126&lt;='Input sheet(dashboard)'!$D$27*12,IF(S126&lt;AD126,AD126-S126,0),0)</f>
        <v>0</v>
      </c>
      <c r="V126" s="3">
        <f>IF(B126&lt;='Input sheet(dashboard)'!$D$27*12,V125*(1+'Input sheet(dashboard)'!$E$25)+U126,0)</f>
        <v>0</v>
      </c>
      <c r="W126" s="17">
        <f>IF(B126&lt;='Input sheet(dashboard)'!$D$27*12,J126-I126+V126-N126,0)</f>
        <v>8307229.6579536619</v>
      </c>
      <c r="X126" s="3">
        <f>IF(B126&lt;='Input sheet(dashboard)'!$D$27*12,'Input sheet(dashboard)'!$D$17*(1+'Input sheet(dashboard)'!$E$23)^(B126-1),0)</f>
        <v>42541.043358075738</v>
      </c>
      <c r="Y126" s="3"/>
      <c r="Z126" s="18"/>
      <c r="AA126" s="18"/>
      <c r="AB126" s="3">
        <f>IF(B126=1,'Input sheet(dashboard)'!$D$18*Calculations!X126,IF(Calculations!B126=12*'Input sheet(dashboard)'!$D$27,'Input sheet(dashboard)'!$D$18*-Calculations!X126,0))</f>
        <v>0</v>
      </c>
      <c r="AC126" s="3">
        <f>IF(B126&lt;='Input sheet(dashboard)'!$D$27*12,IF(MOD(B125,'Input sheet(dashboard)'!$D$19*12),0,'Input sheet(dashboard)'!$D$20*(1+'Input sheet(dashboard)'!$E$22)^Calculations!B126),0)</f>
        <v>0</v>
      </c>
      <c r="AD126" s="17">
        <f t="shared" si="12"/>
        <v>42541.043358075738</v>
      </c>
      <c r="AE126" s="17">
        <f>IF(B126&lt;='Input sheet(dashboard)'!$D$27*12,IF(D126=12,SUM(AD115:AD126),0),0)</f>
        <v>0</v>
      </c>
      <c r="AF126" s="17">
        <f t="shared" si="13"/>
        <v>18236.60098361296</v>
      </c>
      <c r="AG126" s="17">
        <f t="shared" si="14"/>
        <v>18236.60098361296</v>
      </c>
      <c r="AH126" s="3">
        <f>IF(B126&lt;='Input sheet(dashboard)'!$D$27*12,AH125*(1+'Input sheet(dashboard)'!$E$25)+AG126," ")</f>
        <v>6518022.2673088359</v>
      </c>
    </row>
    <row r="127" spans="2:34">
      <c r="B127">
        <f t="shared" si="9"/>
        <v>124</v>
      </c>
      <c r="C127">
        <f t="shared" si="16"/>
        <v>11</v>
      </c>
      <c r="D127">
        <f t="shared" si="17"/>
        <v>4</v>
      </c>
      <c r="E127" s="15">
        <f>IF(C127&lt;='Input sheet(dashboard)'!$D$6, -PMT('Input sheet(dashboard)'!$E$5,'Input sheet(dashboard)'!$D$6*12,'Input sheet(dashboard)'!$D$3*'Input sheet(dashboard)'!$D$4),0)</f>
        <v>39834.137922259193</v>
      </c>
      <c r="F127" s="3">
        <f>I126*'Input sheet(dashboard)'!$E$5</f>
        <v>23007.687970329767</v>
      </c>
      <c r="G127" s="3">
        <f>IF(C127&lt;='Input sheet(dashboard)'!$D$6,E127*'Input sheet(dashboard)'!$D$7,0)</f>
        <v>3186.7310337807357</v>
      </c>
      <c r="H127" s="3">
        <f t="shared" si="10"/>
        <v>16826.449951929426</v>
      </c>
      <c r="I127" s="3">
        <f t="shared" si="11"/>
        <v>6299128.2384558748</v>
      </c>
      <c r="J127" s="3">
        <f>IF(B127&lt;='Input sheet(dashboard)'!$D$27*12,'Input sheet(dashboard)'!$D$3*(1+'Input sheet(dashboard)'!$E$24)^B127,0)</f>
        <v>14682761.00949965</v>
      </c>
      <c r="K127" s="3">
        <f>IF(B127&lt;='Input sheet(dashboard)'!$D$27*12,J127*'Input sheet(dashboard)'!$E$8,0)</f>
        <v>15207.611200357698</v>
      </c>
      <c r="L127" s="3">
        <f>IF(B127&lt;='Input sheet(dashboard)'!$D$27*12,'Input sheet(dashboard)'!$D$9*(1+'Input sheet(dashboard)'!$E$22)^B127,0)</f>
        <v>3871.9927052399394</v>
      </c>
      <c r="M127" s="3">
        <f>IF(B127=1,'Input sheet(dashboard)'!$D$3*'Input sheet(dashboard)'!$D$10,0)</f>
        <v>0</v>
      </c>
      <c r="N127" s="3">
        <f>IF(B127='Input sheet(dashboard)'!$D$27*12,J127*'Input sheet(dashboard)'!$D$11,0)</f>
        <v>0</v>
      </c>
      <c r="O127" s="3">
        <f>IF(SUM(F127:F138)&gt;=150000,150000/12*'Input sheet(dashboard)'!$D$28,SUM(F127:F138)/12*'Input sheet(dashboard)'!$D$28)</f>
        <v>1875</v>
      </c>
      <c r="P127" s="3">
        <f t="shared" si="15"/>
        <v>0</v>
      </c>
      <c r="Q127" s="3">
        <f>IF(B127&lt;='Input sheet(dashboard)'!$D$27*12,'Input sheet(dashboard)'!$D$12/12,0)</f>
        <v>192.5</v>
      </c>
      <c r="R127" s="3">
        <f>IF(B127&lt;='Input sheet(dashboard)'!$D$27*12,('Input sheet(dashboard)'!$D$15/12)*(1+'Input sheet(dashboard)'!$E$22)^Calculations!B127,0)</f>
        <v>430.22141169332656</v>
      </c>
      <c r="S127" s="3">
        <f>IF(B127&lt;='Input sheet(dashboard)'!$D$27*12,(E127+G127+K127+L127-O127+M127+Q127+R127),0)</f>
        <v>60848.19427333089</v>
      </c>
      <c r="T127" s="3">
        <f>IF(B127&lt;='Input sheet(dashboard)'!$D$27*12,IF(D127=12,SUM(S116:S127),0),0)</f>
        <v>0</v>
      </c>
      <c r="U127" s="3">
        <f>IF(B127&lt;='Input sheet(dashboard)'!$D$27*12,IF(S127&lt;AD127,AD127-S127,0),0)</f>
        <v>0</v>
      </c>
      <c r="V127" s="3">
        <f>IF(B127&lt;='Input sheet(dashboard)'!$D$27*12,V126*(1+'Input sheet(dashboard)'!$E$25)+U127,0)</f>
        <v>0</v>
      </c>
      <c r="W127" s="17">
        <f>IF(B127&lt;='Input sheet(dashboard)'!$D$27*12,J127-I127+V127-N127,0)</f>
        <v>8383632.7710437756</v>
      </c>
      <c r="X127" s="3">
        <f>IF(B127&lt;='Input sheet(dashboard)'!$D$27*12,'Input sheet(dashboard)'!$D$17*(1+'Input sheet(dashboard)'!$E$23)^(B127-1),0)</f>
        <v>42714.360834602099</v>
      </c>
      <c r="Y127" s="3"/>
      <c r="Z127" s="18"/>
      <c r="AA127" s="18"/>
      <c r="AB127" s="3">
        <f>IF(B127=1,'Input sheet(dashboard)'!$D$18*Calculations!X127,IF(Calculations!B127=12*'Input sheet(dashboard)'!$D$27,'Input sheet(dashboard)'!$D$18*-Calculations!X127,0))</f>
        <v>0</v>
      </c>
      <c r="AC127" s="3">
        <f>IF(B127&lt;='Input sheet(dashboard)'!$D$27*12,IF(MOD(B126,'Input sheet(dashboard)'!$D$19*12),0,'Input sheet(dashboard)'!$D$20*(1+'Input sheet(dashboard)'!$E$22)^Calculations!B127),0)</f>
        <v>0</v>
      </c>
      <c r="AD127" s="17">
        <f t="shared" si="12"/>
        <v>42714.360834602099</v>
      </c>
      <c r="AE127" s="17">
        <f>IF(B127&lt;='Input sheet(dashboard)'!$D$27*12,IF(D127=12,SUM(AD116:AD127),0),0)</f>
        <v>0</v>
      </c>
      <c r="AF127" s="17">
        <f t="shared" si="13"/>
        <v>18133.83343872879</v>
      </c>
      <c r="AG127" s="17">
        <f t="shared" si="14"/>
        <v>18133.83343872879</v>
      </c>
      <c r="AH127" s="3">
        <f>IF(B127&lt;='Input sheet(dashboard)'!$D$27*12,AH126*(1+'Input sheet(dashboard)'!$E$25)+AG127," ")</f>
        <v>6578093.2522731023</v>
      </c>
    </row>
    <row r="128" spans="2:34">
      <c r="B128">
        <f t="shared" si="9"/>
        <v>125</v>
      </c>
      <c r="C128">
        <f t="shared" si="16"/>
        <v>11</v>
      </c>
      <c r="D128">
        <f t="shared" si="17"/>
        <v>5</v>
      </c>
      <c r="E128" s="15">
        <f>IF(C128&lt;='Input sheet(dashboard)'!$D$6, -PMT('Input sheet(dashboard)'!$E$5,'Input sheet(dashboard)'!$D$6*12,'Input sheet(dashboard)'!$D$3*'Input sheet(dashboard)'!$D$4),0)</f>
        <v>39834.137922259193</v>
      </c>
      <c r="F128" s="3">
        <f>I127*'Input sheet(dashboard)'!$E$5</f>
        <v>22946.392769644921</v>
      </c>
      <c r="G128" s="3">
        <f>IF(C128&lt;='Input sheet(dashboard)'!$D$6,E128*'Input sheet(dashboard)'!$D$7,0)</f>
        <v>3186.7310337807357</v>
      </c>
      <c r="H128" s="3">
        <f t="shared" si="10"/>
        <v>16887.745152614272</v>
      </c>
      <c r="I128" s="3">
        <f t="shared" si="11"/>
        <v>6282240.4933032608</v>
      </c>
      <c r="J128" s="3">
        <f>IF(B128&lt;='Input sheet(dashboard)'!$D$27*12,'Input sheet(dashboard)'!$D$3*(1+'Input sheet(dashboard)'!$E$24)^B128,0)</f>
        <v>14742580.395338081</v>
      </c>
      <c r="K128" s="3">
        <f>IF(B128&lt;='Input sheet(dashboard)'!$D$27*12,J128*'Input sheet(dashboard)'!$E$8,0)</f>
        <v>15269.568890841556</v>
      </c>
      <c r="L128" s="3">
        <f>IF(B128&lt;='Input sheet(dashboard)'!$D$27*12,'Input sheet(dashboard)'!$D$9*(1+'Input sheet(dashboard)'!$E$22)^B128,0)</f>
        <v>3879.968376250758</v>
      </c>
      <c r="M128" s="3">
        <f>IF(B128=1,'Input sheet(dashboard)'!$D$3*'Input sheet(dashboard)'!$D$10,0)</f>
        <v>0</v>
      </c>
      <c r="N128" s="3">
        <f>IF(B128='Input sheet(dashboard)'!$D$27*12,J128*'Input sheet(dashboard)'!$D$11,0)</f>
        <v>0</v>
      </c>
      <c r="O128" s="3">
        <f>IF(SUM(F128:F139)&gt;=150000,150000/12*'Input sheet(dashboard)'!$D$28,SUM(F128:F139)/12*'Input sheet(dashboard)'!$D$28)</f>
        <v>1875</v>
      </c>
      <c r="P128" s="3">
        <f t="shared" si="15"/>
        <v>0</v>
      </c>
      <c r="Q128" s="3">
        <f>IF(B128&lt;='Input sheet(dashboard)'!$D$27*12,'Input sheet(dashboard)'!$D$12/12,0)</f>
        <v>192.5</v>
      </c>
      <c r="R128" s="3">
        <f>IF(B128&lt;='Input sheet(dashboard)'!$D$27*12,('Input sheet(dashboard)'!$D$15/12)*(1+'Input sheet(dashboard)'!$E$22)^Calculations!B128,0)</f>
        <v>431.1075973611953</v>
      </c>
      <c r="S128" s="3">
        <f>IF(B128&lt;='Input sheet(dashboard)'!$D$27*12,(E128+G128+K128+L128-O128+M128+Q128+R128),0)</f>
        <v>60919.013820493434</v>
      </c>
      <c r="T128" s="3">
        <f>IF(B128&lt;='Input sheet(dashboard)'!$D$27*12,IF(D128=12,SUM(S117:S128),0),0)</f>
        <v>0</v>
      </c>
      <c r="U128" s="3">
        <f>IF(B128&lt;='Input sheet(dashboard)'!$D$27*12,IF(S128&lt;AD128,AD128-S128,0),0)</f>
        <v>0</v>
      </c>
      <c r="V128" s="3">
        <f>IF(B128&lt;='Input sheet(dashboard)'!$D$27*12,V127*(1+'Input sheet(dashboard)'!$E$25)+U128,0)</f>
        <v>0</v>
      </c>
      <c r="W128" s="17">
        <f>IF(B128&lt;='Input sheet(dashboard)'!$D$27*12,J128-I128+V128-N128,0)</f>
        <v>8460339.9020348191</v>
      </c>
      <c r="X128" s="3">
        <f>IF(B128&lt;='Input sheet(dashboard)'!$D$27*12,'Input sheet(dashboard)'!$D$17*(1+'Input sheet(dashboard)'!$E$23)^(B128-1),0)</f>
        <v>42888.384427981691</v>
      </c>
      <c r="Y128" s="3"/>
      <c r="Z128" s="18"/>
      <c r="AA128" s="18"/>
      <c r="AB128" s="3">
        <f>IF(B128=1,'Input sheet(dashboard)'!$D$18*Calculations!X128,IF(Calculations!B128=12*'Input sheet(dashboard)'!$D$27,'Input sheet(dashboard)'!$D$18*-Calculations!X128,0))</f>
        <v>0</v>
      </c>
      <c r="AC128" s="3">
        <f>IF(B128&lt;='Input sheet(dashboard)'!$D$27*12,IF(MOD(B127,'Input sheet(dashboard)'!$D$19*12),0,'Input sheet(dashboard)'!$D$20*(1+'Input sheet(dashboard)'!$E$22)^Calculations!B128),0)</f>
        <v>0</v>
      </c>
      <c r="AD128" s="17">
        <f t="shared" si="12"/>
        <v>42888.384427981691</v>
      </c>
      <c r="AE128" s="17">
        <f>IF(B128&lt;='Input sheet(dashboard)'!$D$27*12,IF(D128=12,SUM(AD117:AD128),0),0)</f>
        <v>0</v>
      </c>
      <c r="AF128" s="17">
        <f t="shared" si="13"/>
        <v>18030.629392511742</v>
      </c>
      <c r="AG128" s="17">
        <f t="shared" si="14"/>
        <v>18030.629392511742</v>
      </c>
      <c r="AH128" s="3">
        <f>IF(B128&lt;='Input sheet(dashboard)'!$D$27*12,AH127*(1+'Input sheet(dashboard)'!$E$25)+AG128," ")</f>
        <v>6638447.5317171495</v>
      </c>
    </row>
    <row r="129" spans="2:34">
      <c r="B129">
        <f t="shared" si="9"/>
        <v>126</v>
      </c>
      <c r="C129">
        <f t="shared" si="16"/>
        <v>11</v>
      </c>
      <c r="D129">
        <f t="shared" si="17"/>
        <v>6</v>
      </c>
      <c r="E129" s="15">
        <f>IF(C129&lt;='Input sheet(dashboard)'!$D$6, -PMT('Input sheet(dashboard)'!$E$5,'Input sheet(dashboard)'!$D$6*12,'Input sheet(dashboard)'!$D$3*'Input sheet(dashboard)'!$D$4),0)</f>
        <v>39834.137922259193</v>
      </c>
      <c r="F129" s="3">
        <f>I128*'Input sheet(dashboard)'!$E$5</f>
        <v>22884.874283499521</v>
      </c>
      <c r="G129" s="3">
        <f>IF(C129&lt;='Input sheet(dashboard)'!$D$6,E129*'Input sheet(dashboard)'!$D$7,0)</f>
        <v>3186.7310337807357</v>
      </c>
      <c r="H129" s="3">
        <f t="shared" si="10"/>
        <v>16949.263638759672</v>
      </c>
      <c r="I129" s="3">
        <f t="shared" si="11"/>
        <v>6265291.2296645008</v>
      </c>
      <c r="J129" s="3">
        <f>IF(B129&lt;='Input sheet(dashboard)'!$D$27*12,'Input sheet(dashboard)'!$D$3*(1+'Input sheet(dashboard)'!$E$24)^B129,0)</f>
        <v>14802643.492759075</v>
      </c>
      <c r="K129" s="3">
        <f>IF(B129&lt;='Input sheet(dashboard)'!$D$27*12,J129*'Input sheet(dashboard)'!$E$8,0)</f>
        <v>15331.779004625791</v>
      </c>
      <c r="L129" s="3">
        <f>IF(B129&lt;='Input sheet(dashboard)'!$D$27*12,'Input sheet(dashboard)'!$D$9*(1+'Input sheet(dashboard)'!$E$22)^B129,0)</f>
        <v>3887.9604758380024</v>
      </c>
      <c r="M129" s="3">
        <f>IF(B129=1,'Input sheet(dashboard)'!$D$3*'Input sheet(dashboard)'!$D$10,0)</f>
        <v>0</v>
      </c>
      <c r="N129" s="3">
        <f>IF(B129='Input sheet(dashboard)'!$D$27*12,J129*'Input sheet(dashboard)'!$D$11,0)</f>
        <v>0</v>
      </c>
      <c r="O129" s="3">
        <f>IF(SUM(F129:F140)&gt;=150000,150000/12*'Input sheet(dashboard)'!$D$28,SUM(F129:F140)/12*'Input sheet(dashboard)'!$D$28)</f>
        <v>1875</v>
      </c>
      <c r="P129" s="3">
        <f t="shared" si="15"/>
        <v>0</v>
      </c>
      <c r="Q129" s="3">
        <f>IF(B129&lt;='Input sheet(dashboard)'!$D$27*12,'Input sheet(dashboard)'!$D$12/12,0)</f>
        <v>192.5</v>
      </c>
      <c r="R129" s="3">
        <f>IF(B129&lt;='Input sheet(dashboard)'!$D$27*12,('Input sheet(dashboard)'!$D$15/12)*(1+'Input sheet(dashboard)'!$E$22)^Calculations!B129,0)</f>
        <v>431.99560842644468</v>
      </c>
      <c r="S129" s="3">
        <f>IF(B129&lt;='Input sheet(dashboard)'!$D$27*12,(E129+G129+K129+L129-O129+M129+Q129+R129),0)</f>
        <v>60990.104044930165</v>
      </c>
      <c r="T129" s="3">
        <f>IF(B129&lt;='Input sheet(dashboard)'!$D$27*12,IF(D129=12,SUM(S118:S129),0),0)</f>
        <v>0</v>
      </c>
      <c r="U129" s="3">
        <f>IF(B129&lt;='Input sheet(dashboard)'!$D$27*12,IF(S129&lt;AD129,AD129-S129,0),0)</f>
        <v>0</v>
      </c>
      <c r="V129" s="3">
        <f>IF(B129&lt;='Input sheet(dashboard)'!$D$27*12,V128*(1+'Input sheet(dashboard)'!$E$25)+U129,0)</f>
        <v>0</v>
      </c>
      <c r="W129" s="17">
        <f>IF(B129&lt;='Input sheet(dashboard)'!$D$27*12,J129-I129+V129-N129,0)</f>
        <v>8537352.2630945742</v>
      </c>
      <c r="X129" s="3">
        <f>IF(B129&lt;='Input sheet(dashboard)'!$D$27*12,'Input sheet(dashboard)'!$D$17*(1+'Input sheet(dashboard)'!$E$23)^(B129-1),0)</f>
        <v>43063.117015021991</v>
      </c>
      <c r="Y129" s="3"/>
      <c r="Z129" s="18"/>
      <c r="AA129" s="18"/>
      <c r="AB129" s="3">
        <f>IF(B129=1,'Input sheet(dashboard)'!$D$18*Calculations!X129,IF(Calculations!B129=12*'Input sheet(dashboard)'!$D$27,'Input sheet(dashboard)'!$D$18*-Calculations!X129,0))</f>
        <v>0</v>
      </c>
      <c r="AC129" s="3">
        <f>IF(B129&lt;='Input sheet(dashboard)'!$D$27*12,IF(MOD(B128,'Input sheet(dashboard)'!$D$19*12),0,'Input sheet(dashboard)'!$D$20*(1+'Input sheet(dashboard)'!$E$22)^Calculations!B129),0)</f>
        <v>0</v>
      </c>
      <c r="AD129" s="17">
        <f t="shared" si="12"/>
        <v>43063.117015021991</v>
      </c>
      <c r="AE129" s="17">
        <f>IF(B129&lt;='Input sheet(dashboard)'!$D$27*12,IF(D129=12,SUM(AD118:AD129),0),0)</f>
        <v>0</v>
      </c>
      <c r="AF129" s="17">
        <f t="shared" si="13"/>
        <v>17926.987029908174</v>
      </c>
      <c r="AG129" s="17">
        <f t="shared" si="14"/>
        <v>17926.987029908174</v>
      </c>
      <c r="AH129" s="3">
        <f>IF(B129&lt;='Input sheet(dashboard)'!$D$27*12,AH128*(1+'Input sheet(dashboard)'!$E$25)+AG129," ")</f>
        <v>6699086.4900498036</v>
      </c>
    </row>
    <row r="130" spans="2:34">
      <c r="B130">
        <f t="shared" si="9"/>
        <v>127</v>
      </c>
      <c r="C130">
        <f t="shared" si="16"/>
        <v>11</v>
      </c>
      <c r="D130">
        <f t="shared" si="17"/>
        <v>7</v>
      </c>
      <c r="E130" s="15">
        <f>IF(C130&lt;='Input sheet(dashboard)'!$D$6, -PMT('Input sheet(dashboard)'!$E$5,'Input sheet(dashboard)'!$D$6*12,'Input sheet(dashboard)'!$D$3*'Input sheet(dashboard)'!$D$4),0)</f>
        <v>39834.137922259193</v>
      </c>
      <c r="F130" s="3">
        <f>I129*'Input sheet(dashboard)'!$E$5</f>
        <v>22823.131698511828</v>
      </c>
      <c r="G130" s="3">
        <f>IF(C130&lt;='Input sheet(dashboard)'!$D$6,E130*'Input sheet(dashboard)'!$D$7,0)</f>
        <v>3186.7310337807357</v>
      </c>
      <c r="H130" s="3">
        <f t="shared" si="10"/>
        <v>17011.006223747365</v>
      </c>
      <c r="I130" s="3">
        <f t="shared" si="11"/>
        <v>6248280.2234407533</v>
      </c>
      <c r="J130" s="3">
        <f>IF(B130&lt;='Input sheet(dashboard)'!$D$27*12,'Input sheet(dashboard)'!$D$3*(1+'Input sheet(dashboard)'!$E$24)^B130,0)</f>
        <v>14862951.294673793</v>
      </c>
      <c r="K130" s="3">
        <f>IF(B130&lt;='Input sheet(dashboard)'!$D$27*12,J130*'Input sheet(dashboard)'!$E$8,0)</f>
        <v>15394.242570114176</v>
      </c>
      <c r="L130" s="3">
        <f>IF(B130&lt;='Input sheet(dashboard)'!$D$27*12,'Input sheet(dashboard)'!$D$9*(1+'Input sheet(dashboard)'!$E$22)^B130,0)</f>
        <v>3895.9690378418491</v>
      </c>
      <c r="M130" s="3">
        <f>IF(B130=1,'Input sheet(dashboard)'!$D$3*'Input sheet(dashboard)'!$D$10,0)</f>
        <v>0</v>
      </c>
      <c r="N130" s="3">
        <f>IF(B130='Input sheet(dashboard)'!$D$27*12,J130*'Input sheet(dashboard)'!$D$11,0)</f>
        <v>0</v>
      </c>
      <c r="O130" s="3">
        <f>IF(SUM(F130:F141)&gt;=150000,150000/12*'Input sheet(dashboard)'!$D$28,SUM(F130:F141)/12*'Input sheet(dashboard)'!$D$28)</f>
        <v>1875</v>
      </c>
      <c r="P130" s="3">
        <f t="shared" si="15"/>
        <v>0</v>
      </c>
      <c r="Q130" s="3">
        <f>IF(B130&lt;='Input sheet(dashboard)'!$D$27*12,'Input sheet(dashboard)'!$D$12/12,0)</f>
        <v>192.5</v>
      </c>
      <c r="R130" s="3">
        <f>IF(B130&lt;='Input sheet(dashboard)'!$D$27*12,('Input sheet(dashboard)'!$D$15/12)*(1+'Input sheet(dashboard)'!$E$22)^Calculations!B130,0)</f>
        <v>432.88544864909431</v>
      </c>
      <c r="S130" s="3">
        <f>IF(B130&lt;='Input sheet(dashboard)'!$D$27*12,(E130+G130+K130+L130-O130+M130+Q130+R130),0)</f>
        <v>61061.466012645054</v>
      </c>
      <c r="T130" s="3">
        <f>IF(B130&lt;='Input sheet(dashboard)'!$D$27*12,IF(D130=12,SUM(S119:S130),0),0)</f>
        <v>0</v>
      </c>
      <c r="U130" s="3">
        <f>IF(B130&lt;='Input sheet(dashboard)'!$D$27*12,IF(S130&lt;AD130,AD130-S130,0),0)</f>
        <v>0</v>
      </c>
      <c r="V130" s="3">
        <f>IF(B130&lt;='Input sheet(dashboard)'!$D$27*12,V129*(1+'Input sheet(dashboard)'!$E$25)+U130,0)</f>
        <v>0</v>
      </c>
      <c r="W130" s="17">
        <f>IF(B130&lt;='Input sheet(dashboard)'!$D$27*12,J130-I130+V130-N130,0)</f>
        <v>8614671.0712330397</v>
      </c>
      <c r="X130" s="3">
        <f>IF(B130&lt;='Input sheet(dashboard)'!$D$27*12,'Input sheet(dashboard)'!$D$17*(1+'Input sheet(dashboard)'!$E$23)^(B130-1),0)</f>
        <v>43238.561484250924</v>
      </c>
      <c r="Y130" s="3"/>
      <c r="Z130" s="18"/>
      <c r="AA130" s="18"/>
      <c r="AB130" s="3">
        <f>IF(B130=1,'Input sheet(dashboard)'!$D$18*Calculations!X130,IF(Calculations!B130=12*'Input sheet(dashboard)'!$D$27,'Input sheet(dashboard)'!$D$18*-Calculations!X130,0))</f>
        <v>0</v>
      </c>
      <c r="AC130" s="3">
        <f>IF(B130&lt;='Input sheet(dashboard)'!$D$27*12,IF(MOD(B129,'Input sheet(dashboard)'!$D$19*12),0,'Input sheet(dashboard)'!$D$20*(1+'Input sheet(dashboard)'!$E$22)^Calculations!B130),0)</f>
        <v>0</v>
      </c>
      <c r="AD130" s="17">
        <f t="shared" si="12"/>
        <v>43238.561484250924</v>
      </c>
      <c r="AE130" s="17">
        <f>IF(B130&lt;='Input sheet(dashboard)'!$D$27*12,IF(D130=12,SUM(AD119:AD130),0),0)</f>
        <v>0</v>
      </c>
      <c r="AF130" s="17">
        <f t="shared" si="13"/>
        <v>17822.90452839413</v>
      </c>
      <c r="AG130" s="17">
        <f t="shared" si="14"/>
        <v>17822.90452839413</v>
      </c>
      <c r="AH130" s="3">
        <f>IF(B130&lt;='Input sheet(dashboard)'!$D$27*12,AH129*(1+'Input sheet(dashboard)'!$E$25)+AG130," ")</f>
        <v>6760011.5187646952</v>
      </c>
    </row>
    <row r="131" spans="2:34">
      <c r="B131">
        <f t="shared" si="9"/>
        <v>128</v>
      </c>
      <c r="C131">
        <f t="shared" si="16"/>
        <v>11</v>
      </c>
      <c r="D131">
        <f t="shared" si="17"/>
        <v>8</v>
      </c>
      <c r="E131" s="15">
        <f>IF(C131&lt;='Input sheet(dashboard)'!$D$6, -PMT('Input sheet(dashboard)'!$E$5,'Input sheet(dashboard)'!$D$6*12,'Input sheet(dashboard)'!$D$3*'Input sheet(dashboard)'!$D$4),0)</f>
        <v>39834.137922259193</v>
      </c>
      <c r="F131" s="3">
        <f>I130*'Input sheet(dashboard)'!$E$5</f>
        <v>22761.164198337126</v>
      </c>
      <c r="G131" s="3">
        <f>IF(C131&lt;='Input sheet(dashboard)'!$D$6,E131*'Input sheet(dashboard)'!$D$7,0)</f>
        <v>3186.7310337807357</v>
      </c>
      <c r="H131" s="3">
        <f t="shared" si="10"/>
        <v>17072.973723922067</v>
      </c>
      <c r="I131" s="3">
        <f t="shared" si="11"/>
        <v>6231207.2497168314</v>
      </c>
      <c r="J131" s="3">
        <f>IF(B131&lt;='Input sheet(dashboard)'!$D$27*12,'Input sheet(dashboard)'!$D$3*(1+'Input sheet(dashboard)'!$E$24)^B131,0)</f>
        <v>14923504.798038632</v>
      </c>
      <c r="K131" s="3">
        <f>IF(B131&lt;='Input sheet(dashboard)'!$D$27*12,J131*'Input sheet(dashboard)'!$E$8,0)</f>
        <v>15456.960619900332</v>
      </c>
      <c r="L131" s="3">
        <f>IF(B131&lt;='Input sheet(dashboard)'!$D$27*12,'Input sheet(dashboard)'!$D$9*(1+'Input sheet(dashboard)'!$E$22)^B131,0)</f>
        <v>3903.9940961721795</v>
      </c>
      <c r="M131" s="3">
        <f>IF(B131=1,'Input sheet(dashboard)'!$D$3*'Input sheet(dashboard)'!$D$10,0)</f>
        <v>0</v>
      </c>
      <c r="N131" s="3">
        <f>IF(B131='Input sheet(dashboard)'!$D$27*12,J131*'Input sheet(dashboard)'!$D$11,0)</f>
        <v>0</v>
      </c>
      <c r="O131" s="3">
        <f>IF(SUM(F131:F142)&gt;=150000,150000/12*'Input sheet(dashboard)'!$D$28,SUM(F131:F142)/12*'Input sheet(dashboard)'!$D$28)</f>
        <v>1875</v>
      </c>
      <c r="P131" s="3">
        <f t="shared" si="15"/>
        <v>0</v>
      </c>
      <c r="Q131" s="3">
        <f>IF(B131&lt;='Input sheet(dashboard)'!$D$27*12,'Input sheet(dashboard)'!$D$12/12,0)</f>
        <v>192.5</v>
      </c>
      <c r="R131" s="3">
        <f>IF(B131&lt;='Input sheet(dashboard)'!$D$27*12,('Input sheet(dashboard)'!$D$15/12)*(1+'Input sheet(dashboard)'!$E$22)^Calculations!B131,0)</f>
        <v>433.77712179690883</v>
      </c>
      <c r="S131" s="3">
        <f>IF(B131&lt;='Input sheet(dashboard)'!$D$27*12,(E131+G131+K131+L131-O131+M131+Q131+R131),0)</f>
        <v>61133.100793909347</v>
      </c>
      <c r="T131" s="3">
        <f>IF(B131&lt;='Input sheet(dashboard)'!$D$27*12,IF(D131=12,SUM(S120:S131),0),0)</f>
        <v>0</v>
      </c>
      <c r="U131" s="3">
        <f>IF(B131&lt;='Input sheet(dashboard)'!$D$27*12,IF(S131&lt;AD131,AD131-S131,0),0)</f>
        <v>0</v>
      </c>
      <c r="V131" s="3">
        <f>IF(B131&lt;='Input sheet(dashboard)'!$D$27*12,V130*(1+'Input sheet(dashboard)'!$E$25)+U131,0)</f>
        <v>0</v>
      </c>
      <c r="W131" s="17">
        <f>IF(B131&lt;='Input sheet(dashboard)'!$D$27*12,J131-I131+V131-N131,0)</f>
        <v>8692297.5483218003</v>
      </c>
      <c r="X131" s="3">
        <f>IF(B131&lt;='Input sheet(dashboard)'!$D$27*12,'Input sheet(dashboard)'!$D$17*(1+'Input sheet(dashboard)'!$E$23)^(B131-1),0)</f>
        <v>43414.720735964649</v>
      </c>
      <c r="Y131" s="3"/>
      <c r="Z131" s="18"/>
      <c r="AA131" s="18"/>
      <c r="AB131" s="3">
        <f>IF(B131=1,'Input sheet(dashboard)'!$D$18*Calculations!X131,IF(Calculations!B131=12*'Input sheet(dashboard)'!$D$27,'Input sheet(dashboard)'!$D$18*-Calculations!X131,0))</f>
        <v>0</v>
      </c>
      <c r="AC131" s="3">
        <f>IF(B131&lt;='Input sheet(dashboard)'!$D$27*12,IF(MOD(B130,'Input sheet(dashboard)'!$D$19*12),0,'Input sheet(dashboard)'!$D$20*(1+'Input sheet(dashboard)'!$E$22)^Calculations!B131),0)</f>
        <v>0</v>
      </c>
      <c r="AD131" s="17">
        <f t="shared" si="12"/>
        <v>43414.720735964649</v>
      </c>
      <c r="AE131" s="17">
        <f>IF(B131&lt;='Input sheet(dashboard)'!$D$27*12,IF(D131=12,SUM(AD120:AD131),0),0)</f>
        <v>0</v>
      </c>
      <c r="AF131" s="17">
        <f t="shared" si="13"/>
        <v>17718.380057944698</v>
      </c>
      <c r="AG131" s="17">
        <f t="shared" si="14"/>
        <v>17718.380057944698</v>
      </c>
      <c r="AH131" s="3">
        <f>IF(B131&lt;='Input sheet(dashboard)'!$D$27*12,AH130*(1+'Input sheet(dashboard)'!$E$25)+AG131," ")</f>
        <v>6821224.016478342</v>
      </c>
    </row>
    <row r="132" spans="2:34">
      <c r="B132">
        <f t="shared" ref="B132:B195" si="18">B131+1</f>
        <v>129</v>
      </c>
      <c r="C132">
        <f t="shared" si="16"/>
        <v>11</v>
      </c>
      <c r="D132">
        <f t="shared" si="17"/>
        <v>9</v>
      </c>
      <c r="E132" s="15">
        <f>IF(C132&lt;='Input sheet(dashboard)'!$D$6, -PMT('Input sheet(dashboard)'!$E$5,'Input sheet(dashboard)'!$D$6*12,'Input sheet(dashboard)'!$D$3*'Input sheet(dashboard)'!$D$4),0)</f>
        <v>39834.137922259193</v>
      </c>
      <c r="F132" s="3">
        <f>I131*'Input sheet(dashboard)'!$E$5</f>
        <v>22698.970963656928</v>
      </c>
      <c r="G132" s="3">
        <f>IF(C132&lt;='Input sheet(dashboard)'!$D$6,E132*'Input sheet(dashboard)'!$D$7,0)</f>
        <v>3186.7310337807357</v>
      </c>
      <c r="H132" s="3">
        <f t="shared" ref="H132:H195" si="19">E132-F132</f>
        <v>17135.166958602265</v>
      </c>
      <c r="I132" s="3">
        <f t="shared" ref="I132:I195" si="20">I131-H132</f>
        <v>6214072.0827582292</v>
      </c>
      <c r="J132" s="3">
        <f>IF(B132&lt;='Input sheet(dashboard)'!$D$27*12,'Input sheet(dashboard)'!$D$3*(1+'Input sheet(dashboard)'!$E$24)^B132,0)</f>
        <v>14984305.003871711</v>
      </c>
      <c r="K132" s="3">
        <f>IF(B132&lt;='Input sheet(dashboard)'!$D$27*12,J132*'Input sheet(dashboard)'!$E$8,0)</f>
        <v>15519.934190784785</v>
      </c>
      <c r="L132" s="3">
        <f>IF(B132&lt;='Input sheet(dashboard)'!$D$27*12,'Input sheet(dashboard)'!$D$9*(1+'Input sheet(dashboard)'!$E$22)^B132,0)</f>
        <v>3912.0356848087276</v>
      </c>
      <c r="M132" s="3">
        <f>IF(B132=1,'Input sheet(dashboard)'!$D$3*'Input sheet(dashboard)'!$D$10,0)</f>
        <v>0</v>
      </c>
      <c r="N132" s="3">
        <f>IF(B132='Input sheet(dashboard)'!$D$27*12,J132*'Input sheet(dashboard)'!$D$11,0)</f>
        <v>0</v>
      </c>
      <c r="O132" s="3">
        <f>IF(SUM(F132:F143)&gt;=150000,150000/12*'Input sheet(dashboard)'!$D$28,SUM(F132:F143)/12*'Input sheet(dashboard)'!$D$28)</f>
        <v>1875</v>
      </c>
      <c r="P132" s="3">
        <f t="shared" si="15"/>
        <v>0</v>
      </c>
      <c r="Q132" s="3">
        <f>IF(B132&lt;='Input sheet(dashboard)'!$D$27*12,'Input sheet(dashboard)'!$D$12/12,0)</f>
        <v>192.5</v>
      </c>
      <c r="R132" s="3">
        <f>IF(B132&lt;='Input sheet(dashboard)'!$D$27*12,('Input sheet(dashboard)'!$D$15/12)*(1+'Input sheet(dashboard)'!$E$22)^Calculations!B132,0)</f>
        <v>434.67063164541412</v>
      </c>
      <c r="S132" s="3">
        <f>IF(B132&lt;='Input sheet(dashboard)'!$D$27*12,(E132+G132+K132+L132-O132+M132+Q132+R132),0)</f>
        <v>61205.009463278853</v>
      </c>
      <c r="T132" s="3">
        <f>IF(B132&lt;='Input sheet(dashboard)'!$D$27*12,IF(D132=12,SUM(S121:S132),0),0)</f>
        <v>0</v>
      </c>
      <c r="U132" s="3">
        <f>IF(B132&lt;='Input sheet(dashboard)'!$D$27*12,IF(S132&lt;AD132,AD132-S132,0),0)</f>
        <v>0</v>
      </c>
      <c r="V132" s="3">
        <f>IF(B132&lt;='Input sheet(dashboard)'!$D$27*12,V131*(1+'Input sheet(dashboard)'!$E$25)+U132,0)</f>
        <v>0</v>
      </c>
      <c r="W132" s="17">
        <f>IF(B132&lt;='Input sheet(dashboard)'!$D$27*12,J132-I132+V132-N132,0)</f>
        <v>8770232.9211134817</v>
      </c>
      <c r="X132" s="3">
        <f>IF(B132&lt;='Input sheet(dashboard)'!$D$27*12,'Input sheet(dashboard)'!$D$17*(1+'Input sheet(dashboard)'!$E$23)^(B132-1),0)</f>
        <v>43591.597682275504</v>
      </c>
      <c r="Y132" s="3"/>
      <c r="Z132" s="18"/>
      <c r="AA132" s="18"/>
      <c r="AB132" s="3">
        <f>IF(B132=1,'Input sheet(dashboard)'!$D$18*Calculations!X132,IF(Calculations!B132=12*'Input sheet(dashboard)'!$D$27,'Input sheet(dashboard)'!$D$18*-Calculations!X132,0))</f>
        <v>0</v>
      </c>
      <c r="AC132" s="3">
        <f>IF(B132&lt;='Input sheet(dashboard)'!$D$27*12,IF(MOD(B131,'Input sheet(dashboard)'!$D$19*12),0,'Input sheet(dashboard)'!$D$20*(1+'Input sheet(dashboard)'!$E$22)^Calculations!B132),0)</f>
        <v>0</v>
      </c>
      <c r="AD132" s="17">
        <f t="shared" ref="AD132:AD195" si="21">X132+Y132+AB132+AC132</f>
        <v>43591.597682275504</v>
      </c>
      <c r="AE132" s="17">
        <f>IF(B132&lt;='Input sheet(dashboard)'!$D$27*12,IF(D132=12,SUM(AD121:AD132),0),0)</f>
        <v>0</v>
      </c>
      <c r="AF132" s="17">
        <f t="shared" ref="AF132:AF195" si="22">S132-AD132</f>
        <v>17613.411781003349</v>
      </c>
      <c r="AG132" s="17">
        <f t="shared" ref="AG132:AG195" si="23">IF(AF132&gt;0,AF132,0)</f>
        <v>17613.411781003349</v>
      </c>
      <c r="AH132" s="3">
        <f>IF(B132&lt;='Input sheet(dashboard)'!$D$27*12,AH131*(1+'Input sheet(dashboard)'!$E$25)+AG132," ")</f>
        <v>6882725.3889684463</v>
      </c>
    </row>
    <row r="133" spans="2:34">
      <c r="B133">
        <f t="shared" si="18"/>
        <v>130</v>
      </c>
      <c r="C133">
        <f t="shared" si="16"/>
        <v>11</v>
      </c>
      <c r="D133">
        <f t="shared" si="17"/>
        <v>10</v>
      </c>
      <c r="E133" s="15">
        <f>IF(C133&lt;='Input sheet(dashboard)'!$D$6, -PMT('Input sheet(dashboard)'!$E$5,'Input sheet(dashboard)'!$D$6*12,'Input sheet(dashboard)'!$D$3*'Input sheet(dashboard)'!$D$4),0)</f>
        <v>39834.137922259193</v>
      </c>
      <c r="F133" s="3">
        <f>I132*'Input sheet(dashboard)'!$E$5</f>
        <v>22636.551172168143</v>
      </c>
      <c r="G133" s="3">
        <f>IF(C133&lt;='Input sheet(dashboard)'!$D$6,E133*'Input sheet(dashboard)'!$D$7,0)</f>
        <v>3186.7310337807357</v>
      </c>
      <c r="H133" s="3">
        <f t="shared" si="19"/>
        <v>17197.58675009105</v>
      </c>
      <c r="I133" s="3">
        <f t="shared" si="20"/>
        <v>6196874.4960081382</v>
      </c>
      <c r="J133" s="3">
        <f>IF(B133&lt;='Input sheet(dashboard)'!$D$27*12,'Input sheet(dashboard)'!$D$3*(1+'Input sheet(dashboard)'!$E$24)^B133,0)</f>
        <v>15045352.917269427</v>
      </c>
      <c r="K133" s="3">
        <f>IF(B133&lt;='Input sheet(dashboard)'!$D$27*12,J133*'Input sheet(dashboard)'!$E$8,0)</f>
        <v>15583.16432379212</v>
      </c>
      <c r="L133" s="3">
        <f>IF(B133&lt;='Input sheet(dashboard)'!$D$27*12,'Input sheet(dashboard)'!$D$9*(1+'Input sheet(dashboard)'!$E$22)^B133,0)</f>
        <v>3920.0938378012152</v>
      </c>
      <c r="M133" s="3">
        <f>IF(B133=1,'Input sheet(dashboard)'!$D$3*'Input sheet(dashboard)'!$D$10,0)</f>
        <v>0</v>
      </c>
      <c r="N133" s="3">
        <f>IF(B133='Input sheet(dashboard)'!$D$27*12,J133*'Input sheet(dashboard)'!$D$11,0)</f>
        <v>0</v>
      </c>
      <c r="O133" s="3">
        <f>IF(SUM(F133:F144)&gt;=150000,150000/12*'Input sheet(dashboard)'!$D$28,SUM(F133:F144)/12*'Input sheet(dashboard)'!$D$28)</f>
        <v>1875</v>
      </c>
      <c r="P133" s="3">
        <f t="shared" si="15"/>
        <v>0</v>
      </c>
      <c r="Q133" s="3">
        <f>IF(B133&lt;='Input sheet(dashboard)'!$D$27*12,'Input sheet(dashboard)'!$D$12/12,0)</f>
        <v>192.5</v>
      </c>
      <c r="R133" s="3">
        <f>IF(B133&lt;='Input sheet(dashboard)'!$D$27*12,('Input sheet(dashboard)'!$D$15/12)*(1+'Input sheet(dashboard)'!$E$22)^Calculations!B133,0)</f>
        <v>435.56598197791277</v>
      </c>
      <c r="S133" s="3">
        <f>IF(B133&lt;='Input sheet(dashboard)'!$D$27*12,(E133+G133+K133+L133-O133+M133+Q133+R133),0)</f>
        <v>61277.19309961117</v>
      </c>
      <c r="T133" s="3">
        <f>IF(B133&lt;='Input sheet(dashboard)'!$D$27*12,IF(D133=12,SUM(S122:S133),0),0)</f>
        <v>0</v>
      </c>
      <c r="U133" s="3">
        <f>IF(B133&lt;='Input sheet(dashboard)'!$D$27*12,IF(S133&lt;AD133,AD133-S133,0),0)</f>
        <v>0</v>
      </c>
      <c r="V133" s="3">
        <f>IF(B133&lt;='Input sheet(dashboard)'!$D$27*12,V132*(1+'Input sheet(dashboard)'!$E$25)+U133,0)</f>
        <v>0</v>
      </c>
      <c r="W133" s="17">
        <f>IF(B133&lt;='Input sheet(dashboard)'!$D$27*12,J133-I133+V133-N133,0)</f>
        <v>8848478.4212612882</v>
      </c>
      <c r="X133" s="3">
        <f>IF(B133&lt;='Input sheet(dashboard)'!$D$27*12,'Input sheet(dashboard)'!$D$17*(1+'Input sheet(dashboard)'!$E$23)^(B133-1),0)</f>
        <v>43769.195247160089</v>
      </c>
      <c r="Y133" s="3"/>
      <c r="Z133" s="18"/>
      <c r="AA133" s="18"/>
      <c r="AB133" s="3">
        <f>IF(B133=1,'Input sheet(dashboard)'!$D$18*Calculations!X133,IF(Calculations!B133=12*'Input sheet(dashboard)'!$D$27,'Input sheet(dashboard)'!$D$18*-Calculations!X133,0))</f>
        <v>0</v>
      </c>
      <c r="AC133" s="3">
        <f>IF(B133&lt;='Input sheet(dashboard)'!$D$27*12,IF(MOD(B132,'Input sheet(dashboard)'!$D$19*12),0,'Input sheet(dashboard)'!$D$20*(1+'Input sheet(dashboard)'!$E$22)^Calculations!B133),0)</f>
        <v>0</v>
      </c>
      <c r="AD133" s="17">
        <f t="shared" si="21"/>
        <v>43769.195247160089</v>
      </c>
      <c r="AE133" s="17">
        <f>IF(B133&lt;='Input sheet(dashboard)'!$D$27*12,IF(D133=12,SUM(AD122:AD133),0),0)</f>
        <v>0</v>
      </c>
      <c r="AF133" s="17">
        <f t="shared" si="22"/>
        <v>17507.997852451081</v>
      </c>
      <c r="AG133" s="17">
        <f t="shared" si="23"/>
        <v>17507.997852451081</v>
      </c>
      <c r="AH133" s="3">
        <f>IF(B133&lt;='Input sheet(dashboard)'!$D$27*12,AH132*(1+'Input sheet(dashboard)'!$E$25)+AG133," ")</f>
        <v>6944517.0492124055</v>
      </c>
    </row>
    <row r="134" spans="2:34">
      <c r="B134">
        <f t="shared" si="18"/>
        <v>131</v>
      </c>
      <c r="C134">
        <f t="shared" si="16"/>
        <v>11</v>
      </c>
      <c r="D134">
        <f t="shared" si="17"/>
        <v>11</v>
      </c>
      <c r="E134" s="15">
        <f>IF(C134&lt;='Input sheet(dashboard)'!$D$6, -PMT('Input sheet(dashboard)'!$E$5,'Input sheet(dashboard)'!$D$6*12,'Input sheet(dashboard)'!$D$3*'Input sheet(dashboard)'!$D$4),0)</f>
        <v>39834.137922259193</v>
      </c>
      <c r="F134" s="3">
        <f>I133*'Input sheet(dashboard)'!$E$5</f>
        <v>22573.903998572205</v>
      </c>
      <c r="G134" s="3">
        <f>IF(C134&lt;='Input sheet(dashboard)'!$D$6,E134*'Input sheet(dashboard)'!$D$7,0)</f>
        <v>3186.7310337807357</v>
      </c>
      <c r="H134" s="3">
        <f t="shared" si="19"/>
        <v>17260.233923686988</v>
      </c>
      <c r="I134" s="3">
        <f t="shared" si="20"/>
        <v>6179614.2620844515</v>
      </c>
      <c r="J134" s="3">
        <f>IF(B134&lt;='Input sheet(dashboard)'!$D$27*12,'Input sheet(dashboard)'!$D$3*(1+'Input sheet(dashboard)'!$E$24)^B134,0)</f>
        <v>15106649.547423059</v>
      </c>
      <c r="K134" s="3">
        <f>IF(B134&lt;='Input sheet(dashboard)'!$D$27*12,J134*'Input sheet(dashboard)'!$E$8,0)</f>
        <v>15646.652064188182</v>
      </c>
      <c r="L134" s="3">
        <f>IF(B134&lt;='Input sheet(dashboard)'!$D$27*12,'Input sheet(dashboard)'!$D$9*(1+'Input sheet(dashboard)'!$E$22)^B134,0)</f>
        <v>3928.168589269505</v>
      </c>
      <c r="M134" s="3">
        <f>IF(B134=1,'Input sheet(dashboard)'!$D$3*'Input sheet(dashboard)'!$D$10,0)</f>
        <v>0</v>
      </c>
      <c r="N134" s="3">
        <f>IF(B134='Input sheet(dashboard)'!$D$27*12,J134*'Input sheet(dashboard)'!$D$11,0)</f>
        <v>0</v>
      </c>
      <c r="O134" s="3">
        <f>IF(SUM(F134:F145)&gt;=150000,150000/12*'Input sheet(dashboard)'!$D$28,SUM(F134:F145)/12*'Input sheet(dashboard)'!$D$28)</f>
        <v>1875</v>
      </c>
      <c r="P134" s="3">
        <f t="shared" si="15"/>
        <v>0</v>
      </c>
      <c r="Q134" s="3">
        <f>IF(B134&lt;='Input sheet(dashboard)'!$D$27*12,'Input sheet(dashboard)'!$D$12/12,0)</f>
        <v>192.5</v>
      </c>
      <c r="R134" s="3">
        <f>IF(B134&lt;='Input sheet(dashboard)'!$D$27*12,('Input sheet(dashboard)'!$D$15/12)*(1+'Input sheet(dashboard)'!$E$22)^Calculations!B134,0)</f>
        <v>436.46317658550055</v>
      </c>
      <c r="S134" s="3">
        <f>IF(B134&lt;='Input sheet(dashboard)'!$D$27*12,(E134+G134+K134+L134-O134+M134+Q134+R134),0)</f>
        <v>61349.652786083112</v>
      </c>
      <c r="T134" s="3">
        <f>IF(B134&lt;='Input sheet(dashboard)'!$D$27*12,IF(D134=12,SUM(S123:S134),0),0)</f>
        <v>0</v>
      </c>
      <c r="U134" s="3">
        <f>IF(B134&lt;='Input sheet(dashboard)'!$D$27*12,IF(S134&lt;AD134,AD134-S134,0),0)</f>
        <v>0</v>
      </c>
      <c r="V134" s="3">
        <f>IF(B134&lt;='Input sheet(dashboard)'!$D$27*12,V133*(1+'Input sheet(dashboard)'!$E$25)+U134,0)</f>
        <v>0</v>
      </c>
      <c r="W134" s="17">
        <f>IF(B134&lt;='Input sheet(dashboard)'!$D$27*12,J134-I134+V134-N134,0)</f>
        <v>8927035.2853386067</v>
      </c>
      <c r="X134" s="3">
        <f>IF(B134&lt;='Input sheet(dashboard)'!$D$27*12,'Input sheet(dashboard)'!$D$17*(1+'Input sheet(dashboard)'!$E$23)^(B134-1),0)</f>
        <v>43947.516366507698</v>
      </c>
      <c r="Y134" s="3"/>
      <c r="Z134" s="18"/>
      <c r="AA134" s="18"/>
      <c r="AB134" s="3">
        <f>IF(B134=1,'Input sheet(dashboard)'!$D$18*Calculations!X134,IF(Calculations!B134=12*'Input sheet(dashboard)'!$D$27,'Input sheet(dashboard)'!$D$18*-Calculations!X134,0))</f>
        <v>0</v>
      </c>
      <c r="AC134" s="3">
        <f>IF(B134&lt;='Input sheet(dashboard)'!$D$27*12,IF(MOD(B133,'Input sheet(dashboard)'!$D$19*12),0,'Input sheet(dashboard)'!$D$20*(1+'Input sheet(dashboard)'!$E$22)^Calculations!B134),0)</f>
        <v>0</v>
      </c>
      <c r="AD134" s="17">
        <f t="shared" si="21"/>
        <v>43947.516366507698</v>
      </c>
      <c r="AE134" s="17">
        <f>IF(B134&lt;='Input sheet(dashboard)'!$D$27*12,IF(D134=12,SUM(AD123:AD134),0),0)</f>
        <v>0</v>
      </c>
      <c r="AF134" s="17">
        <f t="shared" si="22"/>
        <v>17402.136419575414</v>
      </c>
      <c r="AG134" s="17">
        <f t="shared" si="23"/>
        <v>17402.136419575414</v>
      </c>
      <c r="AH134" s="3">
        <f>IF(B134&lt;='Input sheet(dashboard)'!$D$27*12,AH133*(1+'Input sheet(dashboard)'!$E$25)+AG134," ")</f>
        <v>7006600.417426046</v>
      </c>
    </row>
    <row r="135" spans="2:34">
      <c r="B135">
        <f t="shared" si="18"/>
        <v>132</v>
      </c>
      <c r="C135">
        <f t="shared" si="16"/>
        <v>11</v>
      </c>
      <c r="D135">
        <f t="shared" si="17"/>
        <v>12</v>
      </c>
      <c r="E135" s="15">
        <f>IF(C135&lt;='Input sheet(dashboard)'!$D$6, -PMT('Input sheet(dashboard)'!$E$5,'Input sheet(dashboard)'!$D$6*12,'Input sheet(dashboard)'!$D$3*'Input sheet(dashboard)'!$D$4),0)</f>
        <v>39834.137922259193</v>
      </c>
      <c r="F135" s="3">
        <f>I134*'Input sheet(dashboard)'!$E$5</f>
        <v>22511.028614564155</v>
      </c>
      <c r="G135" s="3">
        <f>IF(C135&lt;='Input sheet(dashboard)'!$D$6,E135*'Input sheet(dashboard)'!$D$7,0)</f>
        <v>3186.7310337807357</v>
      </c>
      <c r="H135" s="3">
        <f t="shared" si="19"/>
        <v>17323.109307695038</v>
      </c>
      <c r="I135" s="3">
        <f t="shared" si="20"/>
        <v>6162291.1527767563</v>
      </c>
      <c r="J135" s="3">
        <f>IF(B135&lt;='Input sheet(dashboard)'!$D$27*12,'Input sheet(dashboard)'!$D$3*(1+'Input sheet(dashboard)'!$E$24)^B135,0)</f>
        <v>15168195.907635456</v>
      </c>
      <c r="K135" s="3">
        <f>IF(B135&lt;='Input sheet(dashboard)'!$D$27*12,J135*'Input sheet(dashboard)'!$E$8,0)</f>
        <v>15710.398461497361</v>
      </c>
      <c r="L135" s="3">
        <f>IF(B135&lt;='Input sheet(dashboard)'!$D$27*12,'Input sheet(dashboard)'!$D$9*(1+'Input sheet(dashboard)'!$E$22)^B135,0)</f>
        <v>3936.2599734037394</v>
      </c>
      <c r="M135" s="3">
        <f>IF(B135=1,'Input sheet(dashboard)'!$D$3*'Input sheet(dashboard)'!$D$10,0)</f>
        <v>0</v>
      </c>
      <c r="N135" s="3">
        <f>IF(B135='Input sheet(dashboard)'!$D$27*12,J135*'Input sheet(dashboard)'!$D$11,0)</f>
        <v>0</v>
      </c>
      <c r="O135" s="3">
        <f>IF(SUM(F135:F146)&gt;=150000,150000/12*'Input sheet(dashboard)'!$D$28,SUM(F135:F146)/12*'Input sheet(dashboard)'!$D$28)</f>
        <v>1875</v>
      </c>
      <c r="P135" s="3">
        <f t="shared" si="15"/>
        <v>22500</v>
      </c>
      <c r="Q135" s="3">
        <f>IF(B135&lt;='Input sheet(dashboard)'!$D$27*12,'Input sheet(dashboard)'!$D$12/12,0)</f>
        <v>192.5</v>
      </c>
      <c r="R135" s="3">
        <f>IF(B135&lt;='Input sheet(dashboard)'!$D$27*12,('Input sheet(dashboard)'!$D$15/12)*(1+'Input sheet(dashboard)'!$E$22)^Calculations!B135,0)</f>
        <v>437.36221926708214</v>
      </c>
      <c r="S135" s="3">
        <f>IF(B135&lt;='Input sheet(dashboard)'!$D$27*12,(E135+G135+K135+L135-O135+M135+Q135+R135),0)</f>
        <v>61422.389610208113</v>
      </c>
      <c r="T135" s="3">
        <f>IF(B135&lt;='Input sheet(dashboard)'!$D$27*12,IF(D135=12,SUM(S124:S135),0),0)</f>
        <v>732328.48031332321</v>
      </c>
      <c r="U135" s="3">
        <f>IF(B135&lt;='Input sheet(dashboard)'!$D$27*12,IF(S135&lt;AD135,AD135-S135,0),0)</f>
        <v>0</v>
      </c>
      <c r="V135" s="3">
        <f>IF(B135&lt;='Input sheet(dashboard)'!$D$27*12,V134*(1+'Input sheet(dashboard)'!$E$25)+U135,0)</f>
        <v>0</v>
      </c>
      <c r="W135" s="17">
        <f>IF(B135&lt;='Input sheet(dashboard)'!$D$27*12,J135-I135+V135-N135,0)</f>
        <v>9005904.7548586987</v>
      </c>
      <c r="X135" s="3">
        <f>IF(B135&lt;='Input sheet(dashboard)'!$D$27*12,'Input sheet(dashboard)'!$D$17*(1+'Input sheet(dashboard)'!$E$23)^(B135-1),0)</f>
        <v>44126.563988168768</v>
      </c>
      <c r="Y135" s="3"/>
      <c r="Z135" s="18"/>
      <c r="AA135" s="18"/>
      <c r="AB135" s="3">
        <f>IF(B135=1,'Input sheet(dashboard)'!$D$18*Calculations!X135,IF(Calculations!B135=12*'Input sheet(dashboard)'!$D$27,'Input sheet(dashboard)'!$D$18*-Calculations!X135,0))</f>
        <v>0</v>
      </c>
      <c r="AC135" s="3">
        <f>IF(B135&lt;='Input sheet(dashboard)'!$D$27*12,IF(MOD(B134,'Input sheet(dashboard)'!$D$19*12),0,'Input sheet(dashboard)'!$D$20*(1+'Input sheet(dashboard)'!$E$22)^Calculations!B135),0)</f>
        <v>0</v>
      </c>
      <c r="AD135" s="17">
        <f t="shared" si="21"/>
        <v>44126.563988168768</v>
      </c>
      <c r="AE135" s="17">
        <f>IF(B135&lt;='Input sheet(dashboard)'!$D$27*12,IF(D135=12,SUM(AD124:AD135),0),0)</f>
        <v>517860.00557994738</v>
      </c>
      <c r="AF135" s="17">
        <f t="shared" si="22"/>
        <v>17295.825622039345</v>
      </c>
      <c r="AG135" s="17">
        <f t="shared" si="23"/>
        <v>17295.825622039345</v>
      </c>
      <c r="AH135" s="3">
        <f>IF(B135&lt;='Input sheet(dashboard)'!$D$27*12,AH134*(1+'Input sheet(dashboard)'!$E$25)+AG135," ")</f>
        <v>7068976.9211025666</v>
      </c>
    </row>
    <row r="136" spans="2:34">
      <c r="B136">
        <f t="shared" si="18"/>
        <v>133</v>
      </c>
      <c r="C136">
        <f t="shared" si="16"/>
        <v>12</v>
      </c>
      <c r="D136">
        <f t="shared" si="17"/>
        <v>1</v>
      </c>
      <c r="E136" s="15">
        <f>IF(C136&lt;='Input sheet(dashboard)'!$D$6, -PMT('Input sheet(dashboard)'!$E$5,'Input sheet(dashboard)'!$D$6*12,'Input sheet(dashboard)'!$D$3*'Input sheet(dashboard)'!$D$4),0)</f>
        <v>39834.137922259193</v>
      </c>
      <c r="F136" s="3">
        <f>I135*'Input sheet(dashboard)'!$E$5</f>
        <v>22447.924188821697</v>
      </c>
      <c r="G136" s="3">
        <f>IF(C136&lt;='Input sheet(dashboard)'!$D$6,E136*'Input sheet(dashboard)'!$D$7,0)</f>
        <v>3186.7310337807357</v>
      </c>
      <c r="H136" s="3">
        <f t="shared" si="19"/>
        <v>17386.213733437497</v>
      </c>
      <c r="I136" s="3">
        <f t="shared" si="20"/>
        <v>6144904.9390433189</v>
      </c>
      <c r="J136" s="3">
        <f>IF(B136&lt;='Input sheet(dashboard)'!$D$27*12,'Input sheet(dashboard)'!$D$3*(1+'Input sheet(dashboard)'!$E$24)^B136,0)</f>
        <v>15229993.015337789</v>
      </c>
      <c r="K136" s="3">
        <f>IF(B136&lt;='Input sheet(dashboard)'!$D$27*12,J136*'Input sheet(dashboard)'!$E$8,0)</f>
        <v>15774.404569519938</v>
      </c>
      <c r="L136" s="3">
        <f>IF(B136&lt;='Input sheet(dashboard)'!$D$27*12,'Input sheet(dashboard)'!$D$9*(1+'Input sheet(dashboard)'!$E$22)^B136,0)</f>
        <v>3944.3680244644866</v>
      </c>
      <c r="M136" s="3">
        <f>IF(B136=1,'Input sheet(dashboard)'!$D$3*'Input sheet(dashboard)'!$D$10,0)</f>
        <v>0</v>
      </c>
      <c r="N136" s="3">
        <f>IF(B136='Input sheet(dashboard)'!$D$27*12,J136*'Input sheet(dashboard)'!$D$11,0)</f>
        <v>0</v>
      </c>
      <c r="O136" s="3">
        <f>IF(SUM(F136:F147)&gt;=150000,150000/12*'Input sheet(dashboard)'!$D$28,SUM(F136:F147)/12*'Input sheet(dashboard)'!$D$28)</f>
        <v>1875</v>
      </c>
      <c r="P136" s="3">
        <f t="shared" si="15"/>
        <v>0</v>
      </c>
      <c r="Q136" s="3">
        <f>IF(B136&lt;='Input sheet(dashboard)'!$D$27*12,'Input sheet(dashboard)'!$D$12/12,0)</f>
        <v>192.5</v>
      </c>
      <c r="R136" s="3">
        <f>IF(B136&lt;='Input sheet(dashboard)'!$D$27*12,('Input sheet(dashboard)'!$D$15/12)*(1+'Input sheet(dashboard)'!$E$22)^Calculations!B136,0)</f>
        <v>438.26311382938735</v>
      </c>
      <c r="S136" s="3">
        <f>IF(B136&lt;='Input sheet(dashboard)'!$D$27*12,(E136+G136+K136+L136-O136+M136+Q136+R136),0)</f>
        <v>61495.40466385374</v>
      </c>
      <c r="T136" s="3">
        <f>IF(B136&lt;='Input sheet(dashboard)'!$D$27*12,IF(D136=12,SUM(S125:S136),0),0)</f>
        <v>0</v>
      </c>
      <c r="U136" s="3">
        <f>IF(B136&lt;='Input sheet(dashboard)'!$D$27*12,IF(S136&lt;AD136,AD136-S136,0),0)</f>
        <v>0</v>
      </c>
      <c r="V136" s="3">
        <f>IF(B136&lt;='Input sheet(dashboard)'!$D$27*12,V135*(1+'Input sheet(dashboard)'!$E$25)+U136,0)</f>
        <v>0</v>
      </c>
      <c r="W136" s="17">
        <f>IF(B136&lt;='Input sheet(dashboard)'!$D$27*12,J136-I136+V136-N136,0)</f>
        <v>9085088.0762944706</v>
      </c>
      <c r="X136" s="3">
        <f>IF(B136&lt;='Input sheet(dashboard)'!$D$27*12,'Input sheet(dashboard)'!$D$17*(1+'Input sheet(dashboard)'!$E$23)^(B136-1),0)</f>
        <v>44306.341072003641</v>
      </c>
      <c r="Y136" s="3"/>
      <c r="Z136" s="18"/>
      <c r="AA136" s="18"/>
      <c r="AB136" s="3">
        <f>IF(B136=1,'Input sheet(dashboard)'!$D$18*Calculations!X136,IF(Calculations!B136=12*'Input sheet(dashboard)'!$D$27,'Input sheet(dashboard)'!$D$18*-Calculations!X136,0))</f>
        <v>0</v>
      </c>
      <c r="AC136" s="3">
        <f>IF(B136&lt;='Input sheet(dashboard)'!$D$27*12,IF(MOD(B135,'Input sheet(dashboard)'!$D$19*12),0,'Input sheet(dashboard)'!$D$20*(1+'Input sheet(dashboard)'!$E$22)^Calculations!B136),0)</f>
        <v>0</v>
      </c>
      <c r="AD136" s="17">
        <f t="shared" si="21"/>
        <v>44306.341072003641</v>
      </c>
      <c r="AE136" s="17">
        <f>IF(B136&lt;='Input sheet(dashboard)'!$D$27*12,IF(D136=12,SUM(AD125:AD136),0),0)</f>
        <v>0</v>
      </c>
      <c r="AF136" s="17">
        <f t="shared" si="22"/>
        <v>17189.063591850099</v>
      </c>
      <c r="AG136" s="17">
        <f t="shared" si="23"/>
        <v>17189.063591850099</v>
      </c>
      <c r="AH136" s="3">
        <f>IF(B136&lt;='Input sheet(dashboard)'!$D$27*12,AH135*(1+'Input sheet(dashboard)'!$E$25)+AG136," ")</f>
        <v>7131647.9950517099</v>
      </c>
    </row>
    <row r="137" spans="2:34">
      <c r="B137">
        <f t="shared" si="18"/>
        <v>134</v>
      </c>
      <c r="C137">
        <f t="shared" si="16"/>
        <v>12</v>
      </c>
      <c r="D137">
        <f t="shared" si="17"/>
        <v>2</v>
      </c>
      <c r="E137" s="15">
        <f>IF(C137&lt;='Input sheet(dashboard)'!$D$6, -PMT('Input sheet(dashboard)'!$E$5,'Input sheet(dashboard)'!$D$6*12,'Input sheet(dashboard)'!$D$3*'Input sheet(dashboard)'!$D$4),0)</f>
        <v>39834.137922259193</v>
      </c>
      <c r="F137" s="3">
        <f>I136*'Input sheet(dashboard)'!$E$5</f>
        <v>22384.589886994203</v>
      </c>
      <c r="G137" s="3">
        <f>IF(C137&lt;='Input sheet(dashboard)'!$D$6,E137*'Input sheet(dashboard)'!$D$7,0)</f>
        <v>3186.7310337807357</v>
      </c>
      <c r="H137" s="3">
        <f t="shared" si="19"/>
        <v>17449.54803526499</v>
      </c>
      <c r="I137" s="3">
        <f t="shared" si="20"/>
        <v>6127455.3910080539</v>
      </c>
      <c r="J137" s="3">
        <f>IF(B137&lt;='Input sheet(dashboard)'!$D$27*12,'Input sheet(dashboard)'!$D$3*(1+'Input sheet(dashboard)'!$E$24)^B137,0)</f>
        <v>15292041.892106377</v>
      </c>
      <c r="K137" s="3">
        <f>IF(B137&lt;='Input sheet(dashboard)'!$D$27*12,J137*'Input sheet(dashboard)'!$E$8,0)</f>
        <v>15838.671446349514</v>
      </c>
      <c r="L137" s="3">
        <f>IF(B137&lt;='Input sheet(dashboard)'!$D$27*12,'Input sheet(dashboard)'!$D$9*(1+'Input sheet(dashboard)'!$E$22)^B137,0)</f>
        <v>3952.4927767828867</v>
      </c>
      <c r="M137" s="3">
        <f>IF(B137=1,'Input sheet(dashboard)'!$D$3*'Input sheet(dashboard)'!$D$10,0)</f>
        <v>0</v>
      </c>
      <c r="N137" s="3">
        <f>IF(B137='Input sheet(dashboard)'!$D$27*12,J137*'Input sheet(dashboard)'!$D$11,0)</f>
        <v>0</v>
      </c>
      <c r="O137" s="3">
        <f>IF(SUM(F137:F148)&gt;=150000,150000/12*'Input sheet(dashboard)'!$D$28,SUM(F137:F148)/12*'Input sheet(dashboard)'!$D$28)</f>
        <v>1875</v>
      </c>
      <c r="P137" s="3">
        <f t="shared" si="15"/>
        <v>0</v>
      </c>
      <c r="Q137" s="3">
        <f>IF(B137&lt;='Input sheet(dashboard)'!$D$27*12,'Input sheet(dashboard)'!$D$12/12,0)</f>
        <v>192.5</v>
      </c>
      <c r="R137" s="3">
        <f>IF(B137&lt;='Input sheet(dashboard)'!$D$27*12,('Input sheet(dashboard)'!$D$15/12)*(1+'Input sheet(dashboard)'!$E$22)^Calculations!B137,0)</f>
        <v>439.16586408698737</v>
      </c>
      <c r="S137" s="3">
        <f>IF(B137&lt;='Input sheet(dashboard)'!$D$27*12,(E137+G137+K137+L137-O137+M137+Q137+R137),0)</f>
        <v>61568.699043259316</v>
      </c>
      <c r="T137" s="3">
        <f>IF(B137&lt;='Input sheet(dashboard)'!$D$27*12,IF(D137=12,SUM(S126:S137),0),0)</f>
        <v>0</v>
      </c>
      <c r="U137" s="3">
        <f>IF(B137&lt;='Input sheet(dashboard)'!$D$27*12,IF(S137&lt;AD137,AD137-S137,0),0)</f>
        <v>0</v>
      </c>
      <c r="V137" s="3">
        <f>IF(B137&lt;='Input sheet(dashboard)'!$D$27*12,V136*(1+'Input sheet(dashboard)'!$E$25)+U137,0)</f>
        <v>0</v>
      </c>
      <c r="W137" s="17">
        <f>IF(B137&lt;='Input sheet(dashboard)'!$D$27*12,J137-I137+V137-N137,0)</f>
        <v>9164586.5010983236</v>
      </c>
      <c r="X137" s="3">
        <f>IF(B137&lt;='Input sheet(dashboard)'!$D$27*12,'Input sheet(dashboard)'!$D$17*(1+'Input sheet(dashboard)'!$E$23)^(B137-1),0)</f>
        <v>44486.850589931528</v>
      </c>
      <c r="Y137" s="3"/>
      <c r="Z137" s="18"/>
      <c r="AA137" s="18"/>
      <c r="AB137" s="3">
        <f>IF(B137=1,'Input sheet(dashboard)'!$D$18*Calculations!X137,IF(Calculations!B137=12*'Input sheet(dashboard)'!$D$27,'Input sheet(dashboard)'!$D$18*-Calculations!X137,0))</f>
        <v>0</v>
      </c>
      <c r="AC137" s="3">
        <f>IF(B137&lt;='Input sheet(dashboard)'!$D$27*12,IF(MOD(B136,'Input sheet(dashboard)'!$D$19*12),0,'Input sheet(dashboard)'!$D$20*(1+'Input sheet(dashboard)'!$E$22)^Calculations!B137),0)</f>
        <v>0</v>
      </c>
      <c r="AD137" s="17">
        <f t="shared" si="21"/>
        <v>44486.850589931528</v>
      </c>
      <c r="AE137" s="17">
        <f>IF(B137&lt;='Input sheet(dashboard)'!$D$27*12,IF(D137=12,SUM(AD126:AD137),0),0)</f>
        <v>0</v>
      </c>
      <c r="AF137" s="17">
        <f t="shared" si="22"/>
        <v>17081.848453327788</v>
      </c>
      <c r="AG137" s="17">
        <f t="shared" si="23"/>
        <v>17081.848453327788</v>
      </c>
      <c r="AH137" s="3">
        <f>IF(B137&lt;='Input sheet(dashboard)'!$D$27*12,AH136*(1+'Input sheet(dashboard)'!$E$25)+AG137," ")</f>
        <v>7194615.0814391458</v>
      </c>
    </row>
    <row r="138" spans="2:34">
      <c r="B138">
        <f t="shared" si="18"/>
        <v>135</v>
      </c>
      <c r="C138">
        <f t="shared" si="16"/>
        <v>12</v>
      </c>
      <c r="D138">
        <f t="shared" si="17"/>
        <v>3</v>
      </c>
      <c r="E138" s="15">
        <f>IF(C138&lt;='Input sheet(dashboard)'!$D$6, -PMT('Input sheet(dashboard)'!$E$5,'Input sheet(dashboard)'!$D$6*12,'Input sheet(dashboard)'!$D$3*'Input sheet(dashboard)'!$D$4),0)</f>
        <v>39834.137922259193</v>
      </c>
      <c r="F138" s="3">
        <f>I137*'Input sheet(dashboard)'!$E$5</f>
        <v>22321.024871691683</v>
      </c>
      <c r="G138" s="3">
        <f>IF(C138&lt;='Input sheet(dashboard)'!$D$6,E138*'Input sheet(dashboard)'!$D$7,0)</f>
        <v>3186.7310337807357</v>
      </c>
      <c r="H138" s="3">
        <f t="shared" si="19"/>
        <v>17513.11305056751</v>
      </c>
      <c r="I138" s="3">
        <f t="shared" si="20"/>
        <v>6109942.277957486</v>
      </c>
      <c r="J138" s="3">
        <f>IF(B138&lt;='Input sheet(dashboard)'!$D$27*12,'Input sheet(dashboard)'!$D$3*(1+'Input sheet(dashboard)'!$E$24)^B138,0)</f>
        <v>15354343.563679555</v>
      </c>
      <c r="K138" s="3">
        <f>IF(B138&lt;='Input sheet(dashboard)'!$D$27*12,J138*'Input sheet(dashboard)'!$E$8,0)</f>
        <v>15903.200154390479</v>
      </c>
      <c r="L138" s="3">
        <f>IF(B138&lt;='Input sheet(dashboard)'!$D$27*12,'Input sheet(dashboard)'!$D$9*(1+'Input sheet(dashboard)'!$E$22)^B138,0)</f>
        <v>3960.6342647607953</v>
      </c>
      <c r="M138" s="3">
        <f>IF(B138=1,'Input sheet(dashboard)'!$D$3*'Input sheet(dashboard)'!$D$10,0)</f>
        <v>0</v>
      </c>
      <c r="N138" s="3">
        <f>IF(B138='Input sheet(dashboard)'!$D$27*12,J138*'Input sheet(dashboard)'!$D$11,0)</f>
        <v>0</v>
      </c>
      <c r="O138" s="3">
        <f>IF(SUM(F138:F149)&gt;=150000,150000/12*'Input sheet(dashboard)'!$D$28,SUM(F138:F149)/12*'Input sheet(dashboard)'!$D$28)</f>
        <v>1875</v>
      </c>
      <c r="P138" s="3">
        <f t="shared" si="15"/>
        <v>0</v>
      </c>
      <c r="Q138" s="3">
        <f>IF(B138&lt;='Input sheet(dashboard)'!$D$27*12,'Input sheet(dashboard)'!$D$12/12,0)</f>
        <v>192.5</v>
      </c>
      <c r="R138" s="3">
        <f>IF(B138&lt;='Input sheet(dashboard)'!$D$27*12,('Input sheet(dashboard)'!$D$15/12)*(1+'Input sheet(dashboard)'!$E$22)^Calculations!B138,0)</f>
        <v>440.07047386231056</v>
      </c>
      <c r="S138" s="3">
        <f>IF(B138&lt;='Input sheet(dashboard)'!$D$27*12,(E138+G138+K138+L138-O138+M138+Q138+R138),0)</f>
        <v>61642.273849053512</v>
      </c>
      <c r="T138" s="3">
        <f>IF(B138&lt;='Input sheet(dashboard)'!$D$27*12,IF(D138=12,SUM(S127:S138),0),0)</f>
        <v>0</v>
      </c>
      <c r="U138" s="3">
        <f>IF(B138&lt;='Input sheet(dashboard)'!$D$27*12,IF(S138&lt;AD138,AD138-S138,0),0)</f>
        <v>0</v>
      </c>
      <c r="V138" s="3">
        <f>IF(B138&lt;='Input sheet(dashboard)'!$D$27*12,V137*(1+'Input sheet(dashboard)'!$E$25)+U138,0)</f>
        <v>0</v>
      </c>
      <c r="W138" s="17">
        <f>IF(B138&lt;='Input sheet(dashboard)'!$D$27*12,J138-I138+V138-N138,0)</f>
        <v>9244401.2857220694</v>
      </c>
      <c r="X138" s="3">
        <f>IF(B138&lt;='Input sheet(dashboard)'!$D$27*12,'Input sheet(dashboard)'!$D$17*(1+'Input sheet(dashboard)'!$E$23)^(B138-1),0)</f>
        <v>44668.095525979581</v>
      </c>
      <c r="Y138" s="3"/>
      <c r="Z138" s="18"/>
      <c r="AA138" s="18"/>
      <c r="AB138" s="3">
        <f>IF(B138=1,'Input sheet(dashboard)'!$D$18*Calculations!X138,IF(Calculations!B138=12*'Input sheet(dashboard)'!$D$27,'Input sheet(dashboard)'!$D$18*-Calculations!X138,0))</f>
        <v>0</v>
      </c>
      <c r="AC138" s="3">
        <f>IF(B138&lt;='Input sheet(dashboard)'!$D$27*12,IF(MOD(B137,'Input sheet(dashboard)'!$D$19*12),0,'Input sheet(dashboard)'!$D$20*(1+'Input sheet(dashboard)'!$E$22)^Calculations!B138),0)</f>
        <v>0</v>
      </c>
      <c r="AD138" s="17">
        <f t="shared" si="21"/>
        <v>44668.095525979581</v>
      </c>
      <c r="AE138" s="17">
        <f>IF(B138&lt;='Input sheet(dashboard)'!$D$27*12,IF(D138=12,SUM(AD127:AD138),0),0)</f>
        <v>0</v>
      </c>
      <c r="AF138" s="17">
        <f t="shared" si="22"/>
        <v>16974.178323073931</v>
      </c>
      <c r="AG138" s="17">
        <f t="shared" si="23"/>
        <v>16974.178323073931</v>
      </c>
      <c r="AH138" s="3">
        <f>IF(B138&lt;='Input sheet(dashboard)'!$D$27*12,AH137*(1+'Input sheet(dashboard)'!$E$25)+AG138," ")</f>
        <v>7257879.6298260847</v>
      </c>
    </row>
    <row r="139" spans="2:34">
      <c r="B139">
        <f t="shared" si="18"/>
        <v>136</v>
      </c>
      <c r="C139">
        <f t="shared" si="16"/>
        <v>12</v>
      </c>
      <c r="D139">
        <f t="shared" si="17"/>
        <v>4</v>
      </c>
      <c r="E139" s="15">
        <f>IF(C139&lt;='Input sheet(dashboard)'!$D$6, -PMT('Input sheet(dashboard)'!$E$5,'Input sheet(dashboard)'!$D$6*12,'Input sheet(dashboard)'!$D$3*'Input sheet(dashboard)'!$D$4),0)</f>
        <v>39834.137922259193</v>
      </c>
      <c r="F139" s="3">
        <f>I138*'Input sheet(dashboard)'!$E$5</f>
        <v>22257.228302473712</v>
      </c>
      <c r="G139" s="3">
        <f>IF(C139&lt;='Input sheet(dashboard)'!$D$6,E139*'Input sheet(dashboard)'!$D$7,0)</f>
        <v>3186.7310337807357</v>
      </c>
      <c r="H139" s="3">
        <f t="shared" si="19"/>
        <v>17576.909619785481</v>
      </c>
      <c r="I139" s="3">
        <f t="shared" si="20"/>
        <v>6092365.3683377001</v>
      </c>
      <c r="J139" s="3">
        <f>IF(B139&lt;='Input sheet(dashboard)'!$D$27*12,'Input sheet(dashboard)'!$D$3*(1+'Input sheet(dashboard)'!$E$24)^B139,0)</f>
        <v>15416899.059974652</v>
      </c>
      <c r="K139" s="3">
        <f>IF(B139&lt;='Input sheet(dashboard)'!$D$27*12,J139*'Input sheet(dashboard)'!$E$8,0)</f>
        <v>15967.991760375602</v>
      </c>
      <c r="L139" s="3">
        <f>IF(B139&lt;='Input sheet(dashboard)'!$D$27*12,'Input sheet(dashboard)'!$D$9*(1+'Input sheet(dashboard)'!$E$22)^B139,0)</f>
        <v>3968.7925228709314</v>
      </c>
      <c r="M139" s="3">
        <f>IF(B139=1,'Input sheet(dashboard)'!$D$3*'Input sheet(dashboard)'!$D$10,0)</f>
        <v>0</v>
      </c>
      <c r="N139" s="3">
        <f>IF(B139='Input sheet(dashboard)'!$D$27*12,J139*'Input sheet(dashboard)'!$D$11,0)</f>
        <v>0</v>
      </c>
      <c r="O139" s="3">
        <f>IF(SUM(F139:F150)&gt;=150000,150000/12*'Input sheet(dashboard)'!$D$28,SUM(F139:F150)/12*'Input sheet(dashboard)'!$D$28)</f>
        <v>1875</v>
      </c>
      <c r="P139" s="3">
        <f t="shared" si="15"/>
        <v>0</v>
      </c>
      <c r="Q139" s="3">
        <f>IF(B139&lt;='Input sheet(dashboard)'!$D$27*12,'Input sheet(dashboard)'!$D$12/12,0)</f>
        <v>192.5</v>
      </c>
      <c r="R139" s="3">
        <f>IF(B139&lt;='Input sheet(dashboard)'!$D$27*12,('Input sheet(dashboard)'!$D$15/12)*(1+'Input sheet(dashboard)'!$E$22)^Calculations!B139,0)</f>
        <v>440.97694698565903</v>
      </c>
      <c r="S139" s="3">
        <f>IF(B139&lt;='Input sheet(dashboard)'!$D$27*12,(E139+G139+K139+L139-O139+M139+Q139+R139),0)</f>
        <v>61716.130186272123</v>
      </c>
      <c r="T139" s="3">
        <f>IF(B139&lt;='Input sheet(dashboard)'!$D$27*12,IF(D139=12,SUM(S128:S139),0),0)</f>
        <v>0</v>
      </c>
      <c r="U139" s="3">
        <f>IF(B139&lt;='Input sheet(dashboard)'!$D$27*12,IF(S139&lt;AD139,AD139-S139,0),0)</f>
        <v>0</v>
      </c>
      <c r="V139" s="3">
        <f>IF(B139&lt;='Input sheet(dashboard)'!$D$27*12,V138*(1+'Input sheet(dashboard)'!$E$25)+U139,0)</f>
        <v>0</v>
      </c>
      <c r="W139" s="17">
        <f>IF(B139&lt;='Input sheet(dashboard)'!$D$27*12,J139-I139+V139-N139,0)</f>
        <v>9324533.6916369516</v>
      </c>
      <c r="X139" s="3">
        <f>IF(B139&lt;='Input sheet(dashboard)'!$D$27*12,'Input sheet(dashboard)'!$D$17*(1+'Input sheet(dashboard)'!$E$23)^(B139-1),0)</f>
        <v>44850.078876332249</v>
      </c>
      <c r="Y139" s="3"/>
      <c r="Z139" s="18"/>
      <c r="AA139" s="18"/>
      <c r="AB139" s="3">
        <f>IF(B139=1,'Input sheet(dashboard)'!$D$18*Calculations!X139,IF(Calculations!B139=12*'Input sheet(dashboard)'!$D$27,'Input sheet(dashboard)'!$D$18*-Calculations!X139,0))</f>
        <v>0</v>
      </c>
      <c r="AC139" s="3">
        <f>IF(B139&lt;='Input sheet(dashboard)'!$D$27*12,IF(MOD(B138,'Input sheet(dashboard)'!$D$19*12),0,'Input sheet(dashboard)'!$D$20*(1+'Input sheet(dashboard)'!$E$22)^Calculations!B139),0)</f>
        <v>0</v>
      </c>
      <c r="AD139" s="17">
        <f t="shared" si="21"/>
        <v>44850.078876332249</v>
      </c>
      <c r="AE139" s="17">
        <f>IF(B139&lt;='Input sheet(dashboard)'!$D$27*12,IF(D139=12,SUM(AD128:AD139),0),0)</f>
        <v>0</v>
      </c>
      <c r="AF139" s="17">
        <f t="shared" si="22"/>
        <v>16866.051309939874</v>
      </c>
      <c r="AG139" s="17">
        <f t="shared" si="23"/>
        <v>16866.051309939874</v>
      </c>
      <c r="AH139" s="3">
        <f>IF(B139&lt;='Input sheet(dashboard)'!$D$27*12,AH138*(1+'Input sheet(dashboard)'!$E$25)+AG139," ")</f>
        <v>7321443.0972091062</v>
      </c>
    </row>
    <row r="140" spans="2:34">
      <c r="B140">
        <f t="shared" si="18"/>
        <v>137</v>
      </c>
      <c r="C140">
        <f t="shared" si="16"/>
        <v>12</v>
      </c>
      <c r="D140">
        <f t="shared" si="17"/>
        <v>5</v>
      </c>
      <c r="E140" s="15">
        <f>IF(C140&lt;='Input sheet(dashboard)'!$D$6, -PMT('Input sheet(dashboard)'!$E$5,'Input sheet(dashboard)'!$D$6*12,'Input sheet(dashboard)'!$D$3*'Input sheet(dashboard)'!$D$4),0)</f>
        <v>39834.137922259193</v>
      </c>
      <c r="F140" s="3">
        <f>I139*'Input sheet(dashboard)'!$E$5</f>
        <v>22193.199335838319</v>
      </c>
      <c r="G140" s="3">
        <f>IF(C140&lt;='Input sheet(dashboard)'!$D$6,E140*'Input sheet(dashboard)'!$D$7,0)</f>
        <v>3186.7310337807357</v>
      </c>
      <c r="H140" s="3">
        <f t="shared" si="19"/>
        <v>17640.938586420874</v>
      </c>
      <c r="I140" s="3">
        <f t="shared" si="20"/>
        <v>6074724.4297512788</v>
      </c>
      <c r="J140" s="3">
        <f>IF(B140&lt;='Input sheet(dashboard)'!$D$27*12,'Input sheet(dashboard)'!$D$3*(1+'Input sheet(dashboard)'!$E$24)^B140,0)</f>
        <v>15479709.415105002</v>
      </c>
      <c r="K140" s="3">
        <f>IF(B140&lt;='Input sheet(dashboard)'!$D$27*12,J140*'Input sheet(dashboard)'!$E$8,0)</f>
        <v>16033.047335383651</v>
      </c>
      <c r="L140" s="3">
        <f>IF(B140&lt;='Input sheet(dashboard)'!$D$27*12,'Input sheet(dashboard)'!$D$9*(1+'Input sheet(dashboard)'!$E$22)^B140,0)</f>
        <v>3976.967585657022</v>
      </c>
      <c r="M140" s="3">
        <f>IF(B140=1,'Input sheet(dashboard)'!$D$3*'Input sheet(dashboard)'!$D$10,0)</f>
        <v>0</v>
      </c>
      <c r="N140" s="3">
        <f>IF(B140='Input sheet(dashboard)'!$D$27*12,J140*'Input sheet(dashboard)'!$D$11,0)</f>
        <v>0</v>
      </c>
      <c r="O140" s="3">
        <f>IF(SUM(F140:F151)&gt;=150000,150000/12*'Input sheet(dashboard)'!$D$28,SUM(F140:F151)/12*'Input sheet(dashboard)'!$D$28)</f>
        <v>1875</v>
      </c>
      <c r="P140" s="3">
        <f t="shared" si="15"/>
        <v>0</v>
      </c>
      <c r="Q140" s="3">
        <f>IF(B140&lt;='Input sheet(dashboard)'!$D$27*12,'Input sheet(dashboard)'!$D$12/12,0)</f>
        <v>192.5</v>
      </c>
      <c r="R140" s="3">
        <f>IF(B140&lt;='Input sheet(dashboard)'!$D$27*12,('Input sheet(dashboard)'!$D$15/12)*(1+'Input sheet(dashboard)'!$E$22)^Calculations!B140,0)</f>
        <v>441.88528729522466</v>
      </c>
      <c r="S140" s="3">
        <f>IF(B140&lt;='Input sheet(dashboard)'!$D$27*12,(E140+G140+K140+L140-O140+M140+Q140+R140),0)</f>
        <v>61790.26916437583</v>
      </c>
      <c r="T140" s="3">
        <f>IF(B140&lt;='Input sheet(dashboard)'!$D$27*12,IF(D140=12,SUM(S129:S140),0),0)</f>
        <v>0</v>
      </c>
      <c r="U140" s="3">
        <f>IF(B140&lt;='Input sheet(dashboard)'!$D$27*12,IF(S140&lt;AD140,AD140-S140,0),0)</f>
        <v>0</v>
      </c>
      <c r="V140" s="3">
        <f>IF(B140&lt;='Input sheet(dashboard)'!$D$27*12,V139*(1+'Input sheet(dashboard)'!$E$25)+U140,0)</f>
        <v>0</v>
      </c>
      <c r="W140" s="17">
        <f>IF(B140&lt;='Input sheet(dashboard)'!$D$27*12,J140-I140+V140-N140,0)</f>
        <v>9404984.9853537232</v>
      </c>
      <c r="X140" s="3">
        <f>IF(B140&lt;='Input sheet(dashboard)'!$D$27*12,'Input sheet(dashboard)'!$D$17*(1+'Input sheet(dashboard)'!$E$23)^(B140-1),0)</f>
        <v>45032.803649380825</v>
      </c>
      <c r="Y140" s="3"/>
      <c r="Z140" s="18"/>
      <c r="AA140" s="18"/>
      <c r="AB140" s="3">
        <f>IF(B140=1,'Input sheet(dashboard)'!$D$18*Calculations!X140,IF(Calculations!B140=12*'Input sheet(dashboard)'!$D$27,'Input sheet(dashboard)'!$D$18*-Calculations!X140,0))</f>
        <v>0</v>
      </c>
      <c r="AC140" s="3">
        <f>IF(B140&lt;='Input sheet(dashboard)'!$D$27*12,IF(MOD(B139,'Input sheet(dashboard)'!$D$19*12),0,'Input sheet(dashboard)'!$D$20*(1+'Input sheet(dashboard)'!$E$22)^Calculations!B140),0)</f>
        <v>0</v>
      </c>
      <c r="AD140" s="17">
        <f t="shared" si="21"/>
        <v>45032.803649380825</v>
      </c>
      <c r="AE140" s="17">
        <f>IF(B140&lt;='Input sheet(dashboard)'!$D$27*12,IF(D140=12,SUM(AD129:AD140),0),0)</f>
        <v>0</v>
      </c>
      <c r="AF140" s="17">
        <f t="shared" si="22"/>
        <v>16757.465514995005</v>
      </c>
      <c r="AG140" s="17">
        <f t="shared" si="23"/>
        <v>16757.465514995005</v>
      </c>
      <c r="AH140" s="3">
        <f>IF(B140&lt;='Input sheet(dashboard)'!$D$27*12,AH139*(1+'Input sheet(dashboard)'!$E$25)+AG140," ")</f>
        <v>7385306.948060222</v>
      </c>
    </row>
    <row r="141" spans="2:34">
      <c r="B141">
        <f t="shared" si="18"/>
        <v>138</v>
      </c>
      <c r="C141">
        <f t="shared" si="16"/>
        <v>12</v>
      </c>
      <c r="D141">
        <f t="shared" si="17"/>
        <v>6</v>
      </c>
      <c r="E141" s="15">
        <f>IF(C141&lt;='Input sheet(dashboard)'!$D$6, -PMT('Input sheet(dashboard)'!$E$5,'Input sheet(dashboard)'!$D$6*12,'Input sheet(dashboard)'!$D$3*'Input sheet(dashboard)'!$D$4),0)</f>
        <v>39834.137922259193</v>
      </c>
      <c r="F141" s="3">
        <f>I140*'Input sheet(dashboard)'!$E$5</f>
        <v>22128.937125210832</v>
      </c>
      <c r="G141" s="3">
        <f>IF(C141&lt;='Input sheet(dashboard)'!$D$6,E141*'Input sheet(dashboard)'!$D$7,0)</f>
        <v>3186.7310337807357</v>
      </c>
      <c r="H141" s="3">
        <f t="shared" si="19"/>
        <v>17705.200797048361</v>
      </c>
      <c r="I141" s="3">
        <f t="shared" si="20"/>
        <v>6057019.2289542304</v>
      </c>
      <c r="J141" s="3">
        <f>IF(B141&lt;='Input sheet(dashboard)'!$D$27*12,'Input sheet(dashboard)'!$D$3*(1+'Input sheet(dashboard)'!$E$24)^B141,0)</f>
        <v>15542775.667397046</v>
      </c>
      <c r="K141" s="3">
        <f>IF(B141&lt;='Input sheet(dashboard)'!$D$27*12,J141*'Input sheet(dashboard)'!$E$8,0)</f>
        <v>16098.367954857098</v>
      </c>
      <c r="L141" s="3">
        <f>IF(B141&lt;='Input sheet(dashboard)'!$D$27*12,'Input sheet(dashboard)'!$D$9*(1+'Input sheet(dashboard)'!$E$22)^B141,0)</f>
        <v>3985.1594877339471</v>
      </c>
      <c r="M141" s="3">
        <f>IF(B141=1,'Input sheet(dashboard)'!$D$3*'Input sheet(dashboard)'!$D$10,0)</f>
        <v>0</v>
      </c>
      <c r="N141" s="3">
        <f>IF(B141='Input sheet(dashboard)'!$D$27*12,J141*'Input sheet(dashboard)'!$D$11,0)</f>
        <v>0</v>
      </c>
      <c r="O141" s="3">
        <f>IF(SUM(F141:F152)&gt;=150000,150000/12*'Input sheet(dashboard)'!$D$28,SUM(F141:F152)/12*'Input sheet(dashboard)'!$D$28)</f>
        <v>1875</v>
      </c>
      <c r="P141" s="3">
        <f t="shared" si="15"/>
        <v>0</v>
      </c>
      <c r="Q141" s="3">
        <f>IF(B141&lt;='Input sheet(dashboard)'!$D$27*12,'Input sheet(dashboard)'!$D$12/12,0)</f>
        <v>192.5</v>
      </c>
      <c r="R141" s="3">
        <f>IF(B141&lt;='Input sheet(dashboard)'!$D$27*12,('Input sheet(dashboard)'!$D$15/12)*(1+'Input sheet(dashboard)'!$E$22)^Calculations!B141,0)</f>
        <v>442.7954986371052</v>
      </c>
      <c r="S141" s="3">
        <f>IF(B141&lt;='Input sheet(dashboard)'!$D$27*12,(E141+G141+K141+L141-O141+M141+Q141+R141),0)</f>
        <v>61864.69189726808</v>
      </c>
      <c r="T141" s="3">
        <f>IF(B141&lt;='Input sheet(dashboard)'!$D$27*12,IF(D141=12,SUM(S130:S141),0),0)</f>
        <v>0</v>
      </c>
      <c r="U141" s="3">
        <f>IF(B141&lt;='Input sheet(dashboard)'!$D$27*12,IF(S141&lt;AD141,AD141-S141,0),0)</f>
        <v>0</v>
      </c>
      <c r="V141" s="3">
        <f>IF(B141&lt;='Input sheet(dashboard)'!$D$27*12,V140*(1+'Input sheet(dashboard)'!$E$25)+U141,0)</f>
        <v>0</v>
      </c>
      <c r="W141" s="17">
        <f>IF(B141&lt;='Input sheet(dashboard)'!$D$27*12,J141-I141+V141-N141,0)</f>
        <v>9485756.4384428151</v>
      </c>
      <c r="X141" s="3">
        <f>IF(B141&lt;='Input sheet(dashboard)'!$D$27*12,'Input sheet(dashboard)'!$D$17*(1+'Input sheet(dashboard)'!$E$23)^(B141-1),0)</f>
        <v>45216.272865773142</v>
      </c>
      <c r="Y141" s="3"/>
      <c r="Z141" s="18"/>
      <c r="AA141" s="18"/>
      <c r="AB141" s="3">
        <f>IF(B141=1,'Input sheet(dashboard)'!$D$18*Calculations!X141,IF(Calculations!B141=12*'Input sheet(dashboard)'!$D$27,'Input sheet(dashboard)'!$D$18*-Calculations!X141,0))</f>
        <v>0</v>
      </c>
      <c r="AC141" s="3">
        <f>IF(B141&lt;='Input sheet(dashboard)'!$D$27*12,IF(MOD(B140,'Input sheet(dashboard)'!$D$19*12),0,'Input sheet(dashboard)'!$D$20*(1+'Input sheet(dashboard)'!$E$22)^Calculations!B141),0)</f>
        <v>0</v>
      </c>
      <c r="AD141" s="17">
        <f t="shared" si="21"/>
        <v>45216.272865773142</v>
      </c>
      <c r="AE141" s="17">
        <f>IF(B141&lt;='Input sheet(dashboard)'!$D$27*12,IF(D141=12,SUM(AD130:AD141),0),0)</f>
        <v>0</v>
      </c>
      <c r="AF141" s="17">
        <f t="shared" si="22"/>
        <v>16648.419031494937</v>
      </c>
      <c r="AG141" s="17">
        <f t="shared" si="23"/>
        <v>16648.419031494937</v>
      </c>
      <c r="AH141" s="3">
        <f>IF(B141&lt;='Input sheet(dashboard)'!$D$27*12,AH140*(1+'Input sheet(dashboard)'!$E$25)+AG141," ")</f>
        <v>7449472.6543671545</v>
      </c>
    </row>
    <row r="142" spans="2:34">
      <c r="B142">
        <f t="shared" si="18"/>
        <v>139</v>
      </c>
      <c r="C142">
        <f t="shared" si="16"/>
        <v>12</v>
      </c>
      <c r="D142">
        <f t="shared" si="17"/>
        <v>7</v>
      </c>
      <c r="E142" s="15">
        <f>IF(C142&lt;='Input sheet(dashboard)'!$D$6, -PMT('Input sheet(dashboard)'!$E$5,'Input sheet(dashboard)'!$D$6*12,'Input sheet(dashboard)'!$D$3*'Input sheet(dashboard)'!$D$4),0)</f>
        <v>39834.137922259193</v>
      </c>
      <c r="F142" s="3">
        <f>I141*'Input sheet(dashboard)'!$E$5</f>
        <v>22064.440820932687</v>
      </c>
      <c r="G142" s="3">
        <f>IF(C142&lt;='Input sheet(dashboard)'!$D$6,E142*'Input sheet(dashboard)'!$D$7,0)</f>
        <v>3186.7310337807357</v>
      </c>
      <c r="H142" s="3">
        <f t="shared" si="19"/>
        <v>17769.697101326507</v>
      </c>
      <c r="I142" s="3">
        <f t="shared" si="20"/>
        <v>6039249.5318529038</v>
      </c>
      <c r="J142" s="3">
        <f>IF(B142&lt;='Input sheet(dashboard)'!$D$27*12,'Input sheet(dashboard)'!$D$3*(1+'Input sheet(dashboard)'!$E$24)^B142,0)</f>
        <v>15606098.859407501</v>
      </c>
      <c r="K142" s="3">
        <f>IF(B142&lt;='Input sheet(dashboard)'!$D$27*12,J142*'Input sheet(dashboard)'!$E$8,0)</f>
        <v>16163.954698619906</v>
      </c>
      <c r="L142" s="3">
        <f>IF(B142&lt;='Input sheet(dashboard)'!$D$27*12,'Input sheet(dashboard)'!$D$9*(1+'Input sheet(dashboard)'!$E$22)^B142,0)</f>
        <v>3993.3682637878896</v>
      </c>
      <c r="M142" s="3">
        <f>IF(B142=1,'Input sheet(dashboard)'!$D$3*'Input sheet(dashboard)'!$D$10,0)</f>
        <v>0</v>
      </c>
      <c r="N142" s="3">
        <f>IF(B142='Input sheet(dashboard)'!$D$27*12,J142*'Input sheet(dashboard)'!$D$11,0)</f>
        <v>0</v>
      </c>
      <c r="O142" s="3">
        <f>IF(SUM(F142:F153)&gt;=150000,150000/12*'Input sheet(dashboard)'!$D$28,SUM(F142:F153)/12*'Input sheet(dashboard)'!$D$28)</f>
        <v>1875</v>
      </c>
      <c r="P142" s="3">
        <f t="shared" si="15"/>
        <v>0</v>
      </c>
      <c r="Q142" s="3">
        <f>IF(B142&lt;='Input sheet(dashboard)'!$D$27*12,'Input sheet(dashboard)'!$D$12/12,0)</f>
        <v>192.5</v>
      </c>
      <c r="R142" s="3">
        <f>IF(B142&lt;='Input sheet(dashboard)'!$D$27*12,('Input sheet(dashboard)'!$D$15/12)*(1+'Input sheet(dashboard)'!$E$22)^Calculations!B142,0)</f>
        <v>443.70758486532105</v>
      </c>
      <c r="S142" s="3">
        <f>IF(B142&lt;='Input sheet(dashboard)'!$D$27*12,(E142+G142+K142+L142-O142+M142+Q142+R142),0)</f>
        <v>61939.399503313041</v>
      </c>
      <c r="T142" s="3">
        <f>IF(B142&lt;='Input sheet(dashboard)'!$D$27*12,IF(D142=12,SUM(S131:S142),0),0)</f>
        <v>0</v>
      </c>
      <c r="U142" s="3">
        <f>IF(B142&lt;='Input sheet(dashboard)'!$D$27*12,IF(S142&lt;AD142,AD142-S142,0),0)</f>
        <v>0</v>
      </c>
      <c r="V142" s="3">
        <f>IF(B142&lt;='Input sheet(dashboard)'!$D$27*12,V141*(1+'Input sheet(dashboard)'!$E$25)+U142,0)</f>
        <v>0</v>
      </c>
      <c r="W142" s="17">
        <f>IF(B142&lt;='Input sheet(dashboard)'!$D$27*12,J142-I142+V142-N142,0)</f>
        <v>9566849.3275545985</v>
      </c>
      <c r="X142" s="3">
        <f>IF(B142&lt;='Input sheet(dashboard)'!$D$27*12,'Input sheet(dashboard)'!$D$17*(1+'Input sheet(dashboard)'!$E$23)^(B142-1),0)</f>
        <v>45400.489558463523</v>
      </c>
      <c r="Y142" s="3"/>
      <c r="Z142" s="18"/>
      <c r="AA142" s="18"/>
      <c r="AB142" s="3">
        <f>IF(B142=1,'Input sheet(dashboard)'!$D$18*Calculations!X142,IF(Calculations!B142=12*'Input sheet(dashboard)'!$D$27,'Input sheet(dashboard)'!$D$18*-Calculations!X142,0))</f>
        <v>0</v>
      </c>
      <c r="AC142" s="3">
        <f>IF(B142&lt;='Input sheet(dashboard)'!$D$27*12,IF(MOD(B141,'Input sheet(dashboard)'!$D$19*12),0,'Input sheet(dashboard)'!$D$20*(1+'Input sheet(dashboard)'!$E$22)^Calculations!B142),0)</f>
        <v>0</v>
      </c>
      <c r="AD142" s="17">
        <f t="shared" si="21"/>
        <v>45400.489558463523</v>
      </c>
      <c r="AE142" s="17">
        <f>IF(B142&lt;='Input sheet(dashboard)'!$D$27*12,IF(D142=12,SUM(AD131:AD142),0),0)</f>
        <v>0</v>
      </c>
      <c r="AF142" s="17">
        <f t="shared" si="22"/>
        <v>16538.909944849518</v>
      </c>
      <c r="AG142" s="17">
        <f t="shared" si="23"/>
        <v>16538.909944849518</v>
      </c>
      <c r="AH142" s="3">
        <f>IF(B142&lt;='Input sheet(dashboard)'!$D$27*12,AH141*(1+'Input sheet(dashboard)'!$E$25)+AG142," ")</f>
        <v>7513941.6956738494</v>
      </c>
    </row>
    <row r="143" spans="2:34">
      <c r="B143">
        <f t="shared" si="18"/>
        <v>140</v>
      </c>
      <c r="C143">
        <f t="shared" si="16"/>
        <v>12</v>
      </c>
      <c r="D143">
        <f t="shared" si="17"/>
        <v>8</v>
      </c>
      <c r="E143" s="15">
        <f>IF(C143&lt;='Input sheet(dashboard)'!$D$6, -PMT('Input sheet(dashboard)'!$E$5,'Input sheet(dashboard)'!$D$6*12,'Input sheet(dashboard)'!$D$3*'Input sheet(dashboard)'!$D$4),0)</f>
        <v>39834.137922259193</v>
      </c>
      <c r="F143" s="3">
        <f>I142*'Input sheet(dashboard)'!$E$5</f>
        <v>21999.709570250194</v>
      </c>
      <c r="G143" s="3">
        <f>IF(C143&lt;='Input sheet(dashboard)'!$D$6,E143*'Input sheet(dashboard)'!$D$7,0)</f>
        <v>3186.7310337807357</v>
      </c>
      <c r="H143" s="3">
        <f t="shared" si="19"/>
        <v>17834.428352008999</v>
      </c>
      <c r="I143" s="3">
        <f t="shared" si="20"/>
        <v>6021415.1035008952</v>
      </c>
      <c r="J143" s="3">
        <f>IF(B143&lt;='Input sheet(dashboard)'!$D$27*12,'Input sheet(dashboard)'!$D$3*(1+'Input sheet(dashboard)'!$E$24)^B143,0)</f>
        <v>15669680.03794058</v>
      </c>
      <c r="K143" s="3">
        <f>IF(B143&lt;='Input sheet(dashboard)'!$D$27*12,J143*'Input sheet(dashboard)'!$E$8,0)</f>
        <v>16229.808650895367</v>
      </c>
      <c r="L143" s="3">
        <f>IF(B143&lt;='Input sheet(dashboard)'!$D$27*12,'Input sheet(dashboard)'!$D$9*(1+'Input sheet(dashboard)'!$E$22)^B143,0)</f>
        <v>4001.5939485764789</v>
      </c>
      <c r="M143" s="3">
        <f>IF(B143=1,'Input sheet(dashboard)'!$D$3*'Input sheet(dashboard)'!$D$10,0)</f>
        <v>0</v>
      </c>
      <c r="N143" s="3">
        <f>IF(B143='Input sheet(dashboard)'!$D$27*12,J143*'Input sheet(dashboard)'!$D$11,0)</f>
        <v>0</v>
      </c>
      <c r="O143" s="3">
        <f>IF(SUM(F143:F154)&gt;=150000,150000/12*'Input sheet(dashboard)'!$D$28,SUM(F143:F154)/12*'Input sheet(dashboard)'!$D$28)</f>
        <v>1875</v>
      </c>
      <c r="P143" s="3">
        <f t="shared" ref="P143:P206" si="24">IF(D143=12,IF(SUM(F132:F144)&gt;=150000,150000*0.15,SUM(F132:F144)*0.15),0)</f>
        <v>0</v>
      </c>
      <c r="Q143" s="3">
        <f>IF(B143&lt;='Input sheet(dashboard)'!$D$27*12,'Input sheet(dashboard)'!$D$12/12,0)</f>
        <v>192.5</v>
      </c>
      <c r="R143" s="3">
        <f>IF(B143&lt;='Input sheet(dashboard)'!$D$27*12,('Input sheet(dashboard)'!$D$15/12)*(1+'Input sheet(dashboard)'!$E$22)^Calculations!B143,0)</f>
        <v>444.62154984183093</v>
      </c>
      <c r="S143" s="3">
        <f>IF(B143&lt;='Input sheet(dashboard)'!$D$27*12,(E143+G143+K143+L143-O143+M143+Q143+R143),0)</f>
        <v>62014.3931053536</v>
      </c>
      <c r="T143" s="3">
        <f>IF(B143&lt;='Input sheet(dashboard)'!$D$27*12,IF(D143=12,SUM(S132:S143),0),0)</f>
        <v>0</v>
      </c>
      <c r="U143" s="3">
        <f>IF(B143&lt;='Input sheet(dashboard)'!$D$27*12,IF(S143&lt;AD143,AD143-S143,0),0)</f>
        <v>0</v>
      </c>
      <c r="V143" s="3">
        <f>IF(B143&lt;='Input sheet(dashboard)'!$D$27*12,V142*(1+'Input sheet(dashboard)'!$E$25)+U143,0)</f>
        <v>0</v>
      </c>
      <c r="W143" s="17">
        <f>IF(B143&lt;='Input sheet(dashboard)'!$D$27*12,J143-I143+V143-N143,0)</f>
        <v>9648264.9344396852</v>
      </c>
      <c r="X143" s="3">
        <f>IF(B143&lt;='Input sheet(dashboard)'!$D$27*12,'Input sheet(dashboard)'!$D$17*(1+'Input sheet(dashboard)'!$E$23)^(B143-1),0)</f>
        <v>45585.45677276294</v>
      </c>
      <c r="Y143" s="3"/>
      <c r="Z143" s="18"/>
      <c r="AA143" s="18"/>
      <c r="AB143" s="3">
        <f>IF(B143=1,'Input sheet(dashboard)'!$D$18*Calculations!X143,IF(Calculations!B143=12*'Input sheet(dashboard)'!$D$27,'Input sheet(dashboard)'!$D$18*-Calculations!X143,0))</f>
        <v>0</v>
      </c>
      <c r="AC143" s="3">
        <f>IF(B143&lt;='Input sheet(dashboard)'!$D$27*12,IF(MOD(B142,'Input sheet(dashboard)'!$D$19*12),0,'Input sheet(dashboard)'!$D$20*(1+'Input sheet(dashboard)'!$E$22)^Calculations!B143),0)</f>
        <v>0</v>
      </c>
      <c r="AD143" s="17">
        <f t="shared" si="21"/>
        <v>45585.45677276294</v>
      </c>
      <c r="AE143" s="17">
        <f>IF(B143&lt;='Input sheet(dashboard)'!$D$27*12,IF(D143=12,SUM(AD132:AD143),0),0)</f>
        <v>0</v>
      </c>
      <c r="AF143" s="17">
        <f t="shared" si="22"/>
        <v>16428.93633259066</v>
      </c>
      <c r="AG143" s="17">
        <f t="shared" si="23"/>
        <v>16428.93633259066</v>
      </c>
      <c r="AH143" s="3">
        <f>IF(B143&lt;='Input sheet(dashboard)'!$D$27*12,AH142*(1+'Input sheet(dashboard)'!$E$25)+AG143," ")</f>
        <v>7578715.5591212157</v>
      </c>
    </row>
    <row r="144" spans="2:34">
      <c r="B144">
        <f t="shared" si="18"/>
        <v>141</v>
      </c>
      <c r="C144">
        <f t="shared" ref="C144:C207" si="25">C132+1</f>
        <v>12</v>
      </c>
      <c r="D144">
        <f t="shared" ref="D144:D207" si="26">D132</f>
        <v>9</v>
      </c>
      <c r="E144" s="15">
        <f>IF(C144&lt;='Input sheet(dashboard)'!$D$6, -PMT('Input sheet(dashboard)'!$E$5,'Input sheet(dashboard)'!$D$6*12,'Input sheet(dashboard)'!$D$3*'Input sheet(dashboard)'!$D$4),0)</f>
        <v>39834.137922259193</v>
      </c>
      <c r="F144" s="3">
        <f>I143*'Input sheet(dashboard)'!$E$5</f>
        <v>21934.742517303261</v>
      </c>
      <c r="G144" s="3">
        <f>IF(C144&lt;='Input sheet(dashboard)'!$D$6,E144*'Input sheet(dashboard)'!$D$7,0)</f>
        <v>3186.7310337807357</v>
      </c>
      <c r="H144" s="3">
        <f t="shared" si="19"/>
        <v>17899.395404955932</v>
      </c>
      <c r="I144" s="3">
        <f t="shared" si="20"/>
        <v>6003515.7080959389</v>
      </c>
      <c r="J144" s="3">
        <f>IF(B144&lt;='Input sheet(dashboard)'!$D$27*12,'Input sheet(dashboard)'!$D$3*(1+'Input sheet(dashboard)'!$E$24)^B144,0)</f>
        <v>15733520.254065314</v>
      </c>
      <c r="K144" s="3">
        <f>IF(B144&lt;='Input sheet(dashboard)'!$D$27*12,J144*'Input sheet(dashboard)'!$E$8,0)</f>
        <v>16295.930900324041</v>
      </c>
      <c r="L144" s="3">
        <f>IF(B144&lt;='Input sheet(dashboard)'!$D$27*12,'Input sheet(dashboard)'!$D$9*(1+'Input sheet(dashboard)'!$E$22)^B144,0)</f>
        <v>4009.8365769289389</v>
      </c>
      <c r="M144" s="3">
        <f>IF(B144=1,'Input sheet(dashboard)'!$D$3*'Input sheet(dashboard)'!$D$10,0)</f>
        <v>0</v>
      </c>
      <c r="N144" s="3">
        <f>IF(B144='Input sheet(dashboard)'!$D$27*12,J144*'Input sheet(dashboard)'!$D$11,0)</f>
        <v>0</v>
      </c>
      <c r="O144" s="3">
        <f>IF(SUM(F144:F155)&gt;=150000,150000/12*'Input sheet(dashboard)'!$D$28,SUM(F144:F155)/12*'Input sheet(dashboard)'!$D$28)</f>
        <v>1875</v>
      </c>
      <c r="P144" s="3">
        <f t="shared" si="24"/>
        <v>0</v>
      </c>
      <c r="Q144" s="3">
        <f>IF(B144&lt;='Input sheet(dashboard)'!$D$27*12,'Input sheet(dashboard)'!$D$12/12,0)</f>
        <v>192.5</v>
      </c>
      <c r="R144" s="3">
        <f>IF(B144&lt;='Input sheet(dashboard)'!$D$27*12,('Input sheet(dashboard)'!$D$15/12)*(1+'Input sheet(dashboard)'!$E$22)^Calculations!B144,0)</f>
        <v>445.53739743654876</v>
      </c>
      <c r="S144" s="3">
        <f>IF(B144&lt;='Input sheet(dashboard)'!$D$27*12,(E144+G144+K144+L144-O144+M144+Q144+R144),0)</f>
        <v>62089.673830729458</v>
      </c>
      <c r="T144" s="3">
        <f>IF(B144&lt;='Input sheet(dashboard)'!$D$27*12,IF(D144=12,SUM(S133:S144),0),0)</f>
        <v>0</v>
      </c>
      <c r="U144" s="3">
        <f>IF(B144&lt;='Input sheet(dashboard)'!$D$27*12,IF(S144&lt;AD144,AD144-S144,0),0)</f>
        <v>0</v>
      </c>
      <c r="V144" s="3">
        <f>IF(B144&lt;='Input sheet(dashboard)'!$D$27*12,V143*(1+'Input sheet(dashboard)'!$E$25)+U144,0)</f>
        <v>0</v>
      </c>
      <c r="W144" s="17">
        <f>IF(B144&lt;='Input sheet(dashboard)'!$D$27*12,J144-I144+V144-N144,0)</f>
        <v>9730004.5459693745</v>
      </c>
      <c r="X144" s="3">
        <f>IF(B144&lt;='Input sheet(dashboard)'!$D$27*12,'Input sheet(dashboard)'!$D$17*(1+'Input sheet(dashboard)'!$E$23)^(B144-1),0)</f>
        <v>45771.177566389328</v>
      </c>
      <c r="Y144" s="3"/>
      <c r="Z144" s="18"/>
      <c r="AA144" s="18"/>
      <c r="AB144" s="3">
        <f>IF(B144=1,'Input sheet(dashboard)'!$D$18*Calculations!X144,IF(Calculations!B144=12*'Input sheet(dashboard)'!$D$27,'Input sheet(dashboard)'!$D$18*-Calculations!X144,0))</f>
        <v>0</v>
      </c>
      <c r="AC144" s="3">
        <f>IF(B144&lt;='Input sheet(dashboard)'!$D$27*12,IF(MOD(B143,'Input sheet(dashboard)'!$D$19*12),0,'Input sheet(dashboard)'!$D$20*(1+'Input sheet(dashboard)'!$E$22)^Calculations!B144),0)</f>
        <v>0</v>
      </c>
      <c r="AD144" s="17">
        <f t="shared" si="21"/>
        <v>45771.177566389328</v>
      </c>
      <c r="AE144" s="17">
        <f>IF(B144&lt;='Input sheet(dashboard)'!$D$27*12,IF(D144=12,SUM(AD133:AD144),0),0)</f>
        <v>0</v>
      </c>
      <c r="AF144" s="17">
        <f t="shared" si="22"/>
        <v>16318.49626434013</v>
      </c>
      <c r="AG144" s="17">
        <f t="shared" si="23"/>
        <v>16318.49626434013</v>
      </c>
      <c r="AH144" s="3">
        <f>IF(B144&lt;='Input sheet(dashboard)'!$D$27*12,AH143*(1+'Input sheet(dashboard)'!$E$25)+AG144," ")</f>
        <v>7643795.7394880932</v>
      </c>
    </row>
    <row r="145" spans="2:34">
      <c r="B145">
        <f t="shared" si="18"/>
        <v>142</v>
      </c>
      <c r="C145">
        <f t="shared" si="25"/>
        <v>12</v>
      </c>
      <c r="D145">
        <f t="shared" si="26"/>
        <v>10</v>
      </c>
      <c r="E145" s="15">
        <f>IF(C145&lt;='Input sheet(dashboard)'!$D$6, -PMT('Input sheet(dashboard)'!$E$5,'Input sheet(dashboard)'!$D$6*12,'Input sheet(dashboard)'!$D$3*'Input sheet(dashboard)'!$D$4),0)</f>
        <v>39834.137922259193</v>
      </c>
      <c r="F145" s="3">
        <f>I144*'Input sheet(dashboard)'!$E$5</f>
        <v>21869.538803114076</v>
      </c>
      <c r="G145" s="3">
        <f>IF(C145&lt;='Input sheet(dashboard)'!$D$6,E145*'Input sheet(dashboard)'!$D$7,0)</f>
        <v>3186.7310337807357</v>
      </c>
      <c r="H145" s="3">
        <f t="shared" si="19"/>
        <v>17964.599119145118</v>
      </c>
      <c r="I145" s="3">
        <f t="shared" si="20"/>
        <v>5985551.1089767935</v>
      </c>
      <c r="J145" s="3">
        <f>IF(B145&lt;='Input sheet(dashboard)'!$D$27*12,'Input sheet(dashboard)'!$D$3*(1+'Input sheet(dashboard)'!$E$24)^B145,0)</f>
        <v>15797620.563132916</v>
      </c>
      <c r="K145" s="3">
        <f>IF(B145&lt;='Input sheet(dashboard)'!$D$27*12,J145*'Input sheet(dashboard)'!$E$8,0)</f>
        <v>16362.322539981742</v>
      </c>
      <c r="L145" s="3">
        <f>IF(B145&lt;='Input sheet(dashboard)'!$D$27*12,'Input sheet(dashboard)'!$D$9*(1+'Input sheet(dashboard)'!$E$22)^B145,0)</f>
        <v>4018.0961837462396</v>
      </c>
      <c r="M145" s="3">
        <f>IF(B145=1,'Input sheet(dashboard)'!$D$3*'Input sheet(dashboard)'!$D$10,0)</f>
        <v>0</v>
      </c>
      <c r="N145" s="3">
        <f>IF(B145='Input sheet(dashboard)'!$D$27*12,J145*'Input sheet(dashboard)'!$D$11,0)</f>
        <v>0</v>
      </c>
      <c r="O145" s="3">
        <f>IF(SUM(F145:F156)&gt;=150000,150000/12*'Input sheet(dashboard)'!$D$28,SUM(F145:F156)/12*'Input sheet(dashboard)'!$D$28)</f>
        <v>1875</v>
      </c>
      <c r="P145" s="3">
        <f t="shared" si="24"/>
        <v>0</v>
      </c>
      <c r="Q145" s="3">
        <f>IF(B145&lt;='Input sheet(dashboard)'!$D$27*12,'Input sheet(dashboard)'!$D$12/12,0)</f>
        <v>192.5</v>
      </c>
      <c r="R145" s="3">
        <f>IF(B145&lt;='Input sheet(dashboard)'!$D$27*12,('Input sheet(dashboard)'!$D$15/12)*(1+'Input sheet(dashboard)'!$E$22)^Calculations!B145,0)</f>
        <v>446.45513152735992</v>
      </c>
      <c r="S145" s="3">
        <f>IF(B145&lt;='Input sheet(dashboard)'!$D$27*12,(E145+G145+K145+L145-O145+M145+Q145+R145),0)</f>
        <v>62165.242811295262</v>
      </c>
      <c r="T145" s="3">
        <f>IF(B145&lt;='Input sheet(dashboard)'!$D$27*12,IF(D145=12,SUM(S134:S145),0),0)</f>
        <v>0</v>
      </c>
      <c r="U145" s="3">
        <f>IF(B145&lt;='Input sheet(dashboard)'!$D$27*12,IF(S145&lt;AD145,AD145-S145,0),0)</f>
        <v>0</v>
      </c>
      <c r="V145" s="3">
        <f>IF(B145&lt;='Input sheet(dashboard)'!$D$27*12,V144*(1+'Input sheet(dashboard)'!$E$25)+U145,0)</f>
        <v>0</v>
      </c>
      <c r="W145" s="17">
        <f>IF(B145&lt;='Input sheet(dashboard)'!$D$27*12,J145-I145+V145-N145,0)</f>
        <v>9812069.4541561231</v>
      </c>
      <c r="X145" s="3">
        <f>IF(B145&lt;='Input sheet(dashboard)'!$D$27*12,'Input sheet(dashboard)'!$D$17*(1+'Input sheet(dashboard)'!$E$23)^(B145-1),0)</f>
        <v>45957.655009518145</v>
      </c>
      <c r="Y145" s="3"/>
      <c r="Z145" s="18"/>
      <c r="AA145" s="18"/>
      <c r="AB145" s="3">
        <f>IF(B145=1,'Input sheet(dashboard)'!$D$18*Calculations!X145,IF(Calculations!B145=12*'Input sheet(dashboard)'!$D$27,'Input sheet(dashboard)'!$D$18*-Calculations!X145,0))</f>
        <v>0</v>
      </c>
      <c r="AC145" s="3">
        <f>IF(B145&lt;='Input sheet(dashboard)'!$D$27*12,IF(MOD(B144,'Input sheet(dashboard)'!$D$19*12),0,'Input sheet(dashboard)'!$D$20*(1+'Input sheet(dashboard)'!$E$22)^Calculations!B145),0)</f>
        <v>0</v>
      </c>
      <c r="AD145" s="17">
        <f t="shared" si="21"/>
        <v>45957.655009518145</v>
      </c>
      <c r="AE145" s="17">
        <f>IF(B145&lt;='Input sheet(dashboard)'!$D$27*12,IF(D145=12,SUM(AD134:AD145),0),0)</f>
        <v>0</v>
      </c>
      <c r="AF145" s="17">
        <f t="shared" si="22"/>
        <v>16207.587801777117</v>
      </c>
      <c r="AG145" s="17">
        <f t="shared" si="23"/>
        <v>16207.587801777117</v>
      </c>
      <c r="AH145" s="3">
        <f>IF(B145&lt;='Input sheet(dashboard)'!$D$27*12,AH144*(1+'Input sheet(dashboard)'!$E$25)+AG145," ")</f>
        <v>7709183.7392324526</v>
      </c>
    </row>
    <row r="146" spans="2:34">
      <c r="B146">
        <f t="shared" si="18"/>
        <v>143</v>
      </c>
      <c r="C146">
        <f t="shared" si="25"/>
        <v>12</v>
      </c>
      <c r="D146">
        <f t="shared" si="26"/>
        <v>11</v>
      </c>
      <c r="E146" s="15">
        <f>IF(C146&lt;='Input sheet(dashboard)'!$D$6, -PMT('Input sheet(dashboard)'!$E$5,'Input sheet(dashboard)'!$D$6*12,'Input sheet(dashboard)'!$D$3*'Input sheet(dashboard)'!$D$4),0)</f>
        <v>39834.137922259193</v>
      </c>
      <c r="F146" s="3">
        <f>I145*'Input sheet(dashboard)'!$E$5</f>
        <v>21804.097565575757</v>
      </c>
      <c r="G146" s="3">
        <f>IF(C146&lt;='Input sheet(dashboard)'!$D$6,E146*'Input sheet(dashboard)'!$D$7,0)</f>
        <v>3186.7310337807357</v>
      </c>
      <c r="H146" s="3">
        <f t="shared" si="19"/>
        <v>18030.040356683436</v>
      </c>
      <c r="I146" s="3">
        <f t="shared" si="20"/>
        <v>5967521.0686201099</v>
      </c>
      <c r="J146" s="3">
        <f>IF(B146&lt;='Input sheet(dashboard)'!$D$27*12,'Input sheet(dashboard)'!$D$3*(1+'Input sheet(dashboard)'!$E$24)^B146,0)</f>
        <v>15861982.024794228</v>
      </c>
      <c r="K146" s="3">
        <f>IF(B146&lt;='Input sheet(dashboard)'!$D$27*12,J146*'Input sheet(dashboard)'!$E$8,0)</f>
        <v>16428.98466739761</v>
      </c>
      <c r="L146" s="3">
        <f>IF(B146&lt;='Input sheet(dashboard)'!$D$27*12,'Input sheet(dashboard)'!$D$9*(1+'Input sheet(dashboard)'!$E$22)^B146,0)</f>
        <v>4026.372804001237</v>
      </c>
      <c r="M146" s="3">
        <f>IF(B146=1,'Input sheet(dashboard)'!$D$3*'Input sheet(dashboard)'!$D$10,0)</f>
        <v>0</v>
      </c>
      <c r="N146" s="3">
        <f>IF(B146='Input sheet(dashboard)'!$D$27*12,J146*'Input sheet(dashboard)'!$D$11,0)</f>
        <v>0</v>
      </c>
      <c r="O146" s="3">
        <f>IF(SUM(F146:F157)&gt;=150000,150000/12*'Input sheet(dashboard)'!$D$28,SUM(F146:F157)/12*'Input sheet(dashboard)'!$D$28)</f>
        <v>1875</v>
      </c>
      <c r="P146" s="3">
        <f t="shared" si="24"/>
        <v>0</v>
      </c>
      <c r="Q146" s="3">
        <f>IF(B146&lt;='Input sheet(dashboard)'!$D$27*12,'Input sheet(dashboard)'!$D$12/12,0)</f>
        <v>192.5</v>
      </c>
      <c r="R146" s="3">
        <f>IF(B146&lt;='Input sheet(dashboard)'!$D$27*12,('Input sheet(dashboard)'!$D$15/12)*(1+'Input sheet(dashboard)'!$E$22)^Calculations!B146,0)</f>
        <v>447.37475600013744</v>
      </c>
      <c r="S146" s="3">
        <f>IF(B146&lt;='Input sheet(dashboard)'!$D$27*12,(E146+G146+K146+L146-O146+M146+Q146+R146),0)</f>
        <v>62241.101183438906</v>
      </c>
      <c r="T146" s="3">
        <f>IF(B146&lt;='Input sheet(dashboard)'!$D$27*12,IF(D146=12,SUM(S135:S146),0),0)</f>
        <v>0</v>
      </c>
      <c r="U146" s="3">
        <f>IF(B146&lt;='Input sheet(dashboard)'!$D$27*12,IF(S146&lt;AD146,AD146-S146,0),0)</f>
        <v>0</v>
      </c>
      <c r="V146" s="3">
        <f>IF(B146&lt;='Input sheet(dashboard)'!$D$27*12,V145*(1+'Input sheet(dashboard)'!$E$25)+U146,0)</f>
        <v>0</v>
      </c>
      <c r="W146" s="17">
        <f>IF(B146&lt;='Input sheet(dashboard)'!$D$27*12,J146-I146+V146-N146,0)</f>
        <v>9894460.9561741184</v>
      </c>
      <c r="X146" s="3">
        <f>IF(B146&lt;='Input sheet(dashboard)'!$D$27*12,'Input sheet(dashboard)'!$D$17*(1+'Input sheet(dashboard)'!$E$23)^(B146-1),0)</f>
        <v>46144.89218483313</v>
      </c>
      <c r="Y146" s="3"/>
      <c r="Z146" s="18"/>
      <c r="AA146" s="18"/>
      <c r="AB146" s="3">
        <f>IF(B146=1,'Input sheet(dashboard)'!$D$18*Calculations!X146,IF(Calculations!B146=12*'Input sheet(dashboard)'!$D$27,'Input sheet(dashboard)'!$D$18*-Calculations!X146,0))</f>
        <v>0</v>
      </c>
      <c r="AC146" s="3">
        <f>IF(B146&lt;='Input sheet(dashboard)'!$D$27*12,IF(MOD(B145,'Input sheet(dashboard)'!$D$19*12),0,'Input sheet(dashboard)'!$D$20*(1+'Input sheet(dashboard)'!$E$22)^Calculations!B146),0)</f>
        <v>0</v>
      </c>
      <c r="AD146" s="17">
        <f t="shared" si="21"/>
        <v>46144.89218483313</v>
      </c>
      <c r="AE146" s="17">
        <f>IF(B146&lt;='Input sheet(dashboard)'!$D$27*12,IF(D146=12,SUM(AD135:AD146),0),0)</f>
        <v>0</v>
      </c>
      <c r="AF146" s="17">
        <f t="shared" si="22"/>
        <v>16096.208998605776</v>
      </c>
      <c r="AG146" s="17">
        <f t="shared" si="23"/>
        <v>16096.208998605776</v>
      </c>
      <c r="AH146" s="3">
        <f>IF(B146&lt;='Input sheet(dashboard)'!$D$27*12,AH145*(1+'Input sheet(dashboard)'!$E$25)+AG146," ")</f>
        <v>7774881.0685328282</v>
      </c>
    </row>
    <row r="147" spans="2:34">
      <c r="B147">
        <f t="shared" si="18"/>
        <v>144</v>
      </c>
      <c r="C147">
        <f t="shared" si="25"/>
        <v>12</v>
      </c>
      <c r="D147">
        <f t="shared" si="26"/>
        <v>12</v>
      </c>
      <c r="E147" s="15">
        <f>IF(C147&lt;='Input sheet(dashboard)'!$D$6, -PMT('Input sheet(dashboard)'!$E$5,'Input sheet(dashboard)'!$D$6*12,'Input sheet(dashboard)'!$D$3*'Input sheet(dashboard)'!$D$4),0)</f>
        <v>39834.137922259193</v>
      </c>
      <c r="F147" s="3">
        <f>I146*'Input sheet(dashboard)'!$E$5</f>
        <v>21738.417939440944</v>
      </c>
      <c r="G147" s="3">
        <f>IF(C147&lt;='Input sheet(dashboard)'!$D$6,E147*'Input sheet(dashboard)'!$D$7,0)</f>
        <v>3186.7310337807357</v>
      </c>
      <c r="H147" s="3">
        <f t="shared" si="19"/>
        <v>18095.719982818249</v>
      </c>
      <c r="I147" s="3">
        <f t="shared" si="20"/>
        <v>5949425.3486372912</v>
      </c>
      <c r="J147" s="3">
        <f>IF(B147&lt;='Input sheet(dashboard)'!$D$27*12,'Input sheet(dashboard)'!$D$3*(1+'Input sheet(dashboard)'!$E$24)^B147,0)</f>
        <v>15926605.703017246</v>
      </c>
      <c r="K147" s="3">
        <f>IF(B147&lt;='Input sheet(dashboard)'!$D$27*12,J147*'Input sheet(dashboard)'!$E$8,0)</f>
        <v>16495.918384572247</v>
      </c>
      <c r="L147" s="3">
        <f>IF(B147&lt;='Input sheet(dashboard)'!$D$27*12,'Input sheet(dashboard)'!$D$9*(1+'Input sheet(dashboard)'!$E$22)^B147,0)</f>
        <v>4034.6664727388275</v>
      </c>
      <c r="M147" s="3">
        <f>IF(B147=1,'Input sheet(dashboard)'!$D$3*'Input sheet(dashboard)'!$D$10,0)</f>
        <v>0</v>
      </c>
      <c r="N147" s="3">
        <f>IF(B147='Input sheet(dashboard)'!$D$27*12,J147*'Input sheet(dashboard)'!$D$11,0)</f>
        <v>0</v>
      </c>
      <c r="O147" s="3">
        <f>IF(SUM(F147:F158)&gt;=150000,150000/12*'Input sheet(dashboard)'!$D$28,SUM(F147:F158)/12*'Input sheet(dashboard)'!$D$28)</f>
        <v>1875</v>
      </c>
      <c r="P147" s="3">
        <f t="shared" si="24"/>
        <v>22500</v>
      </c>
      <c r="Q147" s="3">
        <f>IF(B147&lt;='Input sheet(dashboard)'!$D$27*12,'Input sheet(dashboard)'!$D$12/12,0)</f>
        <v>192.5</v>
      </c>
      <c r="R147" s="3">
        <f>IF(B147&lt;='Input sheet(dashboard)'!$D$27*12,('Input sheet(dashboard)'!$D$15/12)*(1+'Input sheet(dashboard)'!$E$22)^Calculations!B147,0)</f>
        <v>448.29627474875855</v>
      </c>
      <c r="S147" s="3">
        <f>IF(B147&lt;='Input sheet(dashboard)'!$D$27*12,(E147+G147+K147+L147-O147+M147+Q147+R147),0)</f>
        <v>62317.250088099769</v>
      </c>
      <c r="T147" s="3">
        <f>IF(B147&lt;='Input sheet(dashboard)'!$D$27*12,IF(D147=12,SUM(S136:S147),0),0)</f>
        <v>742844.52932631259</v>
      </c>
      <c r="U147" s="3">
        <f>IF(B147&lt;='Input sheet(dashboard)'!$D$27*12,IF(S147&lt;AD147,AD147-S147,0),0)</f>
        <v>0</v>
      </c>
      <c r="V147" s="3">
        <f>IF(B147&lt;='Input sheet(dashboard)'!$D$27*12,V146*(1+'Input sheet(dashboard)'!$E$25)+U147,0)</f>
        <v>0</v>
      </c>
      <c r="W147" s="17">
        <f>IF(B147&lt;='Input sheet(dashboard)'!$D$27*12,J147-I147+V147-N147,0)</f>
        <v>9977180.3543799557</v>
      </c>
      <c r="X147" s="3">
        <f>IF(B147&lt;='Input sheet(dashboard)'!$D$27*12,'Input sheet(dashboard)'!$D$17*(1+'Input sheet(dashboard)'!$E$23)^(B147-1),0)</f>
        <v>46332.89218757725</v>
      </c>
      <c r="Y147" s="3"/>
      <c r="Z147" s="18"/>
      <c r="AA147" s="18"/>
      <c r="AB147" s="3">
        <f>IF(B147=1,'Input sheet(dashboard)'!$D$18*Calculations!X147,IF(Calculations!B147=12*'Input sheet(dashboard)'!$D$27,'Input sheet(dashboard)'!$D$18*-Calculations!X147,0))</f>
        <v>0</v>
      </c>
      <c r="AC147" s="3">
        <f>IF(B147&lt;='Input sheet(dashboard)'!$D$27*12,IF(MOD(B146,'Input sheet(dashboard)'!$D$19*12),0,'Input sheet(dashboard)'!$D$20*(1+'Input sheet(dashboard)'!$E$22)^Calculations!B147),0)</f>
        <v>0</v>
      </c>
      <c r="AD147" s="17">
        <f t="shared" si="21"/>
        <v>46332.89218757725</v>
      </c>
      <c r="AE147" s="17">
        <f>IF(B147&lt;='Input sheet(dashboard)'!$D$27*12,IF(D147=12,SUM(AD136:AD147),0),0)</f>
        <v>543753.00585894519</v>
      </c>
      <c r="AF147" s="17">
        <f t="shared" si="22"/>
        <v>15984.357900522518</v>
      </c>
      <c r="AG147" s="17">
        <f t="shared" si="23"/>
        <v>15984.357900522518</v>
      </c>
      <c r="AH147" s="3">
        <f>IF(B147&lt;='Input sheet(dashboard)'!$D$27*12,AH146*(1+'Input sheet(dashboard)'!$E$25)+AG147," ")</f>
        <v>7840889.2453299863</v>
      </c>
    </row>
    <row r="148" spans="2:34">
      <c r="B148">
        <f t="shared" si="18"/>
        <v>145</v>
      </c>
      <c r="C148">
        <f t="shared" si="25"/>
        <v>13</v>
      </c>
      <c r="D148">
        <f t="shared" si="26"/>
        <v>1</v>
      </c>
      <c r="E148" s="15">
        <f>IF(C148&lt;='Input sheet(dashboard)'!$D$6, -PMT('Input sheet(dashboard)'!$E$5,'Input sheet(dashboard)'!$D$6*12,'Input sheet(dashboard)'!$D$3*'Input sheet(dashboard)'!$D$4),0)</f>
        <v>39834.137922259193</v>
      </c>
      <c r="F148" s="3">
        <f>I147*'Input sheet(dashboard)'!$E$5</f>
        <v>21672.499056310371</v>
      </c>
      <c r="G148" s="3">
        <f>IF(C148&lt;='Input sheet(dashboard)'!$D$6,E148*'Input sheet(dashboard)'!$D$7,0)</f>
        <v>3186.7310337807357</v>
      </c>
      <c r="H148" s="3">
        <f t="shared" si="19"/>
        <v>18161.638865948822</v>
      </c>
      <c r="I148" s="3">
        <f t="shared" si="20"/>
        <v>5931263.7097713426</v>
      </c>
      <c r="J148" s="3">
        <f>IF(B148&lt;='Input sheet(dashboard)'!$D$27*12,'Input sheet(dashboard)'!$D$3*(1+'Input sheet(dashboard)'!$E$24)^B148,0)</f>
        <v>15991492.666104697</v>
      </c>
      <c r="K148" s="3">
        <f>IF(B148&lt;='Input sheet(dashboard)'!$D$27*12,J148*'Input sheet(dashboard)'!$E$8,0)</f>
        <v>16563.124797995955</v>
      </c>
      <c r="L148" s="3">
        <f>IF(B148&lt;='Input sheet(dashboard)'!$D$27*12,'Input sheet(dashboard)'!$D$9*(1+'Input sheet(dashboard)'!$E$22)^B148,0)</f>
        <v>4042.9772250760934</v>
      </c>
      <c r="M148" s="3">
        <f>IF(B148=1,'Input sheet(dashboard)'!$D$3*'Input sheet(dashboard)'!$D$10,0)</f>
        <v>0</v>
      </c>
      <c r="N148" s="3">
        <f>IF(B148='Input sheet(dashboard)'!$D$27*12,J148*'Input sheet(dashboard)'!$D$11,0)</f>
        <v>0</v>
      </c>
      <c r="O148" s="3">
        <f>IF(SUM(F148:F159)&gt;=150000,150000/12*'Input sheet(dashboard)'!$D$28,SUM(F148:F159)/12*'Input sheet(dashboard)'!$D$28)</f>
        <v>1875</v>
      </c>
      <c r="P148" s="3">
        <f t="shared" si="24"/>
        <v>0</v>
      </c>
      <c r="Q148" s="3">
        <f>IF(B148&lt;='Input sheet(dashboard)'!$D$27*12,'Input sheet(dashboard)'!$D$12/12,0)</f>
        <v>192.5</v>
      </c>
      <c r="R148" s="3">
        <f>IF(B148&lt;='Input sheet(dashboard)'!$D$27*12,('Input sheet(dashboard)'!$D$15/12)*(1+'Input sheet(dashboard)'!$E$22)^Calculations!B148,0)</f>
        <v>449.21969167512151</v>
      </c>
      <c r="S148" s="3">
        <f>IF(B148&lt;='Input sheet(dashboard)'!$D$27*12,(E148+G148+K148+L148-O148+M148+Q148+R148),0)</f>
        <v>62393.690670787095</v>
      </c>
      <c r="T148" s="3">
        <f>IF(B148&lt;='Input sheet(dashboard)'!$D$27*12,IF(D148=12,SUM(S137:S148),0),0)</f>
        <v>0</v>
      </c>
      <c r="U148" s="3">
        <f>IF(B148&lt;='Input sheet(dashboard)'!$D$27*12,IF(S148&lt;AD148,AD148-S148,0),0)</f>
        <v>0</v>
      </c>
      <c r="V148" s="3">
        <f>IF(B148&lt;='Input sheet(dashboard)'!$D$27*12,V147*(1+'Input sheet(dashboard)'!$E$25)+U148,0)</f>
        <v>0</v>
      </c>
      <c r="W148" s="17">
        <f>IF(B148&lt;='Input sheet(dashboard)'!$D$27*12,J148-I148+V148-N148,0)</f>
        <v>10060228.956333354</v>
      </c>
      <c r="X148" s="3">
        <f>IF(B148&lt;='Input sheet(dashboard)'!$D$27*12,'Input sheet(dashboard)'!$D$17*(1+'Input sheet(dashboard)'!$E$23)^(B148-1),0)</f>
        <v>46521.658125603877</v>
      </c>
      <c r="Y148" s="3"/>
      <c r="Z148" s="18"/>
      <c r="AA148" s="18"/>
      <c r="AB148" s="3">
        <f>IF(B148=1,'Input sheet(dashboard)'!$D$18*Calculations!X148,IF(Calculations!B148=12*'Input sheet(dashboard)'!$D$27,'Input sheet(dashboard)'!$D$18*-Calculations!X148,0))</f>
        <v>0</v>
      </c>
      <c r="AC148" s="3">
        <f>IF(B148&lt;='Input sheet(dashboard)'!$D$27*12,IF(MOD(B147,'Input sheet(dashboard)'!$D$19*12),0,'Input sheet(dashboard)'!$D$20*(1+'Input sheet(dashboard)'!$E$22)^Calculations!B148),0)</f>
        <v>0</v>
      </c>
      <c r="AD148" s="17">
        <f t="shared" si="21"/>
        <v>46521.658125603877</v>
      </c>
      <c r="AE148" s="17">
        <f>IF(B148&lt;='Input sheet(dashboard)'!$D$27*12,IF(D148=12,SUM(AD137:AD148),0),0)</f>
        <v>0</v>
      </c>
      <c r="AF148" s="17">
        <f t="shared" si="22"/>
        <v>15872.032545183218</v>
      </c>
      <c r="AG148" s="17">
        <f t="shared" si="23"/>
        <v>15872.032545183218</v>
      </c>
      <c r="AH148" s="3">
        <f>IF(B148&lt;='Input sheet(dashboard)'!$D$27*12,AH147*(1+'Input sheet(dashboard)'!$E$25)+AG148," ")</f>
        <v>7907209.7953688242</v>
      </c>
    </row>
    <row r="149" spans="2:34">
      <c r="B149">
        <f t="shared" si="18"/>
        <v>146</v>
      </c>
      <c r="C149">
        <f t="shared" si="25"/>
        <v>13</v>
      </c>
      <c r="D149">
        <f t="shared" si="26"/>
        <v>2</v>
      </c>
      <c r="E149" s="15">
        <f>IF(C149&lt;='Input sheet(dashboard)'!$D$6, -PMT('Input sheet(dashboard)'!$E$5,'Input sheet(dashboard)'!$D$6*12,'Input sheet(dashboard)'!$D$3*'Input sheet(dashboard)'!$D$4),0)</f>
        <v>39834.137922259193</v>
      </c>
      <c r="F149" s="3">
        <f>I148*'Input sheet(dashboard)'!$E$5</f>
        <v>21606.340044621371</v>
      </c>
      <c r="G149" s="3">
        <f>IF(C149&lt;='Input sheet(dashboard)'!$D$6,E149*'Input sheet(dashboard)'!$D$7,0)</f>
        <v>3186.7310337807357</v>
      </c>
      <c r="H149" s="3">
        <f t="shared" si="19"/>
        <v>18227.797877637822</v>
      </c>
      <c r="I149" s="3">
        <f t="shared" si="20"/>
        <v>5913035.9118937049</v>
      </c>
      <c r="J149" s="3">
        <f>IF(B149&lt;='Input sheet(dashboard)'!$D$27*12,'Input sheet(dashboard)'!$D$3*(1+'Input sheet(dashboard)'!$E$24)^B149,0)</f>
        <v>16056643.986711714</v>
      </c>
      <c r="K149" s="3">
        <f>IF(B149&lt;='Input sheet(dashboard)'!$D$27*12,J149*'Input sheet(dashboard)'!$E$8,0)</f>
        <v>16630.605018667007</v>
      </c>
      <c r="L149" s="3">
        <f>IF(B149&lt;='Input sheet(dashboard)'!$D$27*12,'Input sheet(dashboard)'!$D$9*(1+'Input sheet(dashboard)'!$E$22)^B149,0)</f>
        <v>4051.3050962024527</v>
      </c>
      <c r="M149" s="3">
        <f>IF(B149=1,'Input sheet(dashboard)'!$D$3*'Input sheet(dashboard)'!$D$10,0)</f>
        <v>0</v>
      </c>
      <c r="N149" s="3">
        <f>IF(B149='Input sheet(dashboard)'!$D$27*12,J149*'Input sheet(dashboard)'!$D$11,0)</f>
        <v>0</v>
      </c>
      <c r="O149" s="3">
        <f>IF(SUM(F149:F160)&gt;=150000,150000/12*'Input sheet(dashboard)'!$D$28,SUM(F149:F160)/12*'Input sheet(dashboard)'!$D$28)</f>
        <v>1875</v>
      </c>
      <c r="P149" s="3">
        <f t="shared" si="24"/>
        <v>0</v>
      </c>
      <c r="Q149" s="3">
        <f>IF(B149&lt;='Input sheet(dashboard)'!$D$27*12,'Input sheet(dashboard)'!$D$12/12,0)</f>
        <v>192.5</v>
      </c>
      <c r="R149" s="3">
        <f>IF(B149&lt;='Input sheet(dashboard)'!$D$27*12,('Input sheet(dashboard)'!$D$15/12)*(1+'Input sheet(dashboard)'!$E$22)^Calculations!B149,0)</f>
        <v>450.14501068916138</v>
      </c>
      <c r="S149" s="3">
        <f>IF(B149&lt;='Input sheet(dashboard)'!$D$27*12,(E149+G149+K149+L149-O149+M149+Q149+R149),0)</f>
        <v>62470.424081598554</v>
      </c>
      <c r="T149" s="3">
        <f>IF(B149&lt;='Input sheet(dashboard)'!$D$27*12,IF(D149=12,SUM(S138:S149),0),0)</f>
        <v>0</v>
      </c>
      <c r="U149" s="3">
        <f>IF(B149&lt;='Input sheet(dashboard)'!$D$27*12,IF(S149&lt;AD149,AD149-S149,0),0)</f>
        <v>0</v>
      </c>
      <c r="V149" s="3">
        <f>IF(B149&lt;='Input sheet(dashboard)'!$D$27*12,V148*(1+'Input sheet(dashboard)'!$E$25)+U149,0)</f>
        <v>0</v>
      </c>
      <c r="W149" s="17">
        <f>IF(B149&lt;='Input sheet(dashboard)'!$D$27*12,J149-I149+V149-N149,0)</f>
        <v>10143608.07481801</v>
      </c>
      <c r="X149" s="3">
        <f>IF(B149&lt;='Input sheet(dashboard)'!$D$27*12,'Input sheet(dashboard)'!$D$17*(1+'Input sheet(dashboard)'!$E$23)^(B149-1),0)</f>
        <v>46711.193119428157</v>
      </c>
      <c r="Y149" s="3"/>
      <c r="Z149" s="18"/>
      <c r="AA149" s="18"/>
      <c r="AB149" s="3">
        <f>IF(B149=1,'Input sheet(dashboard)'!$D$18*Calculations!X149,IF(Calculations!B149=12*'Input sheet(dashboard)'!$D$27,'Input sheet(dashboard)'!$D$18*-Calculations!X149,0))</f>
        <v>0</v>
      </c>
      <c r="AC149" s="3">
        <f>IF(B149&lt;='Input sheet(dashboard)'!$D$27*12,IF(MOD(B148,'Input sheet(dashboard)'!$D$19*12),0,'Input sheet(dashboard)'!$D$20*(1+'Input sheet(dashboard)'!$E$22)^Calculations!B149),0)</f>
        <v>0</v>
      </c>
      <c r="AD149" s="17">
        <f t="shared" si="21"/>
        <v>46711.193119428157</v>
      </c>
      <c r="AE149" s="17">
        <f>IF(B149&lt;='Input sheet(dashboard)'!$D$27*12,IF(D149=12,SUM(AD138:AD149),0),0)</f>
        <v>0</v>
      </c>
      <c r="AF149" s="17">
        <f t="shared" si="22"/>
        <v>15759.230962170397</v>
      </c>
      <c r="AG149" s="17">
        <f t="shared" si="23"/>
        <v>15759.230962170397</v>
      </c>
      <c r="AH149" s="3">
        <f>IF(B149&lt;='Input sheet(dashboard)'!$D$27*12,AH148*(1+'Input sheet(dashboard)'!$E$25)+AG149," ")</f>
        <v>7973844.2522405116</v>
      </c>
    </row>
    <row r="150" spans="2:34">
      <c r="B150">
        <f t="shared" si="18"/>
        <v>147</v>
      </c>
      <c r="C150">
        <f t="shared" si="25"/>
        <v>13</v>
      </c>
      <c r="D150">
        <f t="shared" si="26"/>
        <v>3</v>
      </c>
      <c r="E150" s="15">
        <f>IF(C150&lt;='Input sheet(dashboard)'!$D$6, -PMT('Input sheet(dashboard)'!$E$5,'Input sheet(dashboard)'!$D$6*12,'Input sheet(dashboard)'!$D$3*'Input sheet(dashboard)'!$D$4),0)</f>
        <v>39834.137922259193</v>
      </c>
      <c r="F150" s="3">
        <f>I149*'Input sheet(dashboard)'!$E$5</f>
        <v>21539.94002963636</v>
      </c>
      <c r="G150" s="3">
        <f>IF(C150&lt;='Input sheet(dashboard)'!$D$6,E150*'Input sheet(dashboard)'!$D$7,0)</f>
        <v>3186.7310337807357</v>
      </c>
      <c r="H150" s="3">
        <f t="shared" si="19"/>
        <v>18294.197892622833</v>
      </c>
      <c r="I150" s="3">
        <f t="shared" si="20"/>
        <v>5894741.7140010819</v>
      </c>
      <c r="J150" s="3">
        <f>IF(B150&lt;='Input sheet(dashboard)'!$D$27*12,'Input sheet(dashboard)'!$D$3*(1+'Input sheet(dashboard)'!$E$24)^B150,0)</f>
        <v>16122060.741863552</v>
      </c>
      <c r="K150" s="3">
        <f>IF(B150&lt;='Input sheet(dashboard)'!$D$27*12,J150*'Input sheet(dashboard)'!$E$8,0)</f>
        <v>16698.360162110024</v>
      </c>
      <c r="L150" s="3">
        <f>IF(B150&lt;='Input sheet(dashboard)'!$D$27*12,'Input sheet(dashboard)'!$D$9*(1+'Input sheet(dashboard)'!$E$22)^B150,0)</f>
        <v>4059.6501213798097</v>
      </c>
      <c r="M150" s="3">
        <f>IF(B150=1,'Input sheet(dashboard)'!$D$3*'Input sheet(dashboard)'!$D$10,0)</f>
        <v>0</v>
      </c>
      <c r="N150" s="3">
        <f>IF(B150='Input sheet(dashboard)'!$D$27*12,J150*'Input sheet(dashboard)'!$D$11,0)</f>
        <v>0</v>
      </c>
      <c r="O150" s="3">
        <f>IF(SUM(F150:F161)&gt;=150000,150000/12*'Input sheet(dashboard)'!$D$28,SUM(F150:F161)/12*'Input sheet(dashboard)'!$D$28)</f>
        <v>1875</v>
      </c>
      <c r="P150" s="3">
        <f t="shared" si="24"/>
        <v>0</v>
      </c>
      <c r="Q150" s="3">
        <f>IF(B150&lt;='Input sheet(dashboard)'!$D$27*12,'Input sheet(dashboard)'!$D$12/12,0)</f>
        <v>192.5</v>
      </c>
      <c r="R150" s="3">
        <f>IF(B150&lt;='Input sheet(dashboard)'!$D$27*12,('Input sheet(dashboard)'!$D$15/12)*(1+'Input sheet(dashboard)'!$E$22)^Calculations!B150,0)</f>
        <v>451.07223570886771</v>
      </c>
      <c r="S150" s="3">
        <f>IF(B150&lt;='Input sheet(dashboard)'!$D$27*12,(E150+G150+K150+L150-O150+M150+Q150+R150),0)</f>
        <v>62547.451475238631</v>
      </c>
      <c r="T150" s="3">
        <f>IF(B150&lt;='Input sheet(dashboard)'!$D$27*12,IF(D150=12,SUM(S139:S150),0),0)</f>
        <v>0</v>
      </c>
      <c r="U150" s="3">
        <f>IF(B150&lt;='Input sheet(dashboard)'!$D$27*12,IF(S150&lt;AD150,AD150-S150,0),0)</f>
        <v>0</v>
      </c>
      <c r="V150" s="3">
        <f>IF(B150&lt;='Input sheet(dashboard)'!$D$27*12,V149*(1+'Input sheet(dashboard)'!$E$25)+U150,0)</f>
        <v>0</v>
      </c>
      <c r="W150" s="17">
        <f>IF(B150&lt;='Input sheet(dashboard)'!$D$27*12,J150-I150+V150-N150,0)</f>
        <v>10227319.027862471</v>
      </c>
      <c r="X150" s="3">
        <f>IF(B150&lt;='Input sheet(dashboard)'!$D$27*12,'Input sheet(dashboard)'!$D$17*(1+'Input sheet(dashboard)'!$E$23)^(B150-1),0)</f>
        <v>46901.500302278619</v>
      </c>
      <c r="Y150" s="3"/>
      <c r="Z150" s="18"/>
      <c r="AA150" s="18"/>
      <c r="AB150" s="3">
        <f>IF(B150=1,'Input sheet(dashboard)'!$D$18*Calculations!X150,IF(Calculations!B150=12*'Input sheet(dashboard)'!$D$27,'Input sheet(dashboard)'!$D$18*-Calculations!X150,0))</f>
        <v>0</v>
      </c>
      <c r="AC150" s="3">
        <f>IF(B150&lt;='Input sheet(dashboard)'!$D$27*12,IF(MOD(B149,'Input sheet(dashboard)'!$D$19*12),0,'Input sheet(dashboard)'!$D$20*(1+'Input sheet(dashboard)'!$E$22)^Calculations!B150),0)</f>
        <v>0</v>
      </c>
      <c r="AD150" s="17">
        <f t="shared" si="21"/>
        <v>46901.500302278619</v>
      </c>
      <c r="AE150" s="17">
        <f>IF(B150&lt;='Input sheet(dashboard)'!$D$27*12,IF(D150=12,SUM(AD139:AD150),0),0)</f>
        <v>0</v>
      </c>
      <c r="AF150" s="17">
        <f t="shared" si="22"/>
        <v>15645.951172960013</v>
      </c>
      <c r="AG150" s="17">
        <f t="shared" si="23"/>
        <v>15645.951172960013</v>
      </c>
      <c r="AH150" s="3">
        <f>IF(B150&lt;='Input sheet(dashboard)'!$D$27*12,AH149*(1+'Input sheet(dashboard)'!$E$25)+AG150," ")</f>
        <v>8040794.1574248644</v>
      </c>
    </row>
    <row r="151" spans="2:34">
      <c r="B151">
        <f t="shared" si="18"/>
        <v>148</v>
      </c>
      <c r="C151">
        <f t="shared" si="25"/>
        <v>13</v>
      </c>
      <c r="D151">
        <f t="shared" si="26"/>
        <v>4</v>
      </c>
      <c r="E151" s="15">
        <f>IF(C151&lt;='Input sheet(dashboard)'!$D$6, -PMT('Input sheet(dashboard)'!$E$5,'Input sheet(dashboard)'!$D$6*12,'Input sheet(dashboard)'!$D$3*'Input sheet(dashboard)'!$D$4),0)</f>
        <v>39834.137922259193</v>
      </c>
      <c r="F151" s="3">
        <f>I150*'Input sheet(dashboard)'!$E$5</f>
        <v>21473.298133431272</v>
      </c>
      <c r="G151" s="3">
        <f>IF(C151&lt;='Input sheet(dashboard)'!$D$6,E151*'Input sheet(dashboard)'!$D$7,0)</f>
        <v>3186.7310337807357</v>
      </c>
      <c r="H151" s="3">
        <f t="shared" si="19"/>
        <v>18360.839788827921</v>
      </c>
      <c r="I151" s="3">
        <f t="shared" si="20"/>
        <v>5876380.8742122538</v>
      </c>
      <c r="J151" s="3">
        <f>IF(B151&lt;='Input sheet(dashboard)'!$D$27*12,'Input sheet(dashboard)'!$D$3*(1+'Input sheet(dashboard)'!$E$24)^B151,0)</f>
        <v>16187744.012973402</v>
      </c>
      <c r="K151" s="3">
        <f>IF(B151&lt;='Input sheet(dashboard)'!$D$27*12,J151*'Input sheet(dashboard)'!$E$8,0)</f>
        <v>16766.391348394402</v>
      </c>
      <c r="L151" s="3">
        <f>IF(B151&lt;='Input sheet(dashboard)'!$D$27*12,'Input sheet(dashboard)'!$D$9*(1+'Input sheet(dashboard)'!$E$22)^B151,0)</f>
        <v>4068.0123359426998</v>
      </c>
      <c r="M151" s="3">
        <f>IF(B151=1,'Input sheet(dashboard)'!$D$3*'Input sheet(dashboard)'!$D$10,0)</f>
        <v>0</v>
      </c>
      <c r="N151" s="3">
        <f>IF(B151='Input sheet(dashboard)'!$D$27*12,J151*'Input sheet(dashboard)'!$D$11,0)</f>
        <v>0</v>
      </c>
      <c r="O151" s="3">
        <f>IF(SUM(F151:F162)&gt;=150000,150000/12*'Input sheet(dashboard)'!$D$28,SUM(F151:F162)/12*'Input sheet(dashboard)'!$D$28)</f>
        <v>1875</v>
      </c>
      <c r="P151" s="3">
        <f t="shared" si="24"/>
        <v>0</v>
      </c>
      <c r="Q151" s="3">
        <f>IF(B151&lt;='Input sheet(dashboard)'!$D$27*12,'Input sheet(dashboard)'!$D$12/12,0)</f>
        <v>192.5</v>
      </c>
      <c r="R151" s="3">
        <f>IF(B151&lt;='Input sheet(dashboard)'!$D$27*12,('Input sheet(dashboard)'!$D$15/12)*(1+'Input sheet(dashboard)'!$E$22)^Calculations!B151,0)</f>
        <v>452.00137066029993</v>
      </c>
      <c r="S151" s="3">
        <f>IF(B151&lt;='Input sheet(dashboard)'!$D$27*12,(E151+G151+K151+L151-O151+M151+Q151+R151),0)</f>
        <v>62624.774011037327</v>
      </c>
      <c r="T151" s="3">
        <f>IF(B151&lt;='Input sheet(dashboard)'!$D$27*12,IF(D151=12,SUM(S140:S151),0),0)</f>
        <v>0</v>
      </c>
      <c r="U151" s="3">
        <f>IF(B151&lt;='Input sheet(dashboard)'!$D$27*12,IF(S151&lt;AD151,AD151-S151,0),0)</f>
        <v>0</v>
      </c>
      <c r="V151" s="3">
        <f>IF(B151&lt;='Input sheet(dashboard)'!$D$27*12,V150*(1+'Input sheet(dashboard)'!$E$25)+U151,0)</f>
        <v>0</v>
      </c>
      <c r="W151" s="17">
        <f>IF(B151&lt;='Input sheet(dashboard)'!$D$27*12,J151-I151+V151-N151,0)</f>
        <v>10311363.138761148</v>
      </c>
      <c r="X151" s="3">
        <f>IF(B151&lt;='Input sheet(dashboard)'!$D$27*12,'Input sheet(dashboard)'!$D$17*(1+'Input sheet(dashboard)'!$E$23)^(B151-1),0)</f>
        <v>47092.58282014892</v>
      </c>
      <c r="Y151" s="3"/>
      <c r="Z151" s="18"/>
      <c r="AA151" s="18"/>
      <c r="AB151" s="3">
        <f>IF(B151=1,'Input sheet(dashboard)'!$D$18*Calculations!X151,IF(Calculations!B151=12*'Input sheet(dashboard)'!$D$27,'Input sheet(dashboard)'!$D$18*-Calculations!X151,0))</f>
        <v>0</v>
      </c>
      <c r="AC151" s="3">
        <f>IF(B151&lt;='Input sheet(dashboard)'!$D$27*12,IF(MOD(B150,'Input sheet(dashboard)'!$D$19*12),0,'Input sheet(dashboard)'!$D$20*(1+'Input sheet(dashboard)'!$E$22)^Calculations!B151),0)</f>
        <v>0</v>
      </c>
      <c r="AD151" s="17">
        <f t="shared" si="21"/>
        <v>47092.58282014892</v>
      </c>
      <c r="AE151" s="17">
        <f>IF(B151&lt;='Input sheet(dashboard)'!$D$27*12,IF(D151=12,SUM(AD140:AD151),0),0)</f>
        <v>0</v>
      </c>
      <c r="AF151" s="17">
        <f t="shared" si="22"/>
        <v>15532.191190888407</v>
      </c>
      <c r="AG151" s="17">
        <f t="shared" si="23"/>
        <v>15532.191190888407</v>
      </c>
      <c r="AH151" s="3">
        <f>IF(B151&lt;='Input sheet(dashboard)'!$D$27*12,AH150*(1+'Input sheet(dashboard)'!$E$25)+AG151," ")</f>
        <v>8108061.0603329642</v>
      </c>
    </row>
    <row r="152" spans="2:34">
      <c r="B152">
        <f t="shared" si="18"/>
        <v>149</v>
      </c>
      <c r="C152">
        <f t="shared" si="25"/>
        <v>13</v>
      </c>
      <c r="D152">
        <f t="shared" si="26"/>
        <v>5</v>
      </c>
      <c r="E152" s="15">
        <f>IF(C152&lt;='Input sheet(dashboard)'!$D$6, -PMT('Input sheet(dashboard)'!$E$5,'Input sheet(dashboard)'!$D$6*12,'Input sheet(dashboard)'!$D$3*'Input sheet(dashboard)'!$D$4),0)</f>
        <v>39834.137922259193</v>
      </c>
      <c r="F152" s="3">
        <f>I151*'Input sheet(dashboard)'!$E$5</f>
        <v>21406.413474883939</v>
      </c>
      <c r="G152" s="3">
        <f>IF(C152&lt;='Input sheet(dashboard)'!$D$6,E152*'Input sheet(dashboard)'!$D$7,0)</f>
        <v>3186.7310337807357</v>
      </c>
      <c r="H152" s="3">
        <f t="shared" si="19"/>
        <v>18427.724447375254</v>
      </c>
      <c r="I152" s="3">
        <f t="shared" si="20"/>
        <v>5857953.1497648787</v>
      </c>
      <c r="J152" s="3">
        <f>IF(B152&lt;='Input sheet(dashboard)'!$D$27*12,'Input sheet(dashboard)'!$D$3*(1+'Input sheet(dashboard)'!$E$24)^B152,0)</f>
        <v>16253694.885860268</v>
      </c>
      <c r="K152" s="3">
        <f>IF(B152&lt;='Input sheet(dashboard)'!$D$27*12,J152*'Input sheet(dashboard)'!$E$8,0)</f>
        <v>16834.699702152851</v>
      </c>
      <c r="L152" s="3">
        <f>IF(B152&lt;='Input sheet(dashboard)'!$D$27*12,'Input sheet(dashboard)'!$D$9*(1+'Input sheet(dashboard)'!$E$22)^B152,0)</f>
        <v>4076.3917752984416</v>
      </c>
      <c r="M152" s="3">
        <f>IF(B152=1,'Input sheet(dashboard)'!$D$3*'Input sheet(dashboard)'!$D$10,0)</f>
        <v>0</v>
      </c>
      <c r="N152" s="3">
        <f>IF(B152='Input sheet(dashboard)'!$D$27*12,J152*'Input sheet(dashboard)'!$D$11,0)</f>
        <v>0</v>
      </c>
      <c r="O152" s="3">
        <f>IF(SUM(F152:F163)&gt;=150000,150000/12*'Input sheet(dashboard)'!$D$28,SUM(F152:F163)/12*'Input sheet(dashboard)'!$D$28)</f>
        <v>1875</v>
      </c>
      <c r="P152" s="3">
        <f t="shared" si="24"/>
        <v>0</v>
      </c>
      <c r="Q152" s="3">
        <f>IF(B152&lt;='Input sheet(dashboard)'!$D$27*12,'Input sheet(dashboard)'!$D$12/12,0)</f>
        <v>192.5</v>
      </c>
      <c r="R152" s="3">
        <f>IF(B152&lt;='Input sheet(dashboard)'!$D$27*12,('Input sheet(dashboard)'!$D$15/12)*(1+'Input sheet(dashboard)'!$E$22)^Calculations!B152,0)</f>
        <v>452.93241947760458</v>
      </c>
      <c r="S152" s="3">
        <f>IF(B152&lt;='Input sheet(dashboard)'!$D$27*12,(E152+G152+K152+L152-O152+M152+Q152+R152),0)</f>
        <v>62702.392852968827</v>
      </c>
      <c r="T152" s="3">
        <f>IF(B152&lt;='Input sheet(dashboard)'!$D$27*12,IF(D152=12,SUM(S141:S152),0),0)</f>
        <v>0</v>
      </c>
      <c r="U152" s="3">
        <f>IF(B152&lt;='Input sheet(dashboard)'!$D$27*12,IF(S152&lt;AD152,AD152-S152,0),0)</f>
        <v>0</v>
      </c>
      <c r="V152" s="3">
        <f>IF(B152&lt;='Input sheet(dashboard)'!$D$27*12,V151*(1+'Input sheet(dashboard)'!$E$25)+U152,0)</f>
        <v>0</v>
      </c>
      <c r="W152" s="17">
        <f>IF(B152&lt;='Input sheet(dashboard)'!$D$27*12,J152-I152+V152-N152,0)</f>
        <v>10395741.736095389</v>
      </c>
      <c r="X152" s="3">
        <f>IF(B152&lt;='Input sheet(dashboard)'!$D$27*12,'Input sheet(dashboard)'!$D$17*(1+'Input sheet(dashboard)'!$E$23)^(B152-1),0)</f>
        <v>47284.443831849916</v>
      </c>
      <c r="Y152" s="3"/>
      <c r="Z152" s="18"/>
      <c r="AA152" s="18"/>
      <c r="AB152" s="3">
        <f>IF(B152=1,'Input sheet(dashboard)'!$D$18*Calculations!X152,IF(Calculations!B152=12*'Input sheet(dashboard)'!$D$27,'Input sheet(dashboard)'!$D$18*-Calculations!X152,0))</f>
        <v>0</v>
      </c>
      <c r="AC152" s="3">
        <f>IF(B152&lt;='Input sheet(dashboard)'!$D$27*12,IF(MOD(B151,'Input sheet(dashboard)'!$D$19*12),0,'Input sheet(dashboard)'!$D$20*(1+'Input sheet(dashboard)'!$E$22)^Calculations!B152),0)</f>
        <v>0</v>
      </c>
      <c r="AD152" s="17">
        <f t="shared" si="21"/>
        <v>47284.443831849916</v>
      </c>
      <c r="AE152" s="17">
        <f>IF(B152&lt;='Input sheet(dashboard)'!$D$27*12,IF(D152=12,SUM(AD141:AD152),0),0)</f>
        <v>0</v>
      </c>
      <c r="AF152" s="17">
        <f t="shared" si="22"/>
        <v>15417.949021118911</v>
      </c>
      <c r="AG152" s="17">
        <f t="shared" si="23"/>
        <v>15417.949021118911</v>
      </c>
      <c r="AH152" s="3">
        <f>IF(B152&lt;='Input sheet(dashboard)'!$D$27*12,AH151*(1+'Input sheet(dashboard)'!$E$25)+AG152," ")</f>
        <v>8175646.5183500117</v>
      </c>
    </row>
    <row r="153" spans="2:34">
      <c r="B153">
        <f t="shared" si="18"/>
        <v>150</v>
      </c>
      <c r="C153">
        <f t="shared" si="25"/>
        <v>13</v>
      </c>
      <c r="D153">
        <f t="shared" si="26"/>
        <v>6</v>
      </c>
      <c r="E153" s="15">
        <f>IF(C153&lt;='Input sheet(dashboard)'!$D$6, -PMT('Input sheet(dashboard)'!$E$5,'Input sheet(dashboard)'!$D$6*12,'Input sheet(dashboard)'!$D$3*'Input sheet(dashboard)'!$D$4),0)</f>
        <v>39834.137922259193</v>
      </c>
      <c r="F153" s="3">
        <f>I152*'Input sheet(dashboard)'!$E$5</f>
        <v>21339.285169662468</v>
      </c>
      <c r="G153" s="3">
        <f>IF(C153&lt;='Input sheet(dashboard)'!$D$6,E153*'Input sheet(dashboard)'!$D$7,0)</f>
        <v>3186.7310337807357</v>
      </c>
      <c r="H153" s="3">
        <f t="shared" si="19"/>
        <v>18494.852752596726</v>
      </c>
      <c r="I153" s="3">
        <f t="shared" si="20"/>
        <v>5839458.2970122816</v>
      </c>
      <c r="J153" s="3">
        <f>IF(B153&lt;='Input sheet(dashboard)'!$D$27*12,'Input sheet(dashboard)'!$D$3*(1+'Input sheet(dashboard)'!$E$24)^B153,0)</f>
        <v>16319914.450766915</v>
      </c>
      <c r="K153" s="3">
        <f>IF(B153&lt;='Input sheet(dashboard)'!$D$27*12,J153*'Input sheet(dashboard)'!$E$8,0)</f>
        <v>16903.286352599971</v>
      </c>
      <c r="L153" s="3">
        <f>IF(B153&lt;='Input sheet(dashboard)'!$D$27*12,'Input sheet(dashboard)'!$D$9*(1+'Input sheet(dashboard)'!$E$22)^B153,0)</f>
        <v>4084.7884749272894</v>
      </c>
      <c r="M153" s="3">
        <f>IF(B153=1,'Input sheet(dashboard)'!$D$3*'Input sheet(dashboard)'!$D$10,0)</f>
        <v>0</v>
      </c>
      <c r="N153" s="3">
        <f>IF(B153='Input sheet(dashboard)'!$D$27*12,J153*'Input sheet(dashboard)'!$D$11,0)</f>
        <v>0</v>
      </c>
      <c r="O153" s="3">
        <f>IF(SUM(F153:F164)&gt;=150000,150000/12*'Input sheet(dashboard)'!$D$28,SUM(F153:F164)/12*'Input sheet(dashboard)'!$D$28)</f>
        <v>1875</v>
      </c>
      <c r="P153" s="3">
        <f t="shared" si="24"/>
        <v>0</v>
      </c>
      <c r="Q153" s="3">
        <f>IF(B153&lt;='Input sheet(dashboard)'!$D$27*12,'Input sheet(dashboard)'!$D$12/12,0)</f>
        <v>192.5</v>
      </c>
      <c r="R153" s="3">
        <f>IF(B153&lt;='Input sheet(dashboard)'!$D$27*12,('Input sheet(dashboard)'!$D$15/12)*(1+'Input sheet(dashboard)'!$E$22)^Calculations!B153,0)</f>
        <v>453.86538610303217</v>
      </c>
      <c r="S153" s="3">
        <f>IF(B153&lt;='Input sheet(dashboard)'!$D$27*12,(E153+G153+K153+L153-O153+M153+Q153+R153),0)</f>
        <v>62780.309169670225</v>
      </c>
      <c r="T153" s="3">
        <f>IF(B153&lt;='Input sheet(dashboard)'!$D$27*12,IF(D153=12,SUM(S142:S153),0),0)</f>
        <v>0</v>
      </c>
      <c r="U153" s="3">
        <f>IF(B153&lt;='Input sheet(dashboard)'!$D$27*12,IF(S153&lt;AD153,AD153-S153,0),0)</f>
        <v>0</v>
      </c>
      <c r="V153" s="3">
        <f>IF(B153&lt;='Input sheet(dashboard)'!$D$27*12,V152*(1+'Input sheet(dashboard)'!$E$25)+U153,0)</f>
        <v>0</v>
      </c>
      <c r="W153" s="17">
        <f>IF(B153&lt;='Input sheet(dashboard)'!$D$27*12,J153-I153+V153-N153,0)</f>
        <v>10480456.153754633</v>
      </c>
      <c r="X153" s="3">
        <f>IF(B153&lt;='Input sheet(dashboard)'!$D$27*12,'Input sheet(dashboard)'!$D$17*(1+'Input sheet(dashboard)'!$E$23)^(B153-1),0)</f>
        <v>47477.086509061846</v>
      </c>
      <c r="Y153" s="3"/>
      <c r="Z153" s="18"/>
      <c r="AA153" s="18"/>
      <c r="AB153" s="3">
        <f>IF(B153=1,'Input sheet(dashboard)'!$D$18*Calculations!X153,IF(Calculations!B153=12*'Input sheet(dashboard)'!$D$27,'Input sheet(dashboard)'!$D$18*-Calculations!X153,0))</f>
        <v>0</v>
      </c>
      <c r="AC153" s="3">
        <f>IF(B153&lt;='Input sheet(dashboard)'!$D$27*12,IF(MOD(B152,'Input sheet(dashboard)'!$D$19*12),0,'Input sheet(dashboard)'!$D$20*(1+'Input sheet(dashboard)'!$E$22)^Calculations!B153),0)</f>
        <v>0</v>
      </c>
      <c r="AD153" s="17">
        <f t="shared" si="21"/>
        <v>47477.086509061846</v>
      </c>
      <c r="AE153" s="17">
        <f>IF(B153&lt;='Input sheet(dashboard)'!$D$27*12,IF(D153=12,SUM(AD142:AD153),0),0)</f>
        <v>0</v>
      </c>
      <c r="AF153" s="17">
        <f t="shared" si="22"/>
        <v>15303.222660608379</v>
      </c>
      <c r="AG153" s="17">
        <f t="shared" si="23"/>
        <v>15303.222660608379</v>
      </c>
      <c r="AH153" s="3">
        <f>IF(B153&lt;='Input sheet(dashboard)'!$D$27*12,AH152*(1+'Input sheet(dashboard)'!$E$25)+AG153," ")</f>
        <v>8243552.0968784289</v>
      </c>
    </row>
    <row r="154" spans="2:34">
      <c r="B154">
        <f t="shared" si="18"/>
        <v>151</v>
      </c>
      <c r="C154">
        <f t="shared" si="25"/>
        <v>13</v>
      </c>
      <c r="D154">
        <f t="shared" si="26"/>
        <v>7</v>
      </c>
      <c r="E154" s="15">
        <f>IF(C154&lt;='Input sheet(dashboard)'!$D$6, -PMT('Input sheet(dashboard)'!$E$5,'Input sheet(dashboard)'!$D$6*12,'Input sheet(dashboard)'!$D$3*'Input sheet(dashboard)'!$D$4),0)</f>
        <v>39834.137922259193</v>
      </c>
      <c r="F154" s="3">
        <f>I153*'Input sheet(dashboard)'!$E$5</f>
        <v>21271.912330213516</v>
      </c>
      <c r="G154" s="3">
        <f>IF(C154&lt;='Input sheet(dashboard)'!$D$6,E154*'Input sheet(dashboard)'!$D$7,0)</f>
        <v>3186.7310337807357</v>
      </c>
      <c r="H154" s="3">
        <f t="shared" si="19"/>
        <v>18562.225592045677</v>
      </c>
      <c r="I154" s="3">
        <f t="shared" si="20"/>
        <v>5820896.0714202356</v>
      </c>
      <c r="J154" s="3">
        <f>IF(B154&lt;='Input sheet(dashboard)'!$D$27*12,'Input sheet(dashboard)'!$D$3*(1+'Input sheet(dashboard)'!$E$24)^B154,0)</f>
        <v>16386403.802377891</v>
      </c>
      <c r="K154" s="3">
        <f>IF(B154&lt;='Input sheet(dashboard)'!$D$27*12,J154*'Input sheet(dashboard)'!$E$8,0)</f>
        <v>16972.152433550917</v>
      </c>
      <c r="L154" s="3">
        <f>IF(B154&lt;='Input sheet(dashboard)'!$D$27*12,'Input sheet(dashboard)'!$D$9*(1+'Input sheet(dashboard)'!$E$22)^B154,0)</f>
        <v>4093.2024703825814</v>
      </c>
      <c r="M154" s="3">
        <f>IF(B154=1,'Input sheet(dashboard)'!$D$3*'Input sheet(dashboard)'!$D$10,0)</f>
        <v>0</v>
      </c>
      <c r="N154" s="3">
        <f>IF(B154='Input sheet(dashboard)'!$D$27*12,J154*'Input sheet(dashboard)'!$D$11,0)</f>
        <v>0</v>
      </c>
      <c r="O154" s="3">
        <f>IF(SUM(F154:F165)&gt;=150000,150000/12*'Input sheet(dashboard)'!$D$28,SUM(F154:F165)/12*'Input sheet(dashboard)'!$D$28)</f>
        <v>1875</v>
      </c>
      <c r="P154" s="3">
        <f t="shared" si="24"/>
        <v>0</v>
      </c>
      <c r="Q154" s="3">
        <f>IF(B154&lt;='Input sheet(dashboard)'!$D$27*12,'Input sheet(dashboard)'!$D$12/12,0)</f>
        <v>192.5</v>
      </c>
      <c r="R154" s="3">
        <f>IF(B154&lt;='Input sheet(dashboard)'!$D$27*12,('Input sheet(dashboard)'!$D$15/12)*(1+'Input sheet(dashboard)'!$E$22)^Calculations!B154,0)</f>
        <v>454.80027448695347</v>
      </c>
      <c r="S154" s="3">
        <f>IF(B154&lt;='Input sheet(dashboard)'!$D$27*12,(E154+G154+K154+L154-O154+M154+Q154+R154),0)</f>
        <v>62858.524134460378</v>
      </c>
      <c r="T154" s="3">
        <f>IF(B154&lt;='Input sheet(dashboard)'!$D$27*12,IF(D154=12,SUM(S143:S154),0),0)</f>
        <v>0</v>
      </c>
      <c r="U154" s="3">
        <f>IF(B154&lt;='Input sheet(dashboard)'!$D$27*12,IF(S154&lt;AD154,AD154-S154,0),0)</f>
        <v>0</v>
      </c>
      <c r="V154" s="3">
        <f>IF(B154&lt;='Input sheet(dashboard)'!$D$27*12,V153*(1+'Input sheet(dashboard)'!$E$25)+U154,0)</f>
        <v>0</v>
      </c>
      <c r="W154" s="17">
        <f>IF(B154&lt;='Input sheet(dashboard)'!$D$27*12,J154-I154+V154-N154,0)</f>
        <v>10565507.730957655</v>
      </c>
      <c r="X154" s="3">
        <f>IF(B154&lt;='Input sheet(dashboard)'!$D$27*12,'Input sheet(dashboard)'!$D$17*(1+'Input sheet(dashboard)'!$E$23)^(B154-1),0)</f>
        <v>47670.514036386747</v>
      </c>
      <c r="Y154" s="3"/>
      <c r="Z154" s="18"/>
      <c r="AA154" s="18"/>
      <c r="AB154" s="3">
        <f>IF(B154=1,'Input sheet(dashboard)'!$D$18*Calculations!X154,IF(Calculations!B154=12*'Input sheet(dashboard)'!$D$27,'Input sheet(dashboard)'!$D$18*-Calculations!X154,0))</f>
        <v>0</v>
      </c>
      <c r="AC154" s="3">
        <f>IF(B154&lt;='Input sheet(dashboard)'!$D$27*12,IF(MOD(B153,'Input sheet(dashboard)'!$D$19*12),0,'Input sheet(dashboard)'!$D$20*(1+'Input sheet(dashboard)'!$E$22)^Calculations!B154),0)</f>
        <v>0</v>
      </c>
      <c r="AD154" s="17">
        <f t="shared" si="21"/>
        <v>47670.514036386747</v>
      </c>
      <c r="AE154" s="17">
        <f>IF(B154&lt;='Input sheet(dashboard)'!$D$27*12,IF(D154=12,SUM(AD143:AD154),0),0)</f>
        <v>0</v>
      </c>
      <c r="AF154" s="17">
        <f t="shared" si="22"/>
        <v>15188.010098073632</v>
      </c>
      <c r="AG154" s="17">
        <f t="shared" si="23"/>
        <v>15188.010098073632</v>
      </c>
      <c r="AH154" s="3">
        <f>IF(B154&lt;='Input sheet(dashboard)'!$D$27*12,AH153*(1+'Input sheet(dashboard)'!$E$25)+AG154," ")</f>
        <v>8311779.3693812005</v>
      </c>
    </row>
    <row r="155" spans="2:34">
      <c r="B155">
        <f t="shared" si="18"/>
        <v>152</v>
      </c>
      <c r="C155">
        <f t="shared" si="25"/>
        <v>13</v>
      </c>
      <c r="D155">
        <f t="shared" si="26"/>
        <v>8</v>
      </c>
      <c r="E155" s="15">
        <f>IF(C155&lt;='Input sheet(dashboard)'!$D$6, -PMT('Input sheet(dashboard)'!$E$5,'Input sheet(dashboard)'!$D$6*12,'Input sheet(dashboard)'!$D$3*'Input sheet(dashboard)'!$D$4),0)</f>
        <v>39834.137922259193</v>
      </c>
      <c r="F155" s="3">
        <f>I154*'Input sheet(dashboard)'!$E$5</f>
        <v>21204.294065750582</v>
      </c>
      <c r="G155" s="3">
        <f>IF(C155&lt;='Input sheet(dashboard)'!$D$6,E155*'Input sheet(dashboard)'!$D$7,0)</f>
        <v>3186.7310337807357</v>
      </c>
      <c r="H155" s="3">
        <f t="shared" si="19"/>
        <v>18629.843856508611</v>
      </c>
      <c r="I155" s="3">
        <f t="shared" si="20"/>
        <v>5802266.2275637267</v>
      </c>
      <c r="J155" s="3">
        <f>IF(B155&lt;='Input sheet(dashboard)'!$D$27*12,'Input sheet(dashboard)'!$D$3*(1+'Input sheet(dashboard)'!$E$24)^B155,0)</f>
        <v>16453164.039837629</v>
      </c>
      <c r="K155" s="3">
        <f>IF(B155&lt;='Input sheet(dashboard)'!$D$27*12,J155*'Input sheet(dashboard)'!$E$8,0)</f>
        <v>17041.299083440153</v>
      </c>
      <c r="L155" s="3">
        <f>IF(B155&lt;='Input sheet(dashboard)'!$D$27*12,'Input sheet(dashboard)'!$D$9*(1+'Input sheet(dashboard)'!$E$22)^B155,0)</f>
        <v>4101.6337972908841</v>
      </c>
      <c r="M155" s="3">
        <f>IF(B155=1,'Input sheet(dashboard)'!$D$3*'Input sheet(dashboard)'!$D$10,0)</f>
        <v>0</v>
      </c>
      <c r="N155" s="3">
        <f>IF(B155='Input sheet(dashboard)'!$D$27*12,J155*'Input sheet(dashboard)'!$D$11,0)</f>
        <v>0</v>
      </c>
      <c r="O155" s="3">
        <f>IF(SUM(F155:F166)&gt;=150000,150000/12*'Input sheet(dashboard)'!$D$28,SUM(F155:F166)/12*'Input sheet(dashboard)'!$D$28)</f>
        <v>1875</v>
      </c>
      <c r="P155" s="3">
        <f t="shared" si="24"/>
        <v>0</v>
      </c>
      <c r="Q155" s="3">
        <f>IF(B155&lt;='Input sheet(dashboard)'!$D$27*12,'Input sheet(dashboard)'!$D$12/12,0)</f>
        <v>192.5</v>
      </c>
      <c r="R155" s="3">
        <f>IF(B155&lt;='Input sheet(dashboard)'!$D$27*12,('Input sheet(dashboard)'!$D$15/12)*(1+'Input sheet(dashboard)'!$E$22)^Calculations!B155,0)</f>
        <v>455.73708858787603</v>
      </c>
      <c r="S155" s="3">
        <f>IF(B155&lt;='Input sheet(dashboard)'!$D$27*12,(E155+G155+K155+L155-O155+M155+Q155+R155),0)</f>
        <v>62937.038925358836</v>
      </c>
      <c r="T155" s="3">
        <f>IF(B155&lt;='Input sheet(dashboard)'!$D$27*12,IF(D155=12,SUM(S144:S155),0),0)</f>
        <v>0</v>
      </c>
      <c r="U155" s="3">
        <f>IF(B155&lt;='Input sheet(dashboard)'!$D$27*12,IF(S155&lt;AD155,AD155-S155,0),0)</f>
        <v>0</v>
      </c>
      <c r="V155" s="3">
        <f>IF(B155&lt;='Input sheet(dashboard)'!$D$27*12,V154*(1+'Input sheet(dashboard)'!$E$25)+U155,0)</f>
        <v>0</v>
      </c>
      <c r="W155" s="17">
        <f>IF(B155&lt;='Input sheet(dashboard)'!$D$27*12,J155-I155+V155-N155,0)</f>
        <v>10650897.812273901</v>
      </c>
      <c r="X155" s="3">
        <f>IF(B155&lt;='Input sheet(dashboard)'!$D$27*12,'Input sheet(dashboard)'!$D$17*(1+'Input sheet(dashboard)'!$E$23)^(B155-1),0)</f>
        <v>47864.729611401133</v>
      </c>
      <c r="Y155" s="3"/>
      <c r="Z155" s="18"/>
      <c r="AA155" s="18"/>
      <c r="AB155" s="3">
        <f>IF(B155=1,'Input sheet(dashboard)'!$D$18*Calculations!X155,IF(Calculations!B155=12*'Input sheet(dashboard)'!$D$27,'Input sheet(dashboard)'!$D$18*-Calculations!X155,0))</f>
        <v>0</v>
      </c>
      <c r="AC155" s="3">
        <f>IF(B155&lt;='Input sheet(dashboard)'!$D$27*12,IF(MOD(B154,'Input sheet(dashboard)'!$D$19*12),0,'Input sheet(dashboard)'!$D$20*(1+'Input sheet(dashboard)'!$E$22)^Calculations!B155),0)</f>
        <v>0</v>
      </c>
      <c r="AD155" s="17">
        <f t="shared" si="21"/>
        <v>47864.729611401133</v>
      </c>
      <c r="AE155" s="17">
        <f>IF(B155&lt;='Input sheet(dashboard)'!$D$27*12,IF(D155=12,SUM(AD144:AD155),0),0)</f>
        <v>0</v>
      </c>
      <c r="AF155" s="17">
        <f t="shared" si="22"/>
        <v>15072.309313957703</v>
      </c>
      <c r="AG155" s="17">
        <f t="shared" si="23"/>
        <v>15072.309313957703</v>
      </c>
      <c r="AH155" s="3">
        <f>IF(B155&lt;='Input sheet(dashboard)'!$D$27*12,AH154*(1+'Input sheet(dashboard)'!$E$25)+AG155," ")</f>
        <v>8380329.917425462</v>
      </c>
    </row>
    <row r="156" spans="2:34">
      <c r="B156">
        <f t="shared" si="18"/>
        <v>153</v>
      </c>
      <c r="C156">
        <f t="shared" si="25"/>
        <v>13</v>
      </c>
      <c r="D156">
        <f t="shared" si="26"/>
        <v>9</v>
      </c>
      <c r="E156" s="15">
        <f>IF(C156&lt;='Input sheet(dashboard)'!$D$6, -PMT('Input sheet(dashboard)'!$E$5,'Input sheet(dashboard)'!$D$6*12,'Input sheet(dashboard)'!$D$3*'Input sheet(dashboard)'!$D$4),0)</f>
        <v>39834.137922259193</v>
      </c>
      <c r="F156" s="3">
        <f>I155*'Input sheet(dashboard)'!$E$5</f>
        <v>21136.429482242213</v>
      </c>
      <c r="G156" s="3">
        <f>IF(C156&lt;='Input sheet(dashboard)'!$D$6,E156*'Input sheet(dashboard)'!$D$7,0)</f>
        <v>3186.7310337807357</v>
      </c>
      <c r="H156" s="3">
        <f t="shared" si="19"/>
        <v>18697.708440016981</v>
      </c>
      <c r="I156" s="3">
        <f t="shared" si="20"/>
        <v>5783568.5191237098</v>
      </c>
      <c r="J156" s="3">
        <f>IF(B156&lt;='Input sheet(dashboard)'!$D$27*12,'Input sheet(dashboard)'!$D$3*(1+'Input sheet(dashboard)'!$E$24)^B156,0)</f>
        <v>16520196.266768599</v>
      </c>
      <c r="K156" s="3">
        <f>IF(B156&lt;='Input sheet(dashboard)'!$D$27*12,J156*'Input sheet(dashboard)'!$E$8,0)</f>
        <v>17110.727445340264</v>
      </c>
      <c r="L156" s="3">
        <f>IF(B156&lt;='Input sheet(dashboard)'!$D$27*12,'Input sheet(dashboard)'!$D$9*(1+'Input sheet(dashboard)'!$E$22)^B156,0)</f>
        <v>4110.0824913521583</v>
      </c>
      <c r="M156" s="3">
        <f>IF(B156=1,'Input sheet(dashboard)'!$D$3*'Input sheet(dashboard)'!$D$10,0)</f>
        <v>0</v>
      </c>
      <c r="N156" s="3">
        <f>IF(B156='Input sheet(dashboard)'!$D$27*12,J156*'Input sheet(dashboard)'!$D$11,0)</f>
        <v>0</v>
      </c>
      <c r="O156" s="3">
        <f>IF(SUM(F156:F167)&gt;=150000,150000/12*'Input sheet(dashboard)'!$D$28,SUM(F156:F167)/12*'Input sheet(dashboard)'!$D$28)</f>
        <v>1875</v>
      </c>
      <c r="P156" s="3">
        <f t="shared" si="24"/>
        <v>0</v>
      </c>
      <c r="Q156" s="3">
        <f>IF(B156&lt;='Input sheet(dashboard)'!$D$27*12,'Input sheet(dashboard)'!$D$12/12,0)</f>
        <v>192.5</v>
      </c>
      <c r="R156" s="3">
        <f>IF(B156&lt;='Input sheet(dashboard)'!$D$27*12,('Input sheet(dashboard)'!$D$15/12)*(1+'Input sheet(dashboard)'!$E$22)^Calculations!B156,0)</f>
        <v>456.67583237246197</v>
      </c>
      <c r="S156" s="3">
        <f>IF(B156&lt;='Input sheet(dashboard)'!$D$27*12,(E156+G156+K156+L156-O156+M156+Q156+R156),0)</f>
        <v>63015.854725104815</v>
      </c>
      <c r="T156" s="3">
        <f>IF(B156&lt;='Input sheet(dashboard)'!$D$27*12,IF(D156=12,SUM(S145:S156),0),0)</f>
        <v>0</v>
      </c>
      <c r="U156" s="3">
        <f>IF(B156&lt;='Input sheet(dashboard)'!$D$27*12,IF(S156&lt;AD156,AD156-S156,0),0)</f>
        <v>0</v>
      </c>
      <c r="V156" s="3">
        <f>IF(B156&lt;='Input sheet(dashboard)'!$D$27*12,V155*(1+'Input sheet(dashboard)'!$E$25)+U156,0)</f>
        <v>0</v>
      </c>
      <c r="W156" s="17">
        <f>IF(B156&lt;='Input sheet(dashboard)'!$D$27*12,J156-I156+V156-N156,0)</f>
        <v>10736627.74764489</v>
      </c>
      <c r="X156" s="3">
        <f>IF(B156&lt;='Input sheet(dashboard)'!$D$27*12,'Input sheet(dashboard)'!$D$17*(1+'Input sheet(dashboard)'!$E$23)^(B156-1),0)</f>
        <v>48059.736444708848</v>
      </c>
      <c r="Y156" s="3"/>
      <c r="Z156" s="18"/>
      <c r="AA156" s="18"/>
      <c r="AB156" s="3">
        <f>IF(B156=1,'Input sheet(dashboard)'!$D$18*Calculations!X156,IF(Calculations!B156=12*'Input sheet(dashboard)'!$D$27,'Input sheet(dashboard)'!$D$18*-Calculations!X156,0))</f>
        <v>0</v>
      </c>
      <c r="AC156" s="3">
        <f>IF(B156&lt;='Input sheet(dashboard)'!$D$27*12,IF(MOD(B155,'Input sheet(dashboard)'!$D$19*12),0,'Input sheet(dashboard)'!$D$20*(1+'Input sheet(dashboard)'!$E$22)^Calculations!B156),0)</f>
        <v>0</v>
      </c>
      <c r="AD156" s="17">
        <f t="shared" si="21"/>
        <v>48059.736444708848</v>
      </c>
      <c r="AE156" s="17">
        <f>IF(B156&lt;='Input sheet(dashboard)'!$D$27*12,IF(D156=12,SUM(AD145:AD156),0),0)</f>
        <v>0</v>
      </c>
      <c r="AF156" s="17">
        <f t="shared" si="22"/>
        <v>14956.118280395967</v>
      </c>
      <c r="AG156" s="17">
        <f t="shared" si="23"/>
        <v>14956.118280395967</v>
      </c>
      <c r="AH156" s="3">
        <f>IF(B156&lt;='Input sheet(dashboard)'!$D$27*12,AH155*(1+'Input sheet(dashboard)'!$E$25)+AG156," ")</f>
        <v>8449205.3307263367</v>
      </c>
    </row>
    <row r="157" spans="2:34">
      <c r="B157">
        <f t="shared" si="18"/>
        <v>154</v>
      </c>
      <c r="C157">
        <f t="shared" si="25"/>
        <v>13</v>
      </c>
      <c r="D157">
        <f t="shared" si="26"/>
        <v>10</v>
      </c>
      <c r="E157" s="15">
        <f>IF(C157&lt;='Input sheet(dashboard)'!$D$6, -PMT('Input sheet(dashboard)'!$E$5,'Input sheet(dashboard)'!$D$6*12,'Input sheet(dashboard)'!$D$3*'Input sheet(dashboard)'!$D$4),0)</f>
        <v>39834.137922259193</v>
      </c>
      <c r="F157" s="3">
        <f>I156*'Input sheet(dashboard)'!$E$5</f>
        <v>21068.317682400193</v>
      </c>
      <c r="G157" s="3">
        <f>IF(C157&lt;='Input sheet(dashboard)'!$D$6,E157*'Input sheet(dashboard)'!$D$7,0)</f>
        <v>3186.7310337807357</v>
      </c>
      <c r="H157" s="3">
        <f t="shared" si="19"/>
        <v>18765.820239859</v>
      </c>
      <c r="I157" s="3">
        <f t="shared" si="20"/>
        <v>5764802.6988838511</v>
      </c>
      <c r="J157" s="3">
        <f>IF(B157&lt;='Input sheet(dashboard)'!$D$27*12,'Input sheet(dashboard)'!$D$3*(1+'Input sheet(dashboard)'!$E$24)^B157,0)</f>
        <v>16587501.59128958</v>
      </c>
      <c r="K157" s="3">
        <f>IF(B157&lt;='Input sheet(dashboard)'!$D$27*12,J157*'Input sheet(dashboard)'!$E$8,0)</f>
        <v>17180.438666980848</v>
      </c>
      <c r="L157" s="3">
        <f>IF(B157&lt;='Input sheet(dashboard)'!$D$27*12,'Input sheet(dashboard)'!$D$9*(1+'Input sheet(dashboard)'!$E$22)^B157,0)</f>
        <v>4118.5485883398906</v>
      </c>
      <c r="M157" s="3">
        <f>IF(B157=1,'Input sheet(dashboard)'!$D$3*'Input sheet(dashboard)'!$D$10,0)</f>
        <v>0</v>
      </c>
      <c r="N157" s="3">
        <f>IF(B157='Input sheet(dashboard)'!$D$27*12,J157*'Input sheet(dashboard)'!$D$11,0)</f>
        <v>0</v>
      </c>
      <c r="O157" s="3">
        <f>IF(SUM(F157:F168)&gt;=150000,150000/12*'Input sheet(dashboard)'!$D$28,SUM(F157:F168)/12*'Input sheet(dashboard)'!$D$28)</f>
        <v>1875</v>
      </c>
      <c r="P157" s="3">
        <f t="shared" si="24"/>
        <v>0</v>
      </c>
      <c r="Q157" s="3">
        <f>IF(B157&lt;='Input sheet(dashboard)'!$D$27*12,'Input sheet(dashboard)'!$D$12/12,0)</f>
        <v>192.5</v>
      </c>
      <c r="R157" s="3">
        <f>IF(B157&lt;='Input sheet(dashboard)'!$D$27*12,('Input sheet(dashboard)'!$D$15/12)*(1+'Input sheet(dashboard)'!$E$22)^Calculations!B157,0)</f>
        <v>457.61650981554334</v>
      </c>
      <c r="S157" s="3">
        <f>IF(B157&lt;='Input sheet(dashboard)'!$D$27*12,(E157+G157+K157+L157-O157+M157+Q157+R157),0)</f>
        <v>63094.972721176215</v>
      </c>
      <c r="T157" s="3">
        <f>IF(B157&lt;='Input sheet(dashboard)'!$D$27*12,IF(D157=12,SUM(S146:S157),0),0)</f>
        <v>0</v>
      </c>
      <c r="U157" s="3">
        <f>IF(B157&lt;='Input sheet(dashboard)'!$D$27*12,IF(S157&lt;AD157,AD157-S157,0),0)</f>
        <v>0</v>
      </c>
      <c r="V157" s="3">
        <f>IF(B157&lt;='Input sheet(dashboard)'!$D$27*12,V156*(1+'Input sheet(dashboard)'!$E$25)+U157,0)</f>
        <v>0</v>
      </c>
      <c r="W157" s="17">
        <f>IF(B157&lt;='Input sheet(dashboard)'!$D$27*12,J157-I157+V157-N157,0)</f>
        <v>10822698.89240573</v>
      </c>
      <c r="X157" s="3">
        <f>IF(B157&lt;='Input sheet(dashboard)'!$D$27*12,'Input sheet(dashboard)'!$D$17*(1+'Input sheet(dashboard)'!$E$23)^(B157-1),0)</f>
        <v>48255.537759994113</v>
      </c>
      <c r="Y157" s="3"/>
      <c r="Z157" s="18"/>
      <c r="AA157" s="18"/>
      <c r="AB157" s="3">
        <f>IF(B157=1,'Input sheet(dashboard)'!$D$18*Calculations!X157,IF(Calculations!B157=12*'Input sheet(dashboard)'!$D$27,'Input sheet(dashboard)'!$D$18*-Calculations!X157,0))</f>
        <v>0</v>
      </c>
      <c r="AC157" s="3">
        <f>IF(B157&lt;='Input sheet(dashboard)'!$D$27*12,IF(MOD(B156,'Input sheet(dashboard)'!$D$19*12),0,'Input sheet(dashboard)'!$D$20*(1+'Input sheet(dashboard)'!$E$22)^Calculations!B157),0)</f>
        <v>0</v>
      </c>
      <c r="AD157" s="17">
        <f t="shared" si="21"/>
        <v>48255.537759994113</v>
      </c>
      <c r="AE157" s="17">
        <f>IF(B157&lt;='Input sheet(dashboard)'!$D$27*12,IF(D157=12,SUM(AD146:AD157),0),0)</f>
        <v>0</v>
      </c>
      <c r="AF157" s="17">
        <f t="shared" si="22"/>
        <v>14839.434961182102</v>
      </c>
      <c r="AG157" s="17">
        <f t="shared" si="23"/>
        <v>14839.434961182102</v>
      </c>
      <c r="AH157" s="3">
        <f>IF(B157&lt;='Input sheet(dashboard)'!$D$27*12,AH156*(1+'Input sheet(dashboard)'!$E$25)+AG157," ")</f>
        <v>8518407.2071910147</v>
      </c>
    </row>
    <row r="158" spans="2:34">
      <c r="B158">
        <f t="shared" si="18"/>
        <v>155</v>
      </c>
      <c r="C158">
        <f t="shared" si="25"/>
        <v>13</v>
      </c>
      <c r="D158">
        <f t="shared" si="26"/>
        <v>11</v>
      </c>
      <c r="E158" s="15">
        <f>IF(C158&lt;='Input sheet(dashboard)'!$D$6, -PMT('Input sheet(dashboard)'!$E$5,'Input sheet(dashboard)'!$D$6*12,'Input sheet(dashboard)'!$D$3*'Input sheet(dashboard)'!$D$4),0)</f>
        <v>39834.137922259193</v>
      </c>
      <c r="F158" s="3">
        <f>I157*'Input sheet(dashboard)'!$E$5</f>
        <v>20999.957765667667</v>
      </c>
      <c r="G158" s="3">
        <f>IF(C158&lt;='Input sheet(dashboard)'!$D$6,E158*'Input sheet(dashboard)'!$D$7,0)</f>
        <v>3186.7310337807357</v>
      </c>
      <c r="H158" s="3">
        <f t="shared" si="19"/>
        <v>18834.180156591527</v>
      </c>
      <c r="I158" s="3">
        <f t="shared" si="20"/>
        <v>5745968.5187272597</v>
      </c>
      <c r="J158" s="3">
        <f>IF(B158&lt;='Input sheet(dashboard)'!$D$27*12,'Input sheet(dashboard)'!$D$3*(1+'Input sheet(dashboard)'!$E$24)^B158,0)</f>
        <v>16655081.126033956</v>
      </c>
      <c r="K158" s="3">
        <f>IF(B158&lt;='Input sheet(dashboard)'!$D$27*12,J158*'Input sheet(dashboard)'!$E$8,0)</f>
        <v>17250.433900767504</v>
      </c>
      <c r="L158" s="3">
        <f>IF(B158&lt;='Input sheet(dashboard)'!$D$27*12,'Input sheet(dashboard)'!$D$9*(1+'Input sheet(dashboard)'!$E$22)^B158,0)</f>
        <v>4127.0321241012625</v>
      </c>
      <c r="M158" s="3">
        <f>IF(B158=1,'Input sheet(dashboard)'!$D$3*'Input sheet(dashboard)'!$D$10,0)</f>
        <v>0</v>
      </c>
      <c r="N158" s="3">
        <f>IF(B158='Input sheet(dashboard)'!$D$27*12,J158*'Input sheet(dashboard)'!$D$11,0)</f>
        <v>0</v>
      </c>
      <c r="O158" s="3">
        <f>IF(SUM(F158:F169)&gt;=150000,150000/12*'Input sheet(dashboard)'!$D$28,SUM(F158:F169)/12*'Input sheet(dashboard)'!$D$28)</f>
        <v>1875</v>
      </c>
      <c r="P158" s="3">
        <f t="shared" si="24"/>
        <v>0</v>
      </c>
      <c r="Q158" s="3">
        <f>IF(B158&lt;='Input sheet(dashboard)'!$D$27*12,'Input sheet(dashboard)'!$D$12/12,0)</f>
        <v>192.5</v>
      </c>
      <c r="R158" s="3">
        <f>IF(B158&lt;='Input sheet(dashboard)'!$D$27*12,('Input sheet(dashboard)'!$D$15/12)*(1+'Input sheet(dashboard)'!$E$22)^Calculations!B158,0)</f>
        <v>458.5591249001402</v>
      </c>
      <c r="S158" s="3">
        <f>IF(B158&lt;='Input sheet(dashboard)'!$D$27*12,(E158+G158+K158+L158-O158+M158+Q158+R158),0)</f>
        <v>63174.394105808839</v>
      </c>
      <c r="T158" s="3">
        <f>IF(B158&lt;='Input sheet(dashboard)'!$D$27*12,IF(D158=12,SUM(S147:S158),0),0)</f>
        <v>0</v>
      </c>
      <c r="U158" s="3">
        <f>IF(B158&lt;='Input sheet(dashboard)'!$D$27*12,IF(S158&lt;AD158,AD158-S158,0),0)</f>
        <v>0</v>
      </c>
      <c r="V158" s="3">
        <f>IF(B158&lt;='Input sheet(dashboard)'!$D$27*12,V157*(1+'Input sheet(dashboard)'!$E$25)+U158,0)</f>
        <v>0</v>
      </c>
      <c r="W158" s="17">
        <f>IF(B158&lt;='Input sheet(dashboard)'!$D$27*12,J158-I158+V158-N158,0)</f>
        <v>10909112.607306696</v>
      </c>
      <c r="X158" s="3">
        <f>IF(B158&lt;='Input sheet(dashboard)'!$D$27*12,'Input sheet(dashboard)'!$D$17*(1+'Input sheet(dashboard)'!$E$23)^(B158-1),0)</f>
        <v>48452.136794074839</v>
      </c>
      <c r="Y158" s="3"/>
      <c r="Z158" s="18"/>
      <c r="AA158" s="18"/>
      <c r="AB158" s="3">
        <f>IF(B158=1,'Input sheet(dashboard)'!$D$18*Calculations!X158,IF(Calculations!B158=12*'Input sheet(dashboard)'!$D$27,'Input sheet(dashboard)'!$D$18*-Calculations!X158,0))</f>
        <v>0</v>
      </c>
      <c r="AC158" s="3">
        <f>IF(B158&lt;='Input sheet(dashboard)'!$D$27*12,IF(MOD(B157,'Input sheet(dashboard)'!$D$19*12),0,'Input sheet(dashboard)'!$D$20*(1+'Input sheet(dashboard)'!$E$22)^Calculations!B158),0)</f>
        <v>0</v>
      </c>
      <c r="AD158" s="17">
        <f t="shared" si="21"/>
        <v>48452.136794074839</v>
      </c>
      <c r="AE158" s="17">
        <f>IF(B158&lt;='Input sheet(dashboard)'!$D$27*12,IF(D158=12,SUM(AD147:AD158),0),0)</f>
        <v>0</v>
      </c>
      <c r="AF158" s="17">
        <f t="shared" si="22"/>
        <v>14722.257311734</v>
      </c>
      <c r="AG158" s="17">
        <f t="shared" si="23"/>
        <v>14722.257311734</v>
      </c>
      <c r="AH158" s="3">
        <f>IF(B158&lt;='Input sheet(dashboard)'!$D$27*12,AH157*(1+'Input sheet(dashboard)'!$E$25)+AG158," ")</f>
        <v>8587937.1529630851</v>
      </c>
    </row>
    <row r="159" spans="2:34">
      <c r="B159">
        <f t="shared" si="18"/>
        <v>156</v>
      </c>
      <c r="C159">
        <f t="shared" si="25"/>
        <v>13</v>
      </c>
      <c r="D159">
        <f t="shared" si="26"/>
        <v>12</v>
      </c>
      <c r="E159" s="15">
        <f>IF(C159&lt;='Input sheet(dashboard)'!$D$6, -PMT('Input sheet(dashboard)'!$E$5,'Input sheet(dashboard)'!$D$6*12,'Input sheet(dashboard)'!$D$3*'Input sheet(dashboard)'!$D$4),0)</f>
        <v>39834.137922259193</v>
      </c>
      <c r="F159" s="3">
        <f>I158*'Input sheet(dashboard)'!$E$5</f>
        <v>20931.348828207243</v>
      </c>
      <c r="G159" s="3">
        <f>IF(C159&lt;='Input sheet(dashboard)'!$D$6,E159*'Input sheet(dashboard)'!$D$7,0)</f>
        <v>3186.7310337807357</v>
      </c>
      <c r="H159" s="3">
        <f t="shared" si="19"/>
        <v>18902.78909405195</v>
      </c>
      <c r="I159" s="3">
        <f t="shared" si="20"/>
        <v>5727065.7296332074</v>
      </c>
      <c r="J159" s="3">
        <f>IF(B159&lt;='Input sheet(dashboard)'!$D$27*12,'Input sheet(dashboard)'!$D$3*(1+'Input sheet(dashboard)'!$E$24)^B159,0)</f>
        <v>16722935.988168126</v>
      </c>
      <c r="K159" s="3">
        <f>IF(B159&lt;='Input sheet(dashboard)'!$D$27*12,J159*'Input sheet(dashboard)'!$E$8,0)</f>
        <v>17320.71430380088</v>
      </c>
      <c r="L159" s="3">
        <f>IF(B159&lt;='Input sheet(dashboard)'!$D$27*12,'Input sheet(dashboard)'!$D$9*(1+'Input sheet(dashboard)'!$E$22)^B159,0)</f>
        <v>4135.5331345572931</v>
      </c>
      <c r="M159" s="3">
        <f>IF(B159=1,'Input sheet(dashboard)'!$D$3*'Input sheet(dashboard)'!$D$10,0)</f>
        <v>0</v>
      </c>
      <c r="N159" s="3">
        <f>IF(B159='Input sheet(dashboard)'!$D$27*12,J159*'Input sheet(dashboard)'!$D$11,0)</f>
        <v>0</v>
      </c>
      <c r="O159" s="3">
        <f>IF(SUM(F159:F170)&gt;=150000,150000/12*'Input sheet(dashboard)'!$D$28,SUM(F159:F170)/12*'Input sheet(dashboard)'!$D$28)</f>
        <v>1875</v>
      </c>
      <c r="P159" s="3">
        <f t="shared" si="24"/>
        <v>22500</v>
      </c>
      <c r="Q159" s="3">
        <f>IF(B159&lt;='Input sheet(dashboard)'!$D$27*12,'Input sheet(dashboard)'!$D$12/12,0)</f>
        <v>192.5</v>
      </c>
      <c r="R159" s="3">
        <f>IF(B159&lt;='Input sheet(dashboard)'!$D$27*12,('Input sheet(dashboard)'!$D$15/12)*(1+'Input sheet(dashboard)'!$E$22)^Calculations!B159,0)</f>
        <v>459.50368161747696</v>
      </c>
      <c r="S159" s="3">
        <f>IF(B159&lt;='Input sheet(dashboard)'!$D$27*12,(E159+G159+K159+L159-O159+M159+Q159+R159),0)</f>
        <v>63254.120076015577</v>
      </c>
      <c r="T159" s="3">
        <f>IF(B159&lt;='Input sheet(dashboard)'!$D$27*12,IF(D159=12,SUM(S148:S159),0),0)</f>
        <v>753853.94694922538</v>
      </c>
      <c r="U159" s="3">
        <f>IF(B159&lt;='Input sheet(dashboard)'!$D$27*12,IF(S159&lt;AD159,AD159-S159,0),0)</f>
        <v>0</v>
      </c>
      <c r="V159" s="3">
        <f>IF(B159&lt;='Input sheet(dashboard)'!$D$27*12,V158*(1+'Input sheet(dashboard)'!$E$25)+U159,0)</f>
        <v>0</v>
      </c>
      <c r="W159" s="17">
        <f>IF(B159&lt;='Input sheet(dashboard)'!$D$27*12,J159-I159+V159-N159,0)</f>
        <v>10995870.258534919</v>
      </c>
      <c r="X159" s="3">
        <f>IF(B159&lt;='Input sheet(dashboard)'!$D$27*12,'Input sheet(dashboard)'!$D$17*(1+'Input sheet(dashboard)'!$E$23)^(B159-1),0)</f>
        <v>48649.536796956163</v>
      </c>
      <c r="Y159" s="3"/>
      <c r="Z159" s="18"/>
      <c r="AA159" s="18"/>
      <c r="AB159" s="3">
        <f>IF(B159=1,'Input sheet(dashboard)'!$D$18*Calculations!X159,IF(Calculations!B159=12*'Input sheet(dashboard)'!$D$27,'Input sheet(dashboard)'!$D$18*-Calculations!X159,0))</f>
        <v>0</v>
      </c>
      <c r="AC159" s="3">
        <f>IF(B159&lt;='Input sheet(dashboard)'!$D$27*12,IF(MOD(B158,'Input sheet(dashboard)'!$D$19*12),0,'Input sheet(dashboard)'!$D$20*(1+'Input sheet(dashboard)'!$E$22)^Calculations!B159),0)</f>
        <v>0</v>
      </c>
      <c r="AD159" s="17">
        <f t="shared" si="21"/>
        <v>48649.536796956163</v>
      </c>
      <c r="AE159" s="17">
        <f>IF(B159&lt;='Input sheet(dashboard)'!$D$27*12,IF(D159=12,SUM(AD148:AD159),0),0)</f>
        <v>570940.6561518932</v>
      </c>
      <c r="AF159" s="17">
        <f t="shared" si="22"/>
        <v>14604.583279059414</v>
      </c>
      <c r="AG159" s="17">
        <f t="shared" si="23"/>
        <v>14604.583279059414</v>
      </c>
      <c r="AH159" s="3">
        <f>IF(B159&lt;='Input sheet(dashboard)'!$D$27*12,AH158*(1+'Input sheet(dashboard)'!$E$25)+AG159," ")</f>
        <v>8657796.7824671268</v>
      </c>
    </row>
    <row r="160" spans="2:34">
      <c r="B160">
        <f t="shared" si="18"/>
        <v>157</v>
      </c>
      <c r="C160">
        <f t="shared" si="25"/>
        <v>14</v>
      </c>
      <c r="D160">
        <f t="shared" si="26"/>
        <v>1</v>
      </c>
      <c r="E160" s="15">
        <f>IF(C160&lt;='Input sheet(dashboard)'!$D$6, -PMT('Input sheet(dashboard)'!$E$5,'Input sheet(dashboard)'!$D$6*12,'Input sheet(dashboard)'!$D$3*'Input sheet(dashboard)'!$D$4),0)</f>
        <v>39834.137922259193</v>
      </c>
      <c r="F160" s="3">
        <f>I159*'Input sheet(dashboard)'!$E$5</f>
        <v>20862.489962889045</v>
      </c>
      <c r="G160" s="3">
        <f>IF(C160&lt;='Input sheet(dashboard)'!$D$6,E160*'Input sheet(dashboard)'!$D$7,0)</f>
        <v>3186.7310337807357</v>
      </c>
      <c r="H160" s="3">
        <f t="shared" si="19"/>
        <v>18971.647959370148</v>
      </c>
      <c r="I160" s="3">
        <f t="shared" si="20"/>
        <v>5708094.0816738373</v>
      </c>
      <c r="J160" s="3">
        <f>IF(B160&lt;='Input sheet(dashboard)'!$D$27*12,'Input sheet(dashboard)'!$D$3*(1+'Input sheet(dashboard)'!$E$24)^B160,0)</f>
        <v>16791067.299409952</v>
      </c>
      <c r="K160" s="3">
        <f>IF(B160&lt;='Input sheet(dashboard)'!$D$27*12,J160*'Input sheet(dashboard)'!$E$8,0)</f>
        <v>17391.281037895773</v>
      </c>
      <c r="L160" s="3">
        <f>IF(B160&lt;='Input sheet(dashboard)'!$D$27*12,'Input sheet(dashboard)'!$D$9*(1+'Input sheet(dashboard)'!$E$22)^B160,0)</f>
        <v>4144.0516557029896</v>
      </c>
      <c r="M160" s="3">
        <f>IF(B160=1,'Input sheet(dashboard)'!$D$3*'Input sheet(dashboard)'!$D$10,0)</f>
        <v>0</v>
      </c>
      <c r="N160" s="3">
        <f>IF(B160='Input sheet(dashboard)'!$D$27*12,J160*'Input sheet(dashboard)'!$D$11,0)</f>
        <v>0</v>
      </c>
      <c r="O160" s="3">
        <f>IF(SUM(F160:F171)&gt;=150000,150000/12*'Input sheet(dashboard)'!$D$28,SUM(F160:F171)/12*'Input sheet(dashboard)'!$D$28)</f>
        <v>1875</v>
      </c>
      <c r="P160" s="3">
        <f t="shared" si="24"/>
        <v>0</v>
      </c>
      <c r="Q160" s="3">
        <f>IF(B160&lt;='Input sheet(dashboard)'!$D$27*12,'Input sheet(dashboard)'!$D$12/12,0)</f>
        <v>192.5</v>
      </c>
      <c r="R160" s="3">
        <f>IF(B160&lt;='Input sheet(dashboard)'!$D$27*12,('Input sheet(dashboard)'!$D$15/12)*(1+'Input sheet(dashboard)'!$E$22)^Calculations!B160,0)</f>
        <v>460.45018396699879</v>
      </c>
      <c r="S160" s="3">
        <f>IF(B160&lt;='Input sheet(dashboard)'!$D$27*12,(E160+G160+K160+L160-O160+M160+Q160+R160),0)</f>
        <v>63334.151833605691</v>
      </c>
      <c r="T160" s="3">
        <f>IF(B160&lt;='Input sheet(dashboard)'!$D$27*12,IF(D160=12,SUM(S149:S160),0),0)</f>
        <v>0</v>
      </c>
      <c r="U160" s="3">
        <f>IF(B160&lt;='Input sheet(dashboard)'!$D$27*12,IF(S160&lt;AD160,AD160-S160,0),0)</f>
        <v>0</v>
      </c>
      <c r="V160" s="3">
        <f>IF(B160&lt;='Input sheet(dashboard)'!$D$27*12,V159*(1+'Input sheet(dashboard)'!$E$25)+U160,0)</f>
        <v>0</v>
      </c>
      <c r="W160" s="17">
        <f>IF(B160&lt;='Input sheet(dashboard)'!$D$27*12,J160-I160+V160-N160,0)</f>
        <v>11082973.217736114</v>
      </c>
      <c r="X160" s="3">
        <f>IF(B160&lt;='Input sheet(dashboard)'!$D$27*12,'Input sheet(dashboard)'!$D$17*(1+'Input sheet(dashboard)'!$E$23)^(B160-1),0)</f>
        <v>48847.741031884121</v>
      </c>
      <c r="Y160" s="3"/>
      <c r="Z160" s="18"/>
      <c r="AA160" s="18"/>
      <c r="AB160" s="3">
        <f>IF(B160=1,'Input sheet(dashboard)'!$D$18*Calculations!X160,IF(Calculations!B160=12*'Input sheet(dashboard)'!$D$27,'Input sheet(dashboard)'!$D$18*-Calculations!X160,0))</f>
        <v>0</v>
      </c>
      <c r="AC160" s="3">
        <f>IF(B160&lt;='Input sheet(dashboard)'!$D$27*12,IF(MOD(B159,'Input sheet(dashboard)'!$D$19*12),0,'Input sheet(dashboard)'!$D$20*(1+'Input sheet(dashboard)'!$E$22)^Calculations!B160),0)</f>
        <v>11050.804415207973</v>
      </c>
      <c r="AD160" s="17">
        <f t="shared" si="21"/>
        <v>59898.545447092096</v>
      </c>
      <c r="AE160" s="17">
        <f>IF(B160&lt;='Input sheet(dashboard)'!$D$27*12,IF(D160=12,SUM(AD149:AD160),0),0)</f>
        <v>0</v>
      </c>
      <c r="AF160" s="17">
        <f t="shared" si="22"/>
        <v>3435.6063865135948</v>
      </c>
      <c r="AG160" s="17">
        <f t="shared" si="23"/>
        <v>3435.6063865135948</v>
      </c>
      <c r="AH160" s="3">
        <f>IF(B160&lt;='Input sheet(dashboard)'!$D$27*12,AH159*(1+'Input sheet(dashboard)'!$E$25)+AG160," ")</f>
        <v>8716936.9140383247</v>
      </c>
    </row>
    <row r="161" spans="2:34">
      <c r="B161">
        <f t="shared" si="18"/>
        <v>158</v>
      </c>
      <c r="C161">
        <f t="shared" si="25"/>
        <v>14</v>
      </c>
      <c r="D161">
        <f t="shared" si="26"/>
        <v>2</v>
      </c>
      <c r="E161" s="15">
        <f>IF(C161&lt;='Input sheet(dashboard)'!$D$6, -PMT('Input sheet(dashboard)'!$E$5,'Input sheet(dashboard)'!$D$6*12,'Input sheet(dashboard)'!$D$3*'Input sheet(dashboard)'!$D$4),0)</f>
        <v>39834.137922259193</v>
      </c>
      <c r="F161" s="3">
        <f>I160*'Input sheet(dashboard)'!$E$5</f>
        <v>20793.380259278718</v>
      </c>
      <c r="G161" s="3">
        <f>IF(C161&lt;='Input sheet(dashboard)'!$D$6,E161*'Input sheet(dashboard)'!$D$7,0)</f>
        <v>3186.7310337807357</v>
      </c>
      <c r="H161" s="3">
        <f t="shared" si="19"/>
        <v>19040.757662980475</v>
      </c>
      <c r="I161" s="3">
        <f t="shared" si="20"/>
        <v>5689053.3240108564</v>
      </c>
      <c r="J161" s="3">
        <f>IF(B161&lt;='Input sheet(dashboard)'!$D$27*12,'Input sheet(dashboard)'!$D$3*(1+'Input sheet(dashboard)'!$E$24)^B161,0)</f>
        <v>16859476.186047319</v>
      </c>
      <c r="K161" s="3">
        <f>IF(B161&lt;='Input sheet(dashboard)'!$D$27*12,J161*'Input sheet(dashboard)'!$E$8,0)</f>
        <v>17462.135269600378</v>
      </c>
      <c r="L161" s="3">
        <f>IF(B161&lt;='Input sheet(dashboard)'!$D$27*12,'Input sheet(dashboard)'!$D$9*(1+'Input sheet(dashboard)'!$E$22)^B161,0)</f>
        <v>4152.5877236075085</v>
      </c>
      <c r="M161" s="3">
        <f>IF(B161=1,'Input sheet(dashboard)'!$D$3*'Input sheet(dashboard)'!$D$10,0)</f>
        <v>0</v>
      </c>
      <c r="N161" s="3">
        <f>IF(B161='Input sheet(dashboard)'!$D$27*12,J161*'Input sheet(dashboard)'!$D$11,0)</f>
        <v>0</v>
      </c>
      <c r="O161" s="3">
        <f>IF(SUM(F161:F172)&gt;=150000,150000/12*'Input sheet(dashboard)'!$D$28,SUM(F161:F172)/12*'Input sheet(dashboard)'!$D$28)</f>
        <v>1875</v>
      </c>
      <c r="P161" s="3">
        <f t="shared" si="24"/>
        <v>0</v>
      </c>
      <c r="Q161" s="3">
        <f>IF(B161&lt;='Input sheet(dashboard)'!$D$27*12,'Input sheet(dashboard)'!$D$12/12,0)</f>
        <v>192.5</v>
      </c>
      <c r="R161" s="3">
        <f>IF(B161&lt;='Input sheet(dashboard)'!$D$27*12,('Input sheet(dashboard)'!$D$15/12)*(1+'Input sheet(dashboard)'!$E$22)^Calculations!B161,0)</f>
        <v>461.3986359563898</v>
      </c>
      <c r="S161" s="3">
        <f>IF(B161&lt;='Input sheet(dashboard)'!$D$27*12,(E161+G161+K161+L161-O161+M161+Q161+R161),0)</f>
        <v>63414.490585204214</v>
      </c>
      <c r="T161" s="3">
        <f>IF(B161&lt;='Input sheet(dashboard)'!$D$27*12,IF(D161=12,SUM(S150:S161),0),0)</f>
        <v>0</v>
      </c>
      <c r="U161" s="3">
        <f>IF(B161&lt;='Input sheet(dashboard)'!$D$27*12,IF(S161&lt;AD161,AD161-S161,0),0)</f>
        <v>0</v>
      </c>
      <c r="V161" s="3">
        <f>IF(B161&lt;='Input sheet(dashboard)'!$D$27*12,V160*(1+'Input sheet(dashboard)'!$E$25)+U161,0)</f>
        <v>0</v>
      </c>
      <c r="W161" s="17">
        <f>IF(B161&lt;='Input sheet(dashboard)'!$D$27*12,J161-I161+V161-N161,0)</f>
        <v>11170422.862036463</v>
      </c>
      <c r="X161" s="3">
        <f>IF(B161&lt;='Input sheet(dashboard)'!$D$27*12,'Input sheet(dashboard)'!$D$17*(1+'Input sheet(dashboard)'!$E$23)^(B161-1),0)</f>
        <v>49046.752775399626</v>
      </c>
      <c r="Y161" s="3"/>
      <c r="Z161" s="18"/>
      <c r="AA161" s="18"/>
      <c r="AB161" s="3">
        <f>IF(B161=1,'Input sheet(dashboard)'!$D$18*Calculations!X161,IF(Calculations!B161=12*'Input sheet(dashboard)'!$D$27,'Input sheet(dashboard)'!$D$18*-Calculations!X161,0))</f>
        <v>0</v>
      </c>
      <c r="AC161" s="3">
        <f>IF(B161&lt;='Input sheet(dashboard)'!$D$27*12,IF(MOD(B160,'Input sheet(dashboard)'!$D$19*12),0,'Input sheet(dashboard)'!$D$20*(1+'Input sheet(dashboard)'!$E$22)^Calculations!B161),0)</f>
        <v>0</v>
      </c>
      <c r="AD161" s="17">
        <f t="shared" si="21"/>
        <v>49046.752775399626</v>
      </c>
      <c r="AE161" s="17">
        <f>IF(B161&lt;='Input sheet(dashboard)'!$D$27*12,IF(D161=12,SUM(AD150:AD161),0),0)</f>
        <v>0</v>
      </c>
      <c r="AF161" s="17">
        <f t="shared" si="22"/>
        <v>14367.737809804588</v>
      </c>
      <c r="AG161" s="17">
        <f t="shared" si="23"/>
        <v>14367.737809804588</v>
      </c>
      <c r="AH161" s="3">
        <f>IF(B161&lt;='Input sheet(dashboard)'!$D$27*12,AH160*(1+'Input sheet(dashboard)'!$E$25)+AG161," ")</f>
        <v>8787389.6864200532</v>
      </c>
    </row>
    <row r="162" spans="2:34">
      <c r="B162">
        <f t="shared" si="18"/>
        <v>159</v>
      </c>
      <c r="C162">
        <f t="shared" si="25"/>
        <v>14</v>
      </c>
      <c r="D162">
        <f t="shared" si="26"/>
        <v>3</v>
      </c>
      <c r="E162" s="15">
        <f>IF(C162&lt;='Input sheet(dashboard)'!$D$6, -PMT('Input sheet(dashboard)'!$E$5,'Input sheet(dashboard)'!$D$6*12,'Input sheet(dashboard)'!$D$3*'Input sheet(dashboard)'!$D$4),0)</f>
        <v>39834.137922259193</v>
      </c>
      <c r="F162" s="3">
        <f>I161*'Input sheet(dashboard)'!$E$5</f>
        <v>20724.018803625375</v>
      </c>
      <c r="G162" s="3">
        <f>IF(C162&lt;='Input sheet(dashboard)'!$D$6,E162*'Input sheet(dashboard)'!$D$7,0)</f>
        <v>3186.7310337807357</v>
      </c>
      <c r="H162" s="3">
        <f t="shared" si="19"/>
        <v>19110.119118633818</v>
      </c>
      <c r="I162" s="3">
        <f t="shared" si="20"/>
        <v>5669943.2048922228</v>
      </c>
      <c r="J162" s="3">
        <f>IF(B162&lt;='Input sheet(dashboard)'!$D$27*12,'Input sheet(dashboard)'!$D$3*(1+'Input sheet(dashboard)'!$E$24)^B162,0)</f>
        <v>16928163.778956745</v>
      </c>
      <c r="K162" s="3">
        <f>IF(B162&lt;='Input sheet(dashboard)'!$D$27*12,J162*'Input sheet(dashboard)'!$E$8,0)</f>
        <v>17533.278170215541</v>
      </c>
      <c r="L162" s="3">
        <f>IF(B162&lt;='Input sheet(dashboard)'!$D$27*12,'Input sheet(dashboard)'!$D$9*(1+'Input sheet(dashboard)'!$E$22)^B162,0)</f>
        <v>4161.1413744142992</v>
      </c>
      <c r="M162" s="3">
        <f>IF(B162=1,'Input sheet(dashboard)'!$D$3*'Input sheet(dashboard)'!$D$10,0)</f>
        <v>0</v>
      </c>
      <c r="N162" s="3">
        <f>IF(B162='Input sheet(dashboard)'!$D$27*12,J162*'Input sheet(dashboard)'!$D$11,0)</f>
        <v>0</v>
      </c>
      <c r="O162" s="3">
        <f>IF(SUM(F162:F173)&gt;=150000,150000/12*'Input sheet(dashboard)'!$D$28,SUM(F162:F173)/12*'Input sheet(dashboard)'!$D$28)</f>
        <v>1875</v>
      </c>
      <c r="P162" s="3">
        <f t="shared" si="24"/>
        <v>0</v>
      </c>
      <c r="Q162" s="3">
        <f>IF(B162&lt;='Input sheet(dashboard)'!$D$27*12,'Input sheet(dashboard)'!$D$12/12,0)</f>
        <v>192.5</v>
      </c>
      <c r="R162" s="3">
        <f>IF(B162&lt;='Input sheet(dashboard)'!$D$27*12,('Input sheet(dashboard)'!$D$15/12)*(1+'Input sheet(dashboard)'!$E$22)^Calculations!B162,0)</f>
        <v>462.34904160158879</v>
      </c>
      <c r="S162" s="3">
        <f>IF(B162&lt;='Input sheet(dashboard)'!$D$27*12,(E162+G162+K162+L162-O162+M162+Q162+R162),0)</f>
        <v>63495.137542271361</v>
      </c>
      <c r="T162" s="3">
        <f>IF(B162&lt;='Input sheet(dashboard)'!$D$27*12,IF(D162=12,SUM(S151:S162),0),0)</f>
        <v>0</v>
      </c>
      <c r="U162" s="3">
        <f>IF(B162&lt;='Input sheet(dashboard)'!$D$27*12,IF(S162&lt;AD162,AD162-S162,0),0)</f>
        <v>0</v>
      </c>
      <c r="V162" s="3">
        <f>IF(B162&lt;='Input sheet(dashboard)'!$D$27*12,V161*(1+'Input sheet(dashboard)'!$E$25)+U162,0)</f>
        <v>0</v>
      </c>
      <c r="W162" s="17">
        <f>IF(B162&lt;='Input sheet(dashboard)'!$D$27*12,J162-I162+V162-N162,0)</f>
        <v>11258220.574064523</v>
      </c>
      <c r="X162" s="3">
        <f>IF(B162&lt;='Input sheet(dashboard)'!$D$27*12,'Input sheet(dashboard)'!$D$17*(1+'Input sheet(dashboard)'!$E$23)^(B162-1),0)</f>
        <v>49246.575317392599</v>
      </c>
      <c r="Y162" s="3"/>
      <c r="Z162" s="18"/>
      <c r="AA162" s="18"/>
      <c r="AB162" s="3">
        <f>IF(B162=1,'Input sheet(dashboard)'!$D$18*Calculations!X162,IF(Calculations!B162=12*'Input sheet(dashboard)'!$D$27,'Input sheet(dashboard)'!$D$18*-Calculations!X162,0))</f>
        <v>0</v>
      </c>
      <c r="AC162" s="3">
        <f>IF(B162&lt;='Input sheet(dashboard)'!$D$27*12,IF(MOD(B161,'Input sheet(dashboard)'!$D$19*12),0,'Input sheet(dashboard)'!$D$20*(1+'Input sheet(dashboard)'!$E$22)^Calculations!B162),0)</f>
        <v>0</v>
      </c>
      <c r="AD162" s="17">
        <f t="shared" si="21"/>
        <v>49246.575317392599</v>
      </c>
      <c r="AE162" s="17">
        <f>IF(B162&lt;='Input sheet(dashboard)'!$D$27*12,IF(D162=12,SUM(AD151:AD162),0),0)</f>
        <v>0</v>
      </c>
      <c r="AF162" s="17">
        <f t="shared" si="22"/>
        <v>14248.562224878762</v>
      </c>
      <c r="AG162" s="17">
        <f t="shared" si="23"/>
        <v>14248.562224878762</v>
      </c>
      <c r="AH162" s="3">
        <f>IF(B162&lt;='Input sheet(dashboard)'!$D$27*12,AH161*(1+'Input sheet(dashboard)'!$E$25)+AG162," ")</f>
        <v>8858176.5784756914</v>
      </c>
    </row>
    <row r="163" spans="2:34">
      <c r="B163">
        <f t="shared" si="18"/>
        <v>160</v>
      </c>
      <c r="C163">
        <f t="shared" si="25"/>
        <v>14</v>
      </c>
      <c r="D163">
        <f t="shared" si="26"/>
        <v>4</v>
      </c>
      <c r="E163" s="15">
        <f>IF(C163&lt;='Input sheet(dashboard)'!$D$6, -PMT('Input sheet(dashboard)'!$E$5,'Input sheet(dashboard)'!$D$6*12,'Input sheet(dashboard)'!$D$3*'Input sheet(dashboard)'!$D$4),0)</f>
        <v>39834.137922259193</v>
      </c>
      <c r="F163" s="3">
        <f>I162*'Input sheet(dashboard)'!$E$5</f>
        <v>20654.404678849536</v>
      </c>
      <c r="G163" s="3">
        <f>IF(C163&lt;='Input sheet(dashboard)'!$D$6,E163*'Input sheet(dashboard)'!$D$7,0)</f>
        <v>3186.7310337807357</v>
      </c>
      <c r="H163" s="3">
        <f t="shared" si="19"/>
        <v>19179.733243409657</v>
      </c>
      <c r="I163" s="3">
        <f t="shared" si="20"/>
        <v>5650763.4716488132</v>
      </c>
      <c r="J163" s="3">
        <f>IF(B163&lt;='Input sheet(dashboard)'!$D$27*12,'Input sheet(dashboard)'!$D$3*(1+'Input sheet(dashboard)'!$E$24)^B163,0)</f>
        <v>16997131.213622093</v>
      </c>
      <c r="K163" s="3">
        <f>IF(B163&lt;='Input sheet(dashboard)'!$D$27*12,J163*'Input sheet(dashboard)'!$E$8,0)</f>
        <v>17604.710915814143</v>
      </c>
      <c r="L163" s="3">
        <f>IF(B163&lt;='Input sheet(dashboard)'!$D$27*12,'Input sheet(dashboard)'!$D$9*(1+'Input sheet(dashboard)'!$E$22)^B163,0)</f>
        <v>4169.7126443412608</v>
      </c>
      <c r="M163" s="3">
        <f>IF(B163=1,'Input sheet(dashboard)'!$D$3*'Input sheet(dashboard)'!$D$10,0)</f>
        <v>0</v>
      </c>
      <c r="N163" s="3">
        <f>IF(B163='Input sheet(dashboard)'!$D$27*12,J163*'Input sheet(dashboard)'!$D$11,0)</f>
        <v>0</v>
      </c>
      <c r="O163" s="3">
        <f>IF(SUM(F163:F174)&gt;=150000,150000/12*'Input sheet(dashboard)'!$D$28,SUM(F163:F174)/12*'Input sheet(dashboard)'!$D$28)</f>
        <v>1875</v>
      </c>
      <c r="P163" s="3">
        <f t="shared" si="24"/>
        <v>0</v>
      </c>
      <c r="Q163" s="3">
        <f>IF(B163&lt;='Input sheet(dashboard)'!$D$27*12,'Input sheet(dashboard)'!$D$12/12,0)</f>
        <v>192.5</v>
      </c>
      <c r="R163" s="3">
        <f>IF(B163&lt;='Input sheet(dashboard)'!$D$27*12,('Input sheet(dashboard)'!$D$15/12)*(1+'Input sheet(dashboard)'!$E$22)^Calculations!B163,0)</f>
        <v>463.3014049268067</v>
      </c>
      <c r="S163" s="3">
        <f>IF(B163&lt;='Input sheet(dashboard)'!$D$27*12,(E163+G163+K163+L163-O163+M163+Q163+R163),0)</f>
        <v>63576.093921122148</v>
      </c>
      <c r="T163" s="3">
        <f>IF(B163&lt;='Input sheet(dashboard)'!$D$27*12,IF(D163=12,SUM(S152:S163),0),0)</f>
        <v>0</v>
      </c>
      <c r="U163" s="3">
        <f>IF(B163&lt;='Input sheet(dashboard)'!$D$27*12,IF(S163&lt;AD163,AD163-S163,0),0)</f>
        <v>0</v>
      </c>
      <c r="V163" s="3">
        <f>IF(B163&lt;='Input sheet(dashboard)'!$D$27*12,V162*(1+'Input sheet(dashboard)'!$E$25)+U163,0)</f>
        <v>0</v>
      </c>
      <c r="W163" s="17">
        <f>IF(B163&lt;='Input sheet(dashboard)'!$D$27*12,J163-I163+V163-N163,0)</f>
        <v>11346367.741973281</v>
      </c>
      <c r="X163" s="3">
        <f>IF(B163&lt;='Input sheet(dashboard)'!$D$27*12,'Input sheet(dashboard)'!$D$17*(1+'Input sheet(dashboard)'!$E$23)^(B163-1),0)</f>
        <v>49447.211961156419</v>
      </c>
      <c r="Y163" s="3"/>
      <c r="Z163" s="18"/>
      <c r="AA163" s="18"/>
      <c r="AB163" s="3">
        <f>IF(B163=1,'Input sheet(dashboard)'!$D$18*Calculations!X163,IF(Calculations!B163=12*'Input sheet(dashboard)'!$D$27,'Input sheet(dashboard)'!$D$18*-Calculations!X163,0))</f>
        <v>0</v>
      </c>
      <c r="AC163" s="3">
        <f>IF(B163&lt;='Input sheet(dashboard)'!$D$27*12,IF(MOD(B162,'Input sheet(dashboard)'!$D$19*12),0,'Input sheet(dashboard)'!$D$20*(1+'Input sheet(dashboard)'!$E$22)^Calculations!B163),0)</f>
        <v>0</v>
      </c>
      <c r="AD163" s="17">
        <f t="shared" si="21"/>
        <v>49447.211961156419</v>
      </c>
      <c r="AE163" s="17">
        <f>IF(B163&lt;='Input sheet(dashboard)'!$D$27*12,IF(D163=12,SUM(AD152:AD163),0),0)</f>
        <v>0</v>
      </c>
      <c r="AF163" s="17">
        <f t="shared" si="22"/>
        <v>14128.881959965729</v>
      </c>
      <c r="AG163" s="17">
        <f t="shared" si="23"/>
        <v>14128.881959965729</v>
      </c>
      <c r="AH163" s="3">
        <f>IF(B163&lt;='Input sheet(dashboard)'!$D$27*12,AH162*(1+'Input sheet(dashboard)'!$E$25)+AG163," ")</f>
        <v>8929299.2352612969</v>
      </c>
    </row>
    <row r="164" spans="2:34">
      <c r="B164">
        <f t="shared" si="18"/>
        <v>161</v>
      </c>
      <c r="C164">
        <f t="shared" si="25"/>
        <v>14</v>
      </c>
      <c r="D164">
        <f t="shared" si="26"/>
        <v>5</v>
      </c>
      <c r="E164" s="15">
        <f>IF(C164&lt;='Input sheet(dashboard)'!$D$6, -PMT('Input sheet(dashboard)'!$E$5,'Input sheet(dashboard)'!$D$6*12,'Input sheet(dashboard)'!$D$3*'Input sheet(dashboard)'!$D$4),0)</f>
        <v>39834.137922259193</v>
      </c>
      <c r="F164" s="3">
        <f>I163*'Input sheet(dashboard)'!$E$5</f>
        <v>20584.536964530995</v>
      </c>
      <c r="G164" s="3">
        <f>IF(C164&lt;='Input sheet(dashboard)'!$D$6,E164*'Input sheet(dashboard)'!$D$7,0)</f>
        <v>3186.7310337807357</v>
      </c>
      <c r="H164" s="3">
        <f t="shared" si="19"/>
        <v>19249.600957728198</v>
      </c>
      <c r="I164" s="3">
        <f t="shared" si="20"/>
        <v>5631513.8706910852</v>
      </c>
      <c r="J164" s="3">
        <f>IF(B164&lt;='Input sheet(dashboard)'!$D$27*12,'Input sheet(dashboard)'!$D$3*(1+'Input sheet(dashboard)'!$E$24)^B164,0)</f>
        <v>17066379.630153302</v>
      </c>
      <c r="K164" s="3">
        <f>IF(B164&lt;='Input sheet(dashboard)'!$D$27*12,J164*'Input sheet(dashboard)'!$E$8,0)</f>
        <v>17676.434687260513</v>
      </c>
      <c r="L164" s="3">
        <f>IF(B164&lt;='Input sheet(dashboard)'!$D$27*12,'Input sheet(dashboard)'!$D$9*(1+'Input sheet(dashboard)'!$E$22)^B164,0)</f>
        <v>4178.3015696808961</v>
      </c>
      <c r="M164" s="3">
        <f>IF(B164=1,'Input sheet(dashboard)'!$D$3*'Input sheet(dashboard)'!$D$10,0)</f>
        <v>0</v>
      </c>
      <c r="N164" s="3">
        <f>IF(B164='Input sheet(dashboard)'!$D$27*12,J164*'Input sheet(dashboard)'!$D$11,0)</f>
        <v>0</v>
      </c>
      <c r="O164" s="3">
        <f>IF(SUM(F164:F175)&gt;=150000,150000/12*'Input sheet(dashboard)'!$D$28,SUM(F164:F175)/12*'Input sheet(dashboard)'!$D$28)</f>
        <v>1875</v>
      </c>
      <c r="P164" s="3">
        <f t="shared" si="24"/>
        <v>0</v>
      </c>
      <c r="Q164" s="3">
        <f>IF(B164&lt;='Input sheet(dashboard)'!$D$27*12,'Input sheet(dashboard)'!$D$12/12,0)</f>
        <v>192.5</v>
      </c>
      <c r="R164" s="3">
        <f>IF(B164&lt;='Input sheet(dashboard)'!$D$27*12,('Input sheet(dashboard)'!$D$15/12)*(1+'Input sheet(dashboard)'!$E$22)^Calculations!B164,0)</f>
        <v>464.255729964544</v>
      </c>
      <c r="S164" s="3">
        <f>IF(B164&lt;='Input sheet(dashboard)'!$D$27*12,(E164+G164+K164+L164-O164+M164+Q164+R164),0)</f>
        <v>63657.360942945881</v>
      </c>
      <c r="T164" s="3">
        <f>IF(B164&lt;='Input sheet(dashboard)'!$D$27*12,IF(D164=12,SUM(S153:S164),0),0)</f>
        <v>0</v>
      </c>
      <c r="U164" s="3">
        <f>IF(B164&lt;='Input sheet(dashboard)'!$D$27*12,IF(S164&lt;AD164,AD164-S164,0),0)</f>
        <v>0</v>
      </c>
      <c r="V164" s="3">
        <f>IF(B164&lt;='Input sheet(dashboard)'!$D$27*12,V163*(1+'Input sheet(dashboard)'!$E$25)+U164,0)</f>
        <v>0</v>
      </c>
      <c r="W164" s="17">
        <f>IF(B164&lt;='Input sheet(dashboard)'!$D$27*12,J164-I164+V164-N164,0)</f>
        <v>11434865.759462217</v>
      </c>
      <c r="X164" s="3">
        <f>IF(B164&lt;='Input sheet(dashboard)'!$D$27*12,'Input sheet(dashboard)'!$D$17*(1+'Input sheet(dashboard)'!$E$23)^(B164-1),0)</f>
        <v>49648.666023442471</v>
      </c>
      <c r="Y164" s="3"/>
      <c r="Z164" s="18"/>
      <c r="AA164" s="18"/>
      <c r="AB164" s="3">
        <f>IF(B164=1,'Input sheet(dashboard)'!$D$18*Calculations!X164,IF(Calculations!B164=12*'Input sheet(dashboard)'!$D$27,'Input sheet(dashboard)'!$D$18*-Calculations!X164,0))</f>
        <v>0</v>
      </c>
      <c r="AC164" s="3">
        <f>IF(B164&lt;='Input sheet(dashboard)'!$D$27*12,IF(MOD(B163,'Input sheet(dashboard)'!$D$19*12),0,'Input sheet(dashboard)'!$D$20*(1+'Input sheet(dashboard)'!$E$22)^Calculations!B164),0)</f>
        <v>0</v>
      </c>
      <c r="AD164" s="17">
        <f t="shared" si="21"/>
        <v>49648.666023442471</v>
      </c>
      <c r="AE164" s="17">
        <f>IF(B164&lt;='Input sheet(dashboard)'!$D$27*12,IF(D164=12,SUM(AD153:AD164),0),0)</f>
        <v>0</v>
      </c>
      <c r="AF164" s="17">
        <f t="shared" si="22"/>
        <v>14008.69491950341</v>
      </c>
      <c r="AG164" s="17">
        <f t="shared" si="23"/>
        <v>14008.69491950341</v>
      </c>
      <c r="AH164" s="3">
        <f>IF(B164&lt;='Input sheet(dashboard)'!$D$27*12,AH163*(1+'Input sheet(dashboard)'!$E$25)+AG164," ")</f>
        <v>9000759.3103217036</v>
      </c>
    </row>
    <row r="165" spans="2:34">
      <c r="B165">
        <f t="shared" si="18"/>
        <v>162</v>
      </c>
      <c r="C165">
        <f t="shared" si="25"/>
        <v>14</v>
      </c>
      <c r="D165">
        <f t="shared" si="26"/>
        <v>6</v>
      </c>
      <c r="E165" s="15">
        <f>IF(C165&lt;='Input sheet(dashboard)'!$D$6, -PMT('Input sheet(dashboard)'!$E$5,'Input sheet(dashboard)'!$D$6*12,'Input sheet(dashboard)'!$D$3*'Input sheet(dashboard)'!$D$4),0)</f>
        <v>39834.137922259193</v>
      </c>
      <c r="F165" s="3">
        <f>I164*'Input sheet(dashboard)'!$E$5</f>
        <v>20514.414736896644</v>
      </c>
      <c r="G165" s="3">
        <f>IF(C165&lt;='Input sheet(dashboard)'!$D$6,E165*'Input sheet(dashboard)'!$D$7,0)</f>
        <v>3186.7310337807357</v>
      </c>
      <c r="H165" s="3">
        <f t="shared" si="19"/>
        <v>19319.723185362549</v>
      </c>
      <c r="I165" s="3">
        <f t="shared" si="20"/>
        <v>5612194.1475057229</v>
      </c>
      <c r="J165" s="3">
        <f>IF(B165&lt;='Input sheet(dashboard)'!$D$27*12,'Input sheet(dashboard)'!$D$3*(1+'Input sheet(dashboard)'!$E$24)^B165,0)</f>
        <v>17135910.173305284</v>
      </c>
      <c r="K165" s="3">
        <f>IF(B165&lt;='Input sheet(dashboard)'!$D$27*12,J165*'Input sheet(dashboard)'!$E$8,0)</f>
        <v>17748.450670229991</v>
      </c>
      <c r="L165" s="3">
        <f>IF(B165&lt;='Input sheet(dashboard)'!$D$27*12,'Input sheet(dashboard)'!$D$9*(1+'Input sheet(dashboard)'!$E$22)^B165,0)</f>
        <v>4186.908186800466</v>
      </c>
      <c r="M165" s="3">
        <f>IF(B165=1,'Input sheet(dashboard)'!$D$3*'Input sheet(dashboard)'!$D$10,0)</f>
        <v>0</v>
      </c>
      <c r="N165" s="3">
        <f>IF(B165='Input sheet(dashboard)'!$D$27*12,J165*'Input sheet(dashboard)'!$D$11,0)</f>
        <v>0</v>
      </c>
      <c r="O165" s="3">
        <f>IF(SUM(F165:F176)&gt;=150000,150000/12*'Input sheet(dashboard)'!$D$28,SUM(F165:F176)/12*'Input sheet(dashboard)'!$D$28)</f>
        <v>1875</v>
      </c>
      <c r="P165" s="3">
        <f t="shared" si="24"/>
        <v>0</v>
      </c>
      <c r="Q165" s="3">
        <f>IF(B165&lt;='Input sheet(dashboard)'!$D$27*12,'Input sheet(dashboard)'!$D$12/12,0)</f>
        <v>192.5</v>
      </c>
      <c r="R165" s="3">
        <f>IF(B165&lt;='Input sheet(dashboard)'!$D$27*12,('Input sheet(dashboard)'!$D$15/12)*(1+'Input sheet(dashboard)'!$E$22)^Calculations!B165,0)</f>
        <v>465.21202075560734</v>
      </c>
      <c r="S165" s="3">
        <f>IF(B165&lt;='Input sheet(dashboard)'!$D$27*12,(E165+G165+K165+L165-O165+M165+Q165+R165),0)</f>
        <v>63738.939833825993</v>
      </c>
      <c r="T165" s="3">
        <f>IF(B165&lt;='Input sheet(dashboard)'!$D$27*12,IF(D165=12,SUM(S154:S165),0),0)</f>
        <v>0</v>
      </c>
      <c r="U165" s="3">
        <f>IF(B165&lt;='Input sheet(dashboard)'!$D$27*12,IF(S165&lt;AD165,AD165-S165,0),0)</f>
        <v>0</v>
      </c>
      <c r="V165" s="3">
        <f>IF(B165&lt;='Input sheet(dashboard)'!$D$27*12,V164*(1+'Input sheet(dashboard)'!$E$25)+U165,0)</f>
        <v>0</v>
      </c>
      <c r="W165" s="17">
        <f>IF(B165&lt;='Input sheet(dashboard)'!$D$27*12,J165-I165+V165-N165,0)</f>
        <v>11523716.025799561</v>
      </c>
      <c r="X165" s="3">
        <f>IF(B165&lt;='Input sheet(dashboard)'!$D$27*12,'Input sheet(dashboard)'!$D$17*(1+'Input sheet(dashboard)'!$E$23)^(B165-1),0)</f>
        <v>49850.940834515</v>
      </c>
      <c r="Y165" s="3"/>
      <c r="Z165" s="18"/>
      <c r="AA165" s="18"/>
      <c r="AB165" s="3">
        <f>IF(B165=1,'Input sheet(dashboard)'!$D$18*Calculations!X165,IF(Calculations!B165=12*'Input sheet(dashboard)'!$D$27,'Input sheet(dashboard)'!$D$18*-Calculations!X165,0))</f>
        <v>0</v>
      </c>
      <c r="AC165" s="3">
        <f>IF(B165&lt;='Input sheet(dashboard)'!$D$27*12,IF(MOD(B164,'Input sheet(dashboard)'!$D$19*12),0,'Input sheet(dashboard)'!$D$20*(1+'Input sheet(dashboard)'!$E$22)^Calculations!B165),0)</f>
        <v>0</v>
      </c>
      <c r="AD165" s="17">
        <f t="shared" si="21"/>
        <v>49850.940834515</v>
      </c>
      <c r="AE165" s="17">
        <f>IF(B165&lt;='Input sheet(dashboard)'!$D$27*12,IF(D165=12,SUM(AD154:AD165),0),0)</f>
        <v>0</v>
      </c>
      <c r="AF165" s="17">
        <f t="shared" si="22"/>
        <v>13887.998999310992</v>
      </c>
      <c r="AG165" s="17">
        <f t="shared" si="23"/>
        <v>13887.998999310992</v>
      </c>
      <c r="AH165" s="3">
        <f>IF(B165&lt;='Input sheet(dashboard)'!$D$27*12,AH164*(1+'Input sheet(dashboard)'!$E$25)+AG165," ")</f>
        <v>9072558.4657365177</v>
      </c>
    </row>
    <row r="166" spans="2:34">
      <c r="B166">
        <f t="shared" si="18"/>
        <v>163</v>
      </c>
      <c r="C166">
        <f t="shared" si="25"/>
        <v>14</v>
      </c>
      <c r="D166">
        <f t="shared" si="26"/>
        <v>7</v>
      </c>
      <c r="E166" s="15">
        <f>IF(C166&lt;='Input sheet(dashboard)'!$D$6, -PMT('Input sheet(dashboard)'!$E$5,'Input sheet(dashboard)'!$D$6*12,'Input sheet(dashboard)'!$D$3*'Input sheet(dashboard)'!$D$4),0)</f>
        <v>39834.137922259193</v>
      </c>
      <c r="F166" s="3">
        <f>I165*'Input sheet(dashboard)'!$E$5</f>
        <v>20444.037068808273</v>
      </c>
      <c r="G166" s="3">
        <f>IF(C166&lt;='Input sheet(dashboard)'!$D$6,E166*'Input sheet(dashboard)'!$D$7,0)</f>
        <v>3186.7310337807357</v>
      </c>
      <c r="H166" s="3">
        <f t="shared" si="19"/>
        <v>19390.10085345092</v>
      </c>
      <c r="I166" s="3">
        <f t="shared" si="20"/>
        <v>5592804.0466522723</v>
      </c>
      <c r="J166" s="3">
        <f>IF(B166&lt;='Input sheet(dashboard)'!$D$27*12,'Input sheet(dashboard)'!$D$3*(1+'Input sheet(dashboard)'!$E$24)^B166,0)</f>
        <v>17205723.992496811</v>
      </c>
      <c r="K166" s="3">
        <f>IF(B166&lt;='Input sheet(dashboard)'!$D$27*12,J166*'Input sheet(dashboard)'!$E$8,0)</f>
        <v>17820.760055228486</v>
      </c>
      <c r="L166" s="3">
        <f>IF(B166&lt;='Input sheet(dashboard)'!$D$27*12,'Input sheet(dashboard)'!$D$9*(1+'Input sheet(dashboard)'!$E$22)^B166,0)</f>
        <v>4195.5325321421387</v>
      </c>
      <c r="M166" s="3">
        <f>IF(B166=1,'Input sheet(dashboard)'!$D$3*'Input sheet(dashboard)'!$D$10,0)</f>
        <v>0</v>
      </c>
      <c r="N166" s="3">
        <f>IF(B166='Input sheet(dashboard)'!$D$27*12,J166*'Input sheet(dashboard)'!$D$11,0)</f>
        <v>0</v>
      </c>
      <c r="O166" s="3">
        <f>IF(SUM(F166:F177)&gt;=150000,150000/12*'Input sheet(dashboard)'!$D$28,SUM(F166:F177)/12*'Input sheet(dashboard)'!$D$28)</f>
        <v>1875</v>
      </c>
      <c r="P166" s="3">
        <f t="shared" si="24"/>
        <v>0</v>
      </c>
      <c r="Q166" s="3">
        <f>IF(B166&lt;='Input sheet(dashboard)'!$D$27*12,'Input sheet(dashboard)'!$D$12/12,0)</f>
        <v>192.5</v>
      </c>
      <c r="R166" s="3">
        <f>IF(B166&lt;='Input sheet(dashboard)'!$D$27*12,('Input sheet(dashboard)'!$D$15/12)*(1+'Input sheet(dashboard)'!$E$22)^Calculations!B166,0)</f>
        <v>466.17028134912653</v>
      </c>
      <c r="S166" s="3">
        <f>IF(B166&lt;='Input sheet(dashboard)'!$D$27*12,(E166+G166+K166+L166-O166+M166+Q166+R166),0)</f>
        <v>63820.831824759684</v>
      </c>
      <c r="T166" s="3">
        <f>IF(B166&lt;='Input sheet(dashboard)'!$D$27*12,IF(D166=12,SUM(S155:S166),0),0)</f>
        <v>0</v>
      </c>
      <c r="U166" s="3">
        <f>IF(B166&lt;='Input sheet(dashboard)'!$D$27*12,IF(S166&lt;AD166,AD166-S166,0),0)</f>
        <v>0</v>
      </c>
      <c r="V166" s="3">
        <f>IF(B166&lt;='Input sheet(dashboard)'!$D$27*12,V165*(1+'Input sheet(dashboard)'!$E$25)+U166,0)</f>
        <v>0</v>
      </c>
      <c r="W166" s="17">
        <f>IF(B166&lt;='Input sheet(dashboard)'!$D$27*12,J166-I166+V166-N166,0)</f>
        <v>11612919.945844539</v>
      </c>
      <c r="X166" s="3">
        <f>IF(B166&lt;='Input sheet(dashboard)'!$D$27*12,'Input sheet(dashboard)'!$D$17*(1+'Input sheet(dashboard)'!$E$23)^(B166-1),0)</f>
        <v>50054.039738206149</v>
      </c>
      <c r="Y166" s="3"/>
      <c r="Z166" s="18"/>
      <c r="AA166" s="18"/>
      <c r="AB166" s="3">
        <f>IF(B166=1,'Input sheet(dashboard)'!$D$18*Calculations!X166,IF(Calculations!B166=12*'Input sheet(dashboard)'!$D$27,'Input sheet(dashboard)'!$D$18*-Calculations!X166,0))</f>
        <v>0</v>
      </c>
      <c r="AC166" s="3">
        <f>IF(B166&lt;='Input sheet(dashboard)'!$D$27*12,IF(MOD(B165,'Input sheet(dashboard)'!$D$19*12),0,'Input sheet(dashboard)'!$D$20*(1+'Input sheet(dashboard)'!$E$22)^Calculations!B166),0)</f>
        <v>0</v>
      </c>
      <c r="AD166" s="17">
        <f t="shared" si="21"/>
        <v>50054.039738206149</v>
      </c>
      <c r="AE166" s="17">
        <f>IF(B166&lt;='Input sheet(dashboard)'!$D$27*12,IF(D166=12,SUM(AD155:AD166),0),0)</f>
        <v>0</v>
      </c>
      <c r="AF166" s="17">
        <f t="shared" si="22"/>
        <v>13766.792086553534</v>
      </c>
      <c r="AG166" s="17">
        <f t="shared" si="23"/>
        <v>13766.792086553534</v>
      </c>
      <c r="AH166" s="3">
        <f>IF(B166&lt;='Input sheet(dashboard)'!$D$27*12,AH165*(1+'Input sheet(dashboard)'!$E$25)+AG166," ")</f>
        <v>9144698.3721663859</v>
      </c>
    </row>
    <row r="167" spans="2:34">
      <c r="B167">
        <f t="shared" si="18"/>
        <v>164</v>
      </c>
      <c r="C167">
        <f t="shared" si="25"/>
        <v>14</v>
      </c>
      <c r="D167">
        <f t="shared" si="26"/>
        <v>8</v>
      </c>
      <c r="E167" s="15">
        <f>IF(C167&lt;='Input sheet(dashboard)'!$D$6, -PMT('Input sheet(dashboard)'!$E$5,'Input sheet(dashboard)'!$D$6*12,'Input sheet(dashboard)'!$D$3*'Input sheet(dashboard)'!$D$4),0)</f>
        <v>39834.137922259193</v>
      </c>
      <c r="F167" s="3">
        <f>I166*'Input sheet(dashboard)'!$E$5</f>
        <v>20373.403029750298</v>
      </c>
      <c r="G167" s="3">
        <f>IF(C167&lt;='Input sheet(dashboard)'!$D$6,E167*'Input sheet(dashboard)'!$D$7,0)</f>
        <v>3186.7310337807357</v>
      </c>
      <c r="H167" s="3">
        <f t="shared" si="19"/>
        <v>19460.734892508895</v>
      </c>
      <c r="I167" s="3">
        <f t="shared" si="20"/>
        <v>5573343.3117597634</v>
      </c>
      <c r="J167" s="3">
        <f>IF(B167&lt;='Input sheet(dashboard)'!$D$27*12,'Input sheet(dashboard)'!$D$3*(1+'Input sheet(dashboard)'!$E$24)^B167,0)</f>
        <v>17275822.241829529</v>
      </c>
      <c r="K167" s="3">
        <f>IF(B167&lt;='Input sheet(dashboard)'!$D$27*12,J167*'Input sheet(dashboard)'!$E$8,0)</f>
        <v>17893.364037612184</v>
      </c>
      <c r="L167" s="3">
        <f>IF(B167&lt;='Input sheet(dashboard)'!$D$27*12,'Input sheet(dashboard)'!$D$9*(1+'Input sheet(dashboard)'!$E$22)^B167,0)</f>
        <v>4204.1746422231508</v>
      </c>
      <c r="M167" s="3">
        <f>IF(B167=1,'Input sheet(dashboard)'!$D$3*'Input sheet(dashboard)'!$D$10,0)</f>
        <v>0</v>
      </c>
      <c r="N167" s="3">
        <f>IF(B167='Input sheet(dashboard)'!$D$27*12,J167*'Input sheet(dashboard)'!$D$11,0)</f>
        <v>0</v>
      </c>
      <c r="O167" s="3">
        <f>IF(SUM(F167:F178)&gt;=150000,150000/12*'Input sheet(dashboard)'!$D$28,SUM(F167:F178)/12*'Input sheet(dashboard)'!$D$28)</f>
        <v>1875</v>
      </c>
      <c r="P167" s="3">
        <f t="shared" si="24"/>
        <v>0</v>
      </c>
      <c r="Q167" s="3">
        <f>IF(B167&lt;='Input sheet(dashboard)'!$D$27*12,'Input sheet(dashboard)'!$D$12/12,0)</f>
        <v>192.5</v>
      </c>
      <c r="R167" s="3">
        <f>IF(B167&lt;='Input sheet(dashboard)'!$D$27*12,('Input sheet(dashboard)'!$D$15/12)*(1+'Input sheet(dashboard)'!$E$22)^Calculations!B167,0)</f>
        <v>467.13051580257229</v>
      </c>
      <c r="S167" s="3">
        <f>IF(B167&lt;='Input sheet(dashboard)'!$D$27*12,(E167+G167+K167+L167-O167+M167+Q167+R167),0)</f>
        <v>63903.038151677836</v>
      </c>
      <c r="T167" s="3">
        <f>IF(B167&lt;='Input sheet(dashboard)'!$D$27*12,IF(D167=12,SUM(S156:S167),0),0)</f>
        <v>0</v>
      </c>
      <c r="U167" s="3">
        <f>IF(B167&lt;='Input sheet(dashboard)'!$D$27*12,IF(S167&lt;AD167,AD167-S167,0),0)</f>
        <v>0</v>
      </c>
      <c r="V167" s="3">
        <f>IF(B167&lt;='Input sheet(dashboard)'!$D$27*12,V166*(1+'Input sheet(dashboard)'!$E$25)+U167,0)</f>
        <v>0</v>
      </c>
      <c r="W167" s="17">
        <f>IF(B167&lt;='Input sheet(dashboard)'!$D$27*12,J167-I167+V167-N167,0)</f>
        <v>11702478.930069767</v>
      </c>
      <c r="X167" s="3">
        <f>IF(B167&lt;='Input sheet(dashboard)'!$D$27*12,'Input sheet(dashboard)'!$D$17*(1+'Input sheet(dashboard)'!$E$23)^(B167-1),0)</f>
        <v>50257.966091971262</v>
      </c>
      <c r="Y167" s="3"/>
      <c r="Z167" s="18"/>
      <c r="AA167" s="18"/>
      <c r="AB167" s="3">
        <f>IF(B167=1,'Input sheet(dashboard)'!$D$18*Calculations!X167,IF(Calculations!B167=12*'Input sheet(dashboard)'!$D$27,'Input sheet(dashboard)'!$D$18*-Calculations!X167,0))</f>
        <v>0</v>
      </c>
      <c r="AC167" s="3">
        <f>IF(B167&lt;='Input sheet(dashboard)'!$D$27*12,IF(MOD(B166,'Input sheet(dashboard)'!$D$19*12),0,'Input sheet(dashboard)'!$D$20*(1+'Input sheet(dashboard)'!$E$22)^Calculations!B167),0)</f>
        <v>0</v>
      </c>
      <c r="AD167" s="17">
        <f t="shared" si="21"/>
        <v>50257.966091971262</v>
      </c>
      <c r="AE167" s="17">
        <f>IF(B167&lt;='Input sheet(dashboard)'!$D$27*12,IF(D167=12,SUM(AD156:AD167),0),0)</f>
        <v>0</v>
      </c>
      <c r="AF167" s="17">
        <f t="shared" si="22"/>
        <v>13645.072059706574</v>
      </c>
      <c r="AG167" s="17">
        <f t="shared" si="23"/>
        <v>13645.072059706574</v>
      </c>
      <c r="AH167" s="3">
        <f>IF(B167&lt;='Input sheet(dashboard)'!$D$27*12,AH166*(1+'Input sheet(dashboard)'!$E$25)+AG167," ")</f>
        <v>9217180.7088995092</v>
      </c>
    </row>
    <row r="168" spans="2:34">
      <c r="B168">
        <f t="shared" si="18"/>
        <v>165</v>
      </c>
      <c r="C168">
        <f t="shared" si="25"/>
        <v>14</v>
      </c>
      <c r="D168">
        <f t="shared" si="26"/>
        <v>9</v>
      </c>
      <c r="E168" s="15">
        <f>IF(C168&lt;='Input sheet(dashboard)'!$D$6, -PMT('Input sheet(dashboard)'!$E$5,'Input sheet(dashboard)'!$D$6*12,'Input sheet(dashboard)'!$D$3*'Input sheet(dashboard)'!$D$4),0)</f>
        <v>39834.137922259193</v>
      </c>
      <c r="F168" s="3">
        <f>I167*'Input sheet(dashboard)'!$E$5</f>
        <v>20302.511685817455</v>
      </c>
      <c r="G168" s="3">
        <f>IF(C168&lt;='Input sheet(dashboard)'!$D$6,E168*'Input sheet(dashboard)'!$D$7,0)</f>
        <v>3186.7310337807357</v>
      </c>
      <c r="H168" s="3">
        <f t="shared" si="19"/>
        <v>19531.626236441738</v>
      </c>
      <c r="I168" s="3">
        <f t="shared" si="20"/>
        <v>5553811.6855233219</v>
      </c>
      <c r="J168" s="3">
        <f>IF(B168&lt;='Input sheet(dashboard)'!$D$27*12,'Input sheet(dashboard)'!$D$3*(1+'Input sheet(dashboard)'!$E$24)^B168,0)</f>
        <v>17346206.080107044</v>
      </c>
      <c r="K168" s="3">
        <f>IF(B168&lt;='Input sheet(dashboard)'!$D$27*12,J168*'Input sheet(dashboard)'!$E$8,0)</f>
        <v>17966.263817607294</v>
      </c>
      <c r="L168" s="3">
        <f>IF(B168&lt;='Input sheet(dashboard)'!$D$27*12,'Input sheet(dashboard)'!$D$9*(1+'Input sheet(dashboard)'!$E$22)^B168,0)</f>
        <v>4212.8345536359557</v>
      </c>
      <c r="M168" s="3">
        <f>IF(B168=1,'Input sheet(dashboard)'!$D$3*'Input sheet(dashboard)'!$D$10,0)</f>
        <v>0</v>
      </c>
      <c r="N168" s="3">
        <f>IF(B168='Input sheet(dashboard)'!$D$27*12,J168*'Input sheet(dashboard)'!$D$11,0)</f>
        <v>0</v>
      </c>
      <c r="O168" s="3">
        <f>IF(SUM(F168:F179)&gt;=150000,150000/12*'Input sheet(dashboard)'!$D$28,SUM(F168:F179)/12*'Input sheet(dashboard)'!$D$28)</f>
        <v>1875</v>
      </c>
      <c r="P168" s="3">
        <f t="shared" si="24"/>
        <v>0</v>
      </c>
      <c r="Q168" s="3">
        <f>IF(B168&lt;='Input sheet(dashboard)'!$D$27*12,'Input sheet(dashboard)'!$D$12/12,0)</f>
        <v>192.5</v>
      </c>
      <c r="R168" s="3">
        <f>IF(B168&lt;='Input sheet(dashboard)'!$D$27*12,('Input sheet(dashboard)'!$D$15/12)*(1+'Input sheet(dashboard)'!$E$22)^Calculations!B168,0)</f>
        <v>468.09272818177283</v>
      </c>
      <c r="S168" s="3">
        <f>IF(B168&lt;='Input sheet(dashboard)'!$D$27*12,(E168+G168+K168+L168-O168+M168+Q168+R168),0)</f>
        <v>63985.56005546495</v>
      </c>
      <c r="T168" s="3">
        <f>IF(B168&lt;='Input sheet(dashboard)'!$D$27*12,IF(D168=12,SUM(S157:S168),0),0)</f>
        <v>0</v>
      </c>
      <c r="U168" s="3">
        <f>IF(B168&lt;='Input sheet(dashboard)'!$D$27*12,IF(S168&lt;AD168,AD168-S168,0),0)</f>
        <v>0</v>
      </c>
      <c r="V168" s="3">
        <f>IF(B168&lt;='Input sheet(dashboard)'!$D$27*12,V167*(1+'Input sheet(dashboard)'!$E$25)+U168,0)</f>
        <v>0</v>
      </c>
      <c r="W168" s="17">
        <f>IF(B168&lt;='Input sheet(dashboard)'!$D$27*12,J168-I168+V168-N168,0)</f>
        <v>11792394.394583723</v>
      </c>
      <c r="X168" s="3">
        <f>IF(B168&lt;='Input sheet(dashboard)'!$D$27*12,'Input sheet(dashboard)'!$D$17*(1+'Input sheet(dashboard)'!$E$23)^(B168-1),0)</f>
        <v>50462.723266944347</v>
      </c>
      <c r="Y168" s="3"/>
      <c r="Z168" s="18"/>
      <c r="AA168" s="18"/>
      <c r="AB168" s="3">
        <f>IF(B168=1,'Input sheet(dashboard)'!$D$18*Calculations!X168,IF(Calculations!B168=12*'Input sheet(dashboard)'!$D$27,'Input sheet(dashboard)'!$D$18*-Calculations!X168,0))</f>
        <v>0</v>
      </c>
      <c r="AC168" s="3">
        <f>IF(B168&lt;='Input sheet(dashboard)'!$D$27*12,IF(MOD(B167,'Input sheet(dashboard)'!$D$19*12),0,'Input sheet(dashboard)'!$D$20*(1+'Input sheet(dashboard)'!$E$22)^Calculations!B168),0)</f>
        <v>0</v>
      </c>
      <c r="AD168" s="17">
        <f t="shared" si="21"/>
        <v>50462.723266944347</v>
      </c>
      <c r="AE168" s="17">
        <f>IF(B168&lt;='Input sheet(dashboard)'!$D$27*12,IF(D168=12,SUM(AD157:AD168),0),0)</f>
        <v>0</v>
      </c>
      <c r="AF168" s="17">
        <f t="shared" si="22"/>
        <v>13522.836788520603</v>
      </c>
      <c r="AG168" s="17">
        <f t="shared" si="23"/>
        <v>13522.836788520603</v>
      </c>
      <c r="AH168" s="3">
        <f>IF(B168&lt;='Input sheet(dashboard)'!$D$27*12,AH167*(1+'Input sheet(dashboard)'!$E$25)+AG168," ")</f>
        <v>9290007.1638984308</v>
      </c>
    </row>
    <row r="169" spans="2:34">
      <c r="B169">
        <f t="shared" si="18"/>
        <v>166</v>
      </c>
      <c r="C169">
        <f t="shared" si="25"/>
        <v>14</v>
      </c>
      <c r="D169">
        <f t="shared" si="26"/>
        <v>10</v>
      </c>
      <c r="E169" s="15">
        <f>IF(C169&lt;='Input sheet(dashboard)'!$D$6, -PMT('Input sheet(dashboard)'!$E$5,'Input sheet(dashboard)'!$D$6*12,'Input sheet(dashboard)'!$D$3*'Input sheet(dashboard)'!$D$4),0)</f>
        <v>39834.137922259193</v>
      </c>
      <c r="F169" s="3">
        <f>I168*'Input sheet(dashboard)'!$E$5</f>
        <v>20231.362099702481</v>
      </c>
      <c r="G169" s="3">
        <f>IF(C169&lt;='Input sheet(dashboard)'!$D$6,E169*'Input sheet(dashboard)'!$D$7,0)</f>
        <v>3186.7310337807357</v>
      </c>
      <c r="H169" s="3">
        <f t="shared" si="19"/>
        <v>19602.775822556712</v>
      </c>
      <c r="I169" s="3">
        <f t="shared" si="20"/>
        <v>5534208.9097007653</v>
      </c>
      <c r="J169" s="3">
        <f>IF(B169&lt;='Input sheet(dashboard)'!$D$27*12,'Input sheet(dashboard)'!$D$3*(1+'Input sheet(dashboard)'!$E$24)^B169,0)</f>
        <v>17416876.670854077</v>
      </c>
      <c r="K169" s="3">
        <f>IF(B169&lt;='Input sheet(dashboard)'!$D$27*12,J169*'Input sheet(dashboard)'!$E$8,0)</f>
        <v>18039.460600329909</v>
      </c>
      <c r="L169" s="3">
        <f>IF(B169&lt;='Input sheet(dashboard)'!$D$27*12,'Input sheet(dashboard)'!$D$9*(1+'Input sheet(dashboard)'!$E$22)^B169,0)</f>
        <v>4221.512303048381</v>
      </c>
      <c r="M169" s="3">
        <f>IF(B169=1,'Input sheet(dashboard)'!$D$3*'Input sheet(dashboard)'!$D$10,0)</f>
        <v>0</v>
      </c>
      <c r="N169" s="3">
        <f>IF(B169='Input sheet(dashboard)'!$D$27*12,J169*'Input sheet(dashboard)'!$D$11,0)</f>
        <v>0</v>
      </c>
      <c r="O169" s="3">
        <f>IF(SUM(F169:F180)&gt;=150000,150000/12*'Input sheet(dashboard)'!$D$28,SUM(F169:F180)/12*'Input sheet(dashboard)'!$D$28)</f>
        <v>1875</v>
      </c>
      <c r="P169" s="3">
        <f t="shared" si="24"/>
        <v>0</v>
      </c>
      <c r="Q169" s="3">
        <f>IF(B169&lt;='Input sheet(dashboard)'!$D$27*12,'Input sheet(dashboard)'!$D$12/12,0)</f>
        <v>192.5</v>
      </c>
      <c r="R169" s="3">
        <f>IF(B169&lt;='Input sheet(dashboard)'!$D$27*12,('Input sheet(dashboard)'!$D$15/12)*(1+'Input sheet(dashboard)'!$E$22)^Calculations!B169,0)</f>
        <v>469.05692256093118</v>
      </c>
      <c r="S169" s="3">
        <f>IF(B169&lt;='Input sheet(dashboard)'!$D$27*12,(E169+G169+K169+L169-O169+M169+Q169+R169),0)</f>
        <v>64068.398781979144</v>
      </c>
      <c r="T169" s="3">
        <f>IF(B169&lt;='Input sheet(dashboard)'!$D$27*12,IF(D169=12,SUM(S158:S169),0),0)</f>
        <v>0</v>
      </c>
      <c r="U169" s="3">
        <f>IF(B169&lt;='Input sheet(dashboard)'!$D$27*12,IF(S169&lt;AD169,AD169-S169,0),0)</f>
        <v>0</v>
      </c>
      <c r="V169" s="3">
        <f>IF(B169&lt;='Input sheet(dashboard)'!$D$27*12,V168*(1+'Input sheet(dashboard)'!$E$25)+U169,0)</f>
        <v>0</v>
      </c>
      <c r="W169" s="17">
        <f>IF(B169&lt;='Input sheet(dashboard)'!$D$27*12,J169-I169+V169-N169,0)</f>
        <v>11882667.761153311</v>
      </c>
      <c r="X169" s="3">
        <f>IF(B169&lt;='Input sheet(dashboard)'!$D$27*12,'Input sheet(dashboard)'!$D$17*(1+'Input sheet(dashboard)'!$E$23)^(B169-1),0)</f>
        <v>50668.314647993866</v>
      </c>
      <c r="Y169" s="3"/>
      <c r="Z169" s="18"/>
      <c r="AA169" s="18"/>
      <c r="AB169" s="3">
        <f>IF(B169=1,'Input sheet(dashboard)'!$D$18*Calculations!X169,IF(Calculations!B169=12*'Input sheet(dashboard)'!$D$27,'Input sheet(dashboard)'!$D$18*-Calculations!X169,0))</f>
        <v>0</v>
      </c>
      <c r="AC169" s="3">
        <f>IF(B169&lt;='Input sheet(dashboard)'!$D$27*12,IF(MOD(B168,'Input sheet(dashboard)'!$D$19*12),0,'Input sheet(dashboard)'!$D$20*(1+'Input sheet(dashboard)'!$E$22)^Calculations!B169),0)</f>
        <v>0</v>
      </c>
      <c r="AD169" s="17">
        <f t="shared" si="21"/>
        <v>50668.314647993866</v>
      </c>
      <c r="AE169" s="17">
        <f>IF(B169&lt;='Input sheet(dashboard)'!$D$27*12,IF(D169=12,SUM(AD158:AD169),0),0)</f>
        <v>0</v>
      </c>
      <c r="AF169" s="17">
        <f t="shared" si="22"/>
        <v>13400.084133985278</v>
      </c>
      <c r="AG169" s="17">
        <f t="shared" si="23"/>
        <v>13400.084133985278</v>
      </c>
      <c r="AH169" s="3">
        <f>IF(B169&lt;='Input sheet(dashboard)'!$D$27*12,AH168*(1+'Input sheet(dashboard)'!$E$25)+AG169," ")</f>
        <v>9363179.4338470846</v>
      </c>
    </row>
    <row r="170" spans="2:34">
      <c r="B170">
        <f t="shared" si="18"/>
        <v>167</v>
      </c>
      <c r="C170">
        <f t="shared" si="25"/>
        <v>14</v>
      </c>
      <c r="D170">
        <f t="shared" si="26"/>
        <v>11</v>
      </c>
      <c r="E170" s="15">
        <f>IF(C170&lt;='Input sheet(dashboard)'!$D$6, -PMT('Input sheet(dashboard)'!$E$5,'Input sheet(dashboard)'!$D$6*12,'Input sheet(dashboard)'!$D$3*'Input sheet(dashboard)'!$D$4),0)</f>
        <v>39834.137922259193</v>
      </c>
      <c r="F170" s="3">
        <f>I169*'Input sheet(dashboard)'!$E$5</f>
        <v>20159.953330683682</v>
      </c>
      <c r="G170" s="3">
        <f>IF(C170&lt;='Input sheet(dashboard)'!$D$6,E170*'Input sheet(dashboard)'!$D$7,0)</f>
        <v>3186.7310337807357</v>
      </c>
      <c r="H170" s="3">
        <f t="shared" si="19"/>
        <v>19674.184591575511</v>
      </c>
      <c r="I170" s="3">
        <f t="shared" si="20"/>
        <v>5514534.7251091897</v>
      </c>
      <c r="J170" s="3">
        <f>IF(B170&lt;='Input sheet(dashboard)'!$D$27*12,'Input sheet(dashboard)'!$D$3*(1+'Input sheet(dashboard)'!$E$24)^B170,0)</f>
        <v>17487835.182335675</v>
      </c>
      <c r="K170" s="3">
        <f>IF(B170&lt;='Input sheet(dashboard)'!$D$27*12,J170*'Input sheet(dashboard)'!$E$8,0)</f>
        <v>18112.955595805903</v>
      </c>
      <c r="L170" s="3">
        <f>IF(B170&lt;='Input sheet(dashboard)'!$D$27*12,'Input sheet(dashboard)'!$D$9*(1+'Input sheet(dashboard)'!$E$22)^B170,0)</f>
        <v>4230.2079272037881</v>
      </c>
      <c r="M170" s="3">
        <f>IF(B170=1,'Input sheet(dashboard)'!$D$3*'Input sheet(dashboard)'!$D$10,0)</f>
        <v>0</v>
      </c>
      <c r="N170" s="3">
        <f>IF(B170='Input sheet(dashboard)'!$D$27*12,J170*'Input sheet(dashboard)'!$D$11,0)</f>
        <v>0</v>
      </c>
      <c r="O170" s="3">
        <f>IF(SUM(F170:F181)&gt;=150000,150000/12*'Input sheet(dashboard)'!$D$28,SUM(F170:F181)/12*'Input sheet(dashboard)'!$D$28)</f>
        <v>1875</v>
      </c>
      <c r="P170" s="3">
        <f t="shared" si="24"/>
        <v>0</v>
      </c>
      <c r="Q170" s="3">
        <f>IF(B170&lt;='Input sheet(dashboard)'!$D$27*12,'Input sheet(dashboard)'!$D$12/12,0)</f>
        <v>192.5</v>
      </c>
      <c r="R170" s="3">
        <f>IF(B170&lt;='Input sheet(dashboard)'!$D$27*12,('Input sheet(dashboard)'!$D$15/12)*(1+'Input sheet(dashboard)'!$E$22)^Calculations!B170,0)</f>
        <v>470.02310302264311</v>
      </c>
      <c r="S170" s="3">
        <f>IF(B170&lt;='Input sheet(dashboard)'!$D$27*12,(E170+G170+K170+L170-O170+M170+Q170+R170),0)</f>
        <v>64151.555582072258</v>
      </c>
      <c r="T170" s="3">
        <f>IF(B170&lt;='Input sheet(dashboard)'!$D$27*12,IF(D170=12,SUM(S159:S170),0),0)</f>
        <v>0</v>
      </c>
      <c r="U170" s="3">
        <f>IF(B170&lt;='Input sheet(dashboard)'!$D$27*12,IF(S170&lt;AD170,AD170-S170,0),0)</f>
        <v>0</v>
      </c>
      <c r="V170" s="3">
        <f>IF(B170&lt;='Input sheet(dashboard)'!$D$27*12,V169*(1+'Input sheet(dashboard)'!$E$25)+U170,0)</f>
        <v>0</v>
      </c>
      <c r="W170" s="17">
        <f>IF(B170&lt;='Input sheet(dashboard)'!$D$27*12,J170-I170+V170-N170,0)</f>
        <v>11973300.457226485</v>
      </c>
      <c r="X170" s="3">
        <f>IF(B170&lt;='Input sheet(dashboard)'!$D$27*12,'Input sheet(dashboard)'!$D$17*(1+'Input sheet(dashboard)'!$E$23)^(B170-1),0)</f>
        <v>50874.743633778642</v>
      </c>
      <c r="Y170" s="3"/>
      <c r="Z170" s="18"/>
      <c r="AA170" s="18"/>
      <c r="AB170" s="3">
        <f>IF(B170=1,'Input sheet(dashboard)'!$D$18*Calculations!X170,IF(Calculations!B170=12*'Input sheet(dashboard)'!$D$27,'Input sheet(dashboard)'!$D$18*-Calculations!X170,0))</f>
        <v>0</v>
      </c>
      <c r="AC170" s="3">
        <f>IF(B170&lt;='Input sheet(dashboard)'!$D$27*12,IF(MOD(B169,'Input sheet(dashboard)'!$D$19*12),0,'Input sheet(dashboard)'!$D$20*(1+'Input sheet(dashboard)'!$E$22)^Calculations!B170),0)</f>
        <v>0</v>
      </c>
      <c r="AD170" s="17">
        <f t="shared" si="21"/>
        <v>50874.743633778642</v>
      </c>
      <c r="AE170" s="17">
        <f>IF(B170&lt;='Input sheet(dashboard)'!$D$27*12,IF(D170=12,SUM(AD159:AD170),0),0)</f>
        <v>0</v>
      </c>
      <c r="AF170" s="17">
        <f t="shared" si="22"/>
        <v>13276.811948293616</v>
      </c>
      <c r="AG170" s="17">
        <f t="shared" si="23"/>
        <v>13276.811948293616</v>
      </c>
      <c r="AH170" s="3">
        <f>IF(B170&lt;='Input sheet(dashboard)'!$D$27*12,AH169*(1+'Input sheet(dashboard)'!$E$25)+AG170," ")</f>
        <v>9436699.224198116</v>
      </c>
    </row>
    <row r="171" spans="2:34">
      <c r="B171">
        <f t="shared" si="18"/>
        <v>168</v>
      </c>
      <c r="C171">
        <f t="shared" si="25"/>
        <v>14</v>
      </c>
      <c r="D171">
        <f t="shared" si="26"/>
        <v>12</v>
      </c>
      <c r="E171" s="15">
        <f>IF(C171&lt;='Input sheet(dashboard)'!$D$6, -PMT('Input sheet(dashboard)'!$E$5,'Input sheet(dashboard)'!$D$6*12,'Input sheet(dashboard)'!$D$3*'Input sheet(dashboard)'!$D$4),0)</f>
        <v>39834.137922259193</v>
      </c>
      <c r="F171" s="3">
        <f>I170*'Input sheet(dashboard)'!$E$5</f>
        <v>20088.284434612524</v>
      </c>
      <c r="G171" s="3">
        <f>IF(C171&lt;='Input sheet(dashboard)'!$D$6,E171*'Input sheet(dashboard)'!$D$7,0)</f>
        <v>3186.7310337807357</v>
      </c>
      <c r="H171" s="3">
        <f t="shared" si="19"/>
        <v>19745.853487646669</v>
      </c>
      <c r="I171" s="3">
        <f t="shared" si="20"/>
        <v>5494788.8716215435</v>
      </c>
      <c r="J171" s="3">
        <f>IF(B171&lt;='Input sheet(dashboard)'!$D$27*12,'Input sheet(dashboard)'!$D$3*(1+'Input sheet(dashboard)'!$E$24)^B171,0)</f>
        <v>17559082.787576552</v>
      </c>
      <c r="K171" s="3">
        <f>IF(B171&lt;='Input sheet(dashboard)'!$D$27*12,J171*'Input sheet(dashboard)'!$E$8,0)</f>
        <v>18186.750018990944</v>
      </c>
      <c r="L171" s="3">
        <f>IF(B171&lt;='Input sheet(dashboard)'!$D$27*12,'Input sheet(dashboard)'!$D$9*(1+'Input sheet(dashboard)'!$E$22)^B171,0)</f>
        <v>4238.9214629212183</v>
      </c>
      <c r="M171" s="3">
        <f>IF(B171=1,'Input sheet(dashboard)'!$D$3*'Input sheet(dashboard)'!$D$10,0)</f>
        <v>0</v>
      </c>
      <c r="N171" s="3">
        <f>IF(B171='Input sheet(dashboard)'!$D$27*12,J171*'Input sheet(dashboard)'!$D$11,0)</f>
        <v>0</v>
      </c>
      <c r="O171" s="3">
        <f>IF(SUM(F171:F182)&gt;=150000,150000/12*'Input sheet(dashboard)'!$D$28,SUM(F171:F182)/12*'Input sheet(dashboard)'!$D$28)</f>
        <v>1875</v>
      </c>
      <c r="P171" s="3">
        <f t="shared" si="24"/>
        <v>22500</v>
      </c>
      <c r="Q171" s="3">
        <f>IF(B171&lt;='Input sheet(dashboard)'!$D$27*12,'Input sheet(dashboard)'!$D$12/12,0)</f>
        <v>192.5</v>
      </c>
      <c r="R171" s="3">
        <f>IF(B171&lt;='Input sheet(dashboard)'!$D$27*12,('Input sheet(dashboard)'!$D$15/12)*(1+'Input sheet(dashboard)'!$E$22)^Calculations!B171,0)</f>
        <v>470.99127365791315</v>
      </c>
      <c r="S171" s="3">
        <f>IF(B171&lt;='Input sheet(dashboard)'!$D$27*12,(E171+G171+K171+L171-O171+M171+Q171+R171),0)</f>
        <v>64235.031711610005</v>
      </c>
      <c r="T171" s="3">
        <f>IF(B171&lt;='Input sheet(dashboard)'!$D$27*12,IF(D171=12,SUM(S160:S171),0),0)</f>
        <v>765380.5907665391</v>
      </c>
      <c r="U171" s="3">
        <f>IF(B171&lt;='Input sheet(dashboard)'!$D$27*12,IF(S171&lt;AD171,AD171-S171,0),0)</f>
        <v>0</v>
      </c>
      <c r="V171" s="3">
        <f>IF(B171&lt;='Input sheet(dashboard)'!$D$27*12,V170*(1+'Input sheet(dashboard)'!$E$25)+U171,0)</f>
        <v>0</v>
      </c>
      <c r="W171" s="17">
        <f>IF(B171&lt;='Input sheet(dashboard)'!$D$27*12,J171-I171+V171-N171,0)</f>
        <v>12064293.915955009</v>
      </c>
      <c r="X171" s="3">
        <f>IF(B171&lt;='Input sheet(dashboard)'!$D$27*12,'Input sheet(dashboard)'!$D$17*(1+'Input sheet(dashboard)'!$E$23)^(B171-1),0)</f>
        <v>51082.013636804033</v>
      </c>
      <c r="Y171" s="3"/>
      <c r="Z171" s="18"/>
      <c r="AA171" s="18"/>
      <c r="AB171" s="3">
        <f>IF(B171=1,'Input sheet(dashboard)'!$D$18*Calculations!X171,IF(Calculations!B171=12*'Input sheet(dashboard)'!$D$27,'Input sheet(dashboard)'!$D$18*-Calculations!X171,0))</f>
        <v>0</v>
      </c>
      <c r="AC171" s="3">
        <f>IF(B171&lt;='Input sheet(dashboard)'!$D$27*12,IF(MOD(B170,'Input sheet(dashboard)'!$D$19*12),0,'Input sheet(dashboard)'!$D$20*(1+'Input sheet(dashboard)'!$E$22)^Calculations!B171),0)</f>
        <v>0</v>
      </c>
      <c r="AD171" s="17">
        <f t="shared" si="21"/>
        <v>51082.013636804033</v>
      </c>
      <c r="AE171" s="17">
        <f>IF(B171&lt;='Input sheet(dashboard)'!$D$27*12,IF(D171=12,SUM(AD160:AD171),0),0)</f>
        <v>610538.49337469658</v>
      </c>
      <c r="AF171" s="17">
        <f t="shared" si="22"/>
        <v>13153.018074805972</v>
      </c>
      <c r="AG171" s="17">
        <f t="shared" si="23"/>
        <v>13153.018074805972</v>
      </c>
      <c r="AH171" s="3">
        <f>IF(B171&lt;='Input sheet(dashboard)'!$D$27*12,AH170*(1+'Input sheet(dashboard)'!$E$25)+AG171," ")</f>
        <v>9510568.2492204588</v>
      </c>
    </row>
    <row r="172" spans="2:34">
      <c r="B172">
        <f t="shared" si="18"/>
        <v>169</v>
      </c>
      <c r="C172">
        <f t="shared" si="25"/>
        <v>15</v>
      </c>
      <c r="D172">
        <f t="shared" si="26"/>
        <v>1</v>
      </c>
      <c r="E172" s="15">
        <f>IF(C172&lt;='Input sheet(dashboard)'!$D$6, -PMT('Input sheet(dashboard)'!$E$5,'Input sheet(dashboard)'!$D$6*12,'Input sheet(dashboard)'!$D$3*'Input sheet(dashboard)'!$D$4),0)</f>
        <v>39834.137922259193</v>
      </c>
      <c r="F172" s="3">
        <f>I171*'Input sheet(dashboard)'!$E$5</f>
        <v>20016.354463901138</v>
      </c>
      <c r="G172" s="3">
        <f>IF(C172&lt;='Input sheet(dashboard)'!$D$6,E172*'Input sheet(dashboard)'!$D$7,0)</f>
        <v>3186.7310337807357</v>
      </c>
      <c r="H172" s="3">
        <f t="shared" si="19"/>
        <v>19817.783458358055</v>
      </c>
      <c r="I172" s="3">
        <f t="shared" si="20"/>
        <v>5474971.0881631859</v>
      </c>
      <c r="J172" s="3">
        <f>IF(B172&lt;='Input sheet(dashboard)'!$D$27*12,'Input sheet(dashboard)'!$D$3*(1+'Input sheet(dashboard)'!$E$24)^B172,0)</f>
        <v>17630620.664380472</v>
      </c>
      <c r="K172" s="3">
        <f>IF(B172&lt;='Input sheet(dashboard)'!$D$27*12,J172*'Input sheet(dashboard)'!$E$8,0)</f>
        <v>18260.845089790586</v>
      </c>
      <c r="L172" s="3">
        <f>IF(B172&lt;='Input sheet(dashboard)'!$D$27*12,'Input sheet(dashboard)'!$D$9*(1+'Input sheet(dashboard)'!$E$22)^B172,0)</f>
        <v>4247.6529470955593</v>
      </c>
      <c r="M172" s="3">
        <f>IF(B172=1,'Input sheet(dashboard)'!$D$3*'Input sheet(dashboard)'!$D$10,0)</f>
        <v>0</v>
      </c>
      <c r="N172" s="3">
        <f>IF(B172='Input sheet(dashboard)'!$D$27*12,J172*'Input sheet(dashboard)'!$D$11,0)</f>
        <v>0</v>
      </c>
      <c r="O172" s="3">
        <f>IF(SUM(F172:F183)&gt;=150000,150000/12*'Input sheet(dashboard)'!$D$28,SUM(F172:F183)/12*'Input sheet(dashboard)'!$D$28)</f>
        <v>1875</v>
      </c>
      <c r="P172" s="3">
        <f t="shared" si="24"/>
        <v>0</v>
      </c>
      <c r="Q172" s="3">
        <f>IF(B172&lt;='Input sheet(dashboard)'!$D$27*12,'Input sheet(dashboard)'!$D$12/12,0)</f>
        <v>192.5</v>
      </c>
      <c r="R172" s="3">
        <f>IF(B172&lt;='Input sheet(dashboard)'!$D$27*12,('Input sheet(dashboard)'!$D$15/12)*(1+'Input sheet(dashboard)'!$E$22)^Calculations!B172,0)</f>
        <v>471.96143856617323</v>
      </c>
      <c r="S172" s="3">
        <f>IF(B172&lt;='Input sheet(dashboard)'!$D$27*12,(E172+G172+K172+L172-O172+M172+Q172+R172),0)</f>
        <v>64318.828431492242</v>
      </c>
      <c r="T172" s="3">
        <f>IF(B172&lt;='Input sheet(dashboard)'!$D$27*12,IF(D172=12,SUM(S161:S172),0),0)</f>
        <v>0</v>
      </c>
      <c r="U172" s="3">
        <f>IF(B172&lt;='Input sheet(dashboard)'!$D$27*12,IF(S172&lt;AD172,AD172-S172,0),0)</f>
        <v>0</v>
      </c>
      <c r="V172" s="3">
        <f>IF(B172&lt;='Input sheet(dashboard)'!$D$27*12,V171*(1+'Input sheet(dashboard)'!$E$25)+U172,0)</f>
        <v>0</v>
      </c>
      <c r="W172" s="17">
        <f>IF(B172&lt;='Input sheet(dashboard)'!$D$27*12,J172-I172+V172-N172,0)</f>
        <v>12155649.576217286</v>
      </c>
      <c r="X172" s="3">
        <f>IF(B172&lt;='Input sheet(dashboard)'!$D$27*12,'Input sheet(dashboard)'!$D$17*(1+'Input sheet(dashboard)'!$E$23)^(B172-1),0)</f>
        <v>51290.12808347839</v>
      </c>
      <c r="Y172" s="3"/>
      <c r="Z172" s="18"/>
      <c r="AA172" s="18"/>
      <c r="AB172" s="3">
        <f>IF(B172=1,'Input sheet(dashboard)'!$D$18*Calculations!X172,IF(Calculations!B172=12*'Input sheet(dashboard)'!$D$27,'Input sheet(dashboard)'!$D$18*-Calculations!X172,0))</f>
        <v>0</v>
      </c>
      <c r="AC172" s="3">
        <f>IF(B172&lt;='Input sheet(dashboard)'!$D$27*12,IF(MOD(B171,'Input sheet(dashboard)'!$D$19*12),0,'Input sheet(dashboard)'!$D$20*(1+'Input sheet(dashboard)'!$E$22)^Calculations!B172),0)</f>
        <v>0</v>
      </c>
      <c r="AD172" s="17">
        <f t="shared" si="21"/>
        <v>51290.12808347839</v>
      </c>
      <c r="AE172" s="17">
        <f>IF(B172&lt;='Input sheet(dashboard)'!$D$27*12,IF(D172=12,SUM(AD161:AD172),0),0)</f>
        <v>0</v>
      </c>
      <c r="AF172" s="17">
        <f t="shared" si="22"/>
        <v>13028.700348013852</v>
      </c>
      <c r="AG172" s="17">
        <f t="shared" si="23"/>
        <v>13028.700348013852</v>
      </c>
      <c r="AH172" s="3">
        <f>IF(B172&lt;='Input sheet(dashboard)'!$D$27*12,AH171*(1+'Input sheet(dashboard)'!$E$25)+AG172," ")</f>
        <v>9584788.2320472002</v>
      </c>
    </row>
    <row r="173" spans="2:34">
      <c r="B173">
        <f t="shared" si="18"/>
        <v>170</v>
      </c>
      <c r="C173">
        <f t="shared" si="25"/>
        <v>15</v>
      </c>
      <c r="D173">
        <f t="shared" si="26"/>
        <v>2</v>
      </c>
      <c r="E173" s="15">
        <f>IF(C173&lt;='Input sheet(dashboard)'!$D$6, -PMT('Input sheet(dashboard)'!$E$5,'Input sheet(dashboard)'!$D$6*12,'Input sheet(dashboard)'!$D$3*'Input sheet(dashboard)'!$D$4),0)</f>
        <v>39834.137922259193</v>
      </c>
      <c r="F173" s="3">
        <f>I172*'Input sheet(dashboard)'!$E$5</f>
        <v>19944.162467509792</v>
      </c>
      <c r="G173" s="3">
        <f>IF(C173&lt;='Input sheet(dashboard)'!$D$6,E173*'Input sheet(dashboard)'!$D$7,0)</f>
        <v>3186.7310337807357</v>
      </c>
      <c r="H173" s="3">
        <f t="shared" si="19"/>
        <v>19889.975454749401</v>
      </c>
      <c r="I173" s="3">
        <f t="shared" si="20"/>
        <v>5455081.1127084363</v>
      </c>
      <c r="J173" s="3">
        <f>IF(B173&lt;='Input sheet(dashboard)'!$D$27*12,'Input sheet(dashboard)'!$D$3*(1+'Input sheet(dashboard)'!$E$24)^B173,0)</f>
        <v>17702449.995349705</v>
      </c>
      <c r="K173" s="3">
        <f>IF(B173&lt;='Input sheet(dashboard)'!$D$27*12,J173*'Input sheet(dashboard)'!$E$8,0)</f>
        <v>18335.242033080416</v>
      </c>
      <c r="L173" s="3">
        <f>IF(B173&lt;='Input sheet(dashboard)'!$D$27*12,'Input sheet(dashboard)'!$D$9*(1+'Input sheet(dashboard)'!$E$22)^B173,0)</f>
        <v>4256.4024166976906</v>
      </c>
      <c r="M173" s="3">
        <f>IF(B173=1,'Input sheet(dashboard)'!$D$3*'Input sheet(dashboard)'!$D$10,0)</f>
        <v>0</v>
      </c>
      <c r="N173" s="3">
        <f>IF(B173='Input sheet(dashboard)'!$D$27*12,J173*'Input sheet(dashboard)'!$D$11,0)</f>
        <v>0</v>
      </c>
      <c r="O173" s="3">
        <f>IF(SUM(F173:F184)&gt;=150000,150000/12*'Input sheet(dashboard)'!$D$28,SUM(F173:F184)/12*'Input sheet(dashboard)'!$D$28)</f>
        <v>1875</v>
      </c>
      <c r="P173" s="3">
        <f t="shared" si="24"/>
        <v>0</v>
      </c>
      <c r="Q173" s="3">
        <f>IF(B173&lt;='Input sheet(dashboard)'!$D$27*12,'Input sheet(dashboard)'!$D$12/12,0)</f>
        <v>192.5</v>
      </c>
      <c r="R173" s="3">
        <f>IF(B173&lt;='Input sheet(dashboard)'!$D$27*12,('Input sheet(dashboard)'!$D$15/12)*(1+'Input sheet(dashboard)'!$E$22)^Calculations!B173,0)</f>
        <v>472.93360185529889</v>
      </c>
      <c r="S173" s="3">
        <f>IF(B173&lt;='Input sheet(dashboard)'!$D$27*12,(E173+G173+K173+L173-O173+M173+Q173+R173),0)</f>
        <v>64402.947007673341</v>
      </c>
      <c r="T173" s="3">
        <f>IF(B173&lt;='Input sheet(dashboard)'!$D$27*12,IF(D173=12,SUM(S162:S173),0),0)</f>
        <v>0</v>
      </c>
      <c r="U173" s="3">
        <f>IF(B173&lt;='Input sheet(dashboard)'!$D$27*12,IF(S173&lt;AD173,AD173-S173,0),0)</f>
        <v>0</v>
      </c>
      <c r="V173" s="3">
        <f>IF(B173&lt;='Input sheet(dashboard)'!$D$27*12,V172*(1+'Input sheet(dashboard)'!$E$25)+U173,0)</f>
        <v>0</v>
      </c>
      <c r="W173" s="17">
        <f>IF(B173&lt;='Input sheet(dashboard)'!$D$27*12,J173-I173+V173-N173,0)</f>
        <v>12247368.882641269</v>
      </c>
      <c r="X173" s="3">
        <f>IF(B173&lt;='Input sheet(dashboard)'!$D$27*12,'Input sheet(dashboard)'!$D$17*(1+'Input sheet(dashboard)'!$E$23)^(B173-1),0)</f>
        <v>51499.090414169666</v>
      </c>
      <c r="Y173" s="3"/>
      <c r="Z173" s="18"/>
      <c r="AA173" s="18"/>
      <c r="AB173" s="3">
        <f>IF(B173=1,'Input sheet(dashboard)'!$D$18*Calculations!X173,IF(Calculations!B173=12*'Input sheet(dashboard)'!$D$27,'Input sheet(dashboard)'!$D$18*-Calculations!X173,0))</f>
        <v>0</v>
      </c>
      <c r="AC173" s="3">
        <f>IF(B173&lt;='Input sheet(dashboard)'!$D$27*12,IF(MOD(B172,'Input sheet(dashboard)'!$D$19*12),0,'Input sheet(dashboard)'!$D$20*(1+'Input sheet(dashboard)'!$E$22)^Calculations!B173),0)</f>
        <v>0</v>
      </c>
      <c r="AD173" s="17">
        <f t="shared" si="21"/>
        <v>51499.090414169666</v>
      </c>
      <c r="AE173" s="17">
        <f>IF(B173&lt;='Input sheet(dashboard)'!$D$27*12,IF(D173=12,SUM(AD162:AD173),0),0)</f>
        <v>0</v>
      </c>
      <c r="AF173" s="17">
        <f t="shared" si="22"/>
        <v>12903.856593503675</v>
      </c>
      <c r="AG173" s="17">
        <f t="shared" si="23"/>
        <v>12903.856593503675</v>
      </c>
      <c r="AH173" s="3">
        <f>IF(B173&lt;='Input sheet(dashboard)'!$D$27*12,AH172*(1+'Input sheet(dashboard)'!$E$25)+AG173," ")</f>
        <v>9659360.9047237039</v>
      </c>
    </row>
    <row r="174" spans="2:34">
      <c r="B174">
        <f t="shared" si="18"/>
        <v>171</v>
      </c>
      <c r="C174">
        <f t="shared" si="25"/>
        <v>15</v>
      </c>
      <c r="D174">
        <f t="shared" si="26"/>
        <v>3</v>
      </c>
      <c r="E174" s="15">
        <f>IF(C174&lt;='Input sheet(dashboard)'!$D$6, -PMT('Input sheet(dashboard)'!$E$5,'Input sheet(dashboard)'!$D$6*12,'Input sheet(dashboard)'!$D$3*'Input sheet(dashboard)'!$D$4),0)</f>
        <v>39834.137922259193</v>
      </c>
      <c r="F174" s="3">
        <f>I173*'Input sheet(dashboard)'!$E$5</f>
        <v>19871.707490934306</v>
      </c>
      <c r="G174" s="3">
        <f>IF(C174&lt;='Input sheet(dashboard)'!$D$6,E174*'Input sheet(dashboard)'!$D$7,0)</f>
        <v>3186.7310337807357</v>
      </c>
      <c r="H174" s="3">
        <f t="shared" si="19"/>
        <v>19962.430431324887</v>
      </c>
      <c r="I174" s="3">
        <f t="shared" si="20"/>
        <v>5435118.6822771113</v>
      </c>
      <c r="J174" s="3">
        <f>IF(B174&lt;='Input sheet(dashboard)'!$D$27*12,'Input sheet(dashboard)'!$D$3*(1+'Input sheet(dashboard)'!$E$24)^B174,0)</f>
        <v>17774571.967904609</v>
      </c>
      <c r="K174" s="3">
        <f>IF(B174&lt;='Input sheet(dashboard)'!$D$27*12,J174*'Input sheet(dashboard)'!$E$8,0)</f>
        <v>18409.942078726344</v>
      </c>
      <c r="L174" s="3">
        <f>IF(B174&lt;='Input sheet(dashboard)'!$D$27*12,'Input sheet(dashboard)'!$D$9*(1+'Input sheet(dashboard)'!$E$22)^B174,0)</f>
        <v>4265.1699087746501</v>
      </c>
      <c r="M174" s="3">
        <f>IF(B174=1,'Input sheet(dashboard)'!$D$3*'Input sheet(dashboard)'!$D$10,0)</f>
        <v>0</v>
      </c>
      <c r="N174" s="3">
        <f>IF(B174='Input sheet(dashboard)'!$D$27*12,J174*'Input sheet(dashboard)'!$D$11,0)</f>
        <v>0</v>
      </c>
      <c r="O174" s="3">
        <f>IF(SUM(F174:F185)&gt;=150000,150000/12*'Input sheet(dashboard)'!$D$28,SUM(F174:F185)/12*'Input sheet(dashboard)'!$D$28)</f>
        <v>1875</v>
      </c>
      <c r="P174" s="3">
        <f t="shared" si="24"/>
        <v>0</v>
      </c>
      <c r="Q174" s="3">
        <f>IF(B174&lt;='Input sheet(dashboard)'!$D$27*12,'Input sheet(dashboard)'!$D$12/12,0)</f>
        <v>192.5</v>
      </c>
      <c r="R174" s="3">
        <f>IF(B174&lt;='Input sheet(dashboard)'!$D$27*12,('Input sheet(dashboard)'!$D$15/12)*(1+'Input sheet(dashboard)'!$E$22)^Calculations!B174,0)</f>
        <v>473.9077676416278</v>
      </c>
      <c r="S174" s="3">
        <f>IF(B174&lt;='Input sheet(dashboard)'!$D$27*12,(E174+G174+K174+L174-O174+M174+Q174+R174),0)</f>
        <v>64487.388711182553</v>
      </c>
      <c r="T174" s="3">
        <f>IF(B174&lt;='Input sheet(dashboard)'!$D$27*12,IF(D174=12,SUM(S163:S174),0),0)</f>
        <v>0</v>
      </c>
      <c r="U174" s="3">
        <f>IF(B174&lt;='Input sheet(dashboard)'!$D$27*12,IF(S174&lt;AD174,AD174-S174,0),0)</f>
        <v>0</v>
      </c>
      <c r="V174" s="3">
        <f>IF(B174&lt;='Input sheet(dashboard)'!$D$27*12,V173*(1+'Input sheet(dashboard)'!$E$25)+U174,0)</f>
        <v>0</v>
      </c>
      <c r="W174" s="17">
        <f>IF(B174&lt;='Input sheet(dashboard)'!$D$27*12,J174-I174+V174-N174,0)</f>
        <v>12339453.285627497</v>
      </c>
      <c r="X174" s="3">
        <f>IF(B174&lt;='Input sheet(dashboard)'!$D$27*12,'Input sheet(dashboard)'!$D$17*(1+'Input sheet(dashboard)'!$E$23)^(B174-1),0)</f>
        <v>51708.904083262292</v>
      </c>
      <c r="Y174" s="3"/>
      <c r="Z174" s="18"/>
      <c r="AA174" s="18"/>
      <c r="AB174" s="3">
        <f>IF(B174=1,'Input sheet(dashboard)'!$D$18*Calculations!X174,IF(Calculations!B174=12*'Input sheet(dashboard)'!$D$27,'Input sheet(dashboard)'!$D$18*-Calculations!X174,0))</f>
        <v>0</v>
      </c>
      <c r="AC174" s="3">
        <f>IF(B174&lt;='Input sheet(dashboard)'!$D$27*12,IF(MOD(B173,'Input sheet(dashboard)'!$D$19*12),0,'Input sheet(dashboard)'!$D$20*(1+'Input sheet(dashboard)'!$E$22)^Calculations!B174),0)</f>
        <v>0</v>
      </c>
      <c r="AD174" s="17">
        <f t="shared" si="21"/>
        <v>51708.904083262292</v>
      </c>
      <c r="AE174" s="17">
        <f>IF(B174&lt;='Input sheet(dashboard)'!$D$27*12,IF(D174=12,SUM(AD163:AD174),0),0)</f>
        <v>0</v>
      </c>
      <c r="AF174" s="17">
        <f t="shared" si="22"/>
        <v>12778.484627920261</v>
      </c>
      <c r="AG174" s="17">
        <f t="shared" si="23"/>
        <v>12778.484627920261</v>
      </c>
      <c r="AH174" s="3">
        <f>IF(B174&lt;='Input sheet(dashboard)'!$D$27*12,AH173*(1+'Input sheet(dashboard)'!$E$25)+AG174," ")</f>
        <v>9734288.008256007</v>
      </c>
    </row>
    <row r="175" spans="2:34">
      <c r="B175">
        <f t="shared" si="18"/>
        <v>172</v>
      </c>
      <c r="C175">
        <f t="shared" si="25"/>
        <v>15</v>
      </c>
      <c r="D175">
        <f t="shared" si="26"/>
        <v>4</v>
      </c>
      <c r="E175" s="15">
        <f>IF(C175&lt;='Input sheet(dashboard)'!$D$6, -PMT('Input sheet(dashboard)'!$E$5,'Input sheet(dashboard)'!$D$6*12,'Input sheet(dashboard)'!$D$3*'Input sheet(dashboard)'!$D$4),0)</f>
        <v>39834.137922259193</v>
      </c>
      <c r="F175" s="3">
        <f>I174*'Input sheet(dashboard)'!$E$5</f>
        <v>19798.988576193467</v>
      </c>
      <c r="G175" s="3">
        <f>IF(C175&lt;='Input sheet(dashboard)'!$D$6,E175*'Input sheet(dashboard)'!$D$7,0)</f>
        <v>3186.7310337807357</v>
      </c>
      <c r="H175" s="3">
        <f t="shared" si="19"/>
        <v>20035.149346065726</v>
      </c>
      <c r="I175" s="3">
        <f t="shared" si="20"/>
        <v>5415083.5329310456</v>
      </c>
      <c r="J175" s="3">
        <f>IF(B175&lt;='Input sheet(dashboard)'!$D$27*12,'Input sheet(dashboard)'!$D$3*(1+'Input sheet(dashboard)'!$E$24)^B175,0)</f>
        <v>17846987.774303213</v>
      </c>
      <c r="K175" s="3">
        <f>IF(B175&lt;='Input sheet(dashboard)'!$D$27*12,J175*'Input sheet(dashboard)'!$E$8,0)</f>
        <v>18484.946461604864</v>
      </c>
      <c r="L175" s="3">
        <f>IF(B175&lt;='Input sheet(dashboard)'!$D$27*12,'Input sheet(dashboard)'!$D$9*(1+'Input sheet(dashboard)'!$E$22)^B175,0)</f>
        <v>4273.9554604497862</v>
      </c>
      <c r="M175" s="3">
        <f>IF(B175=1,'Input sheet(dashboard)'!$D$3*'Input sheet(dashboard)'!$D$10,0)</f>
        <v>0</v>
      </c>
      <c r="N175" s="3">
        <f>IF(B175='Input sheet(dashboard)'!$D$27*12,J175*'Input sheet(dashboard)'!$D$11,0)</f>
        <v>0</v>
      </c>
      <c r="O175" s="3">
        <f>IF(SUM(F175:F186)&gt;=150000,150000/12*'Input sheet(dashboard)'!$D$28,SUM(F175:F186)/12*'Input sheet(dashboard)'!$D$28)</f>
        <v>1875</v>
      </c>
      <c r="P175" s="3">
        <f t="shared" si="24"/>
        <v>0</v>
      </c>
      <c r="Q175" s="3">
        <f>IF(B175&lt;='Input sheet(dashboard)'!$D$27*12,'Input sheet(dashboard)'!$D$12/12,0)</f>
        <v>192.5</v>
      </c>
      <c r="R175" s="3">
        <f>IF(B175&lt;='Input sheet(dashboard)'!$D$27*12,('Input sheet(dashboard)'!$D$15/12)*(1+'Input sheet(dashboard)'!$E$22)^Calculations!B175,0)</f>
        <v>474.88394004997622</v>
      </c>
      <c r="S175" s="3">
        <f>IF(B175&lt;='Input sheet(dashboard)'!$D$27*12,(E175+G175+K175+L175-O175+M175+Q175+R175),0)</f>
        <v>64572.154818144561</v>
      </c>
      <c r="T175" s="3">
        <f>IF(B175&lt;='Input sheet(dashboard)'!$D$27*12,IF(D175=12,SUM(S164:S175),0),0)</f>
        <v>0</v>
      </c>
      <c r="U175" s="3">
        <f>IF(B175&lt;='Input sheet(dashboard)'!$D$27*12,IF(S175&lt;AD175,AD175-S175,0),0)</f>
        <v>0</v>
      </c>
      <c r="V175" s="3">
        <f>IF(B175&lt;='Input sheet(dashboard)'!$D$27*12,V174*(1+'Input sheet(dashboard)'!$E$25)+U175,0)</f>
        <v>0</v>
      </c>
      <c r="W175" s="17">
        <f>IF(B175&lt;='Input sheet(dashboard)'!$D$27*12,J175-I175+V175-N175,0)</f>
        <v>12431904.241372168</v>
      </c>
      <c r="X175" s="3">
        <f>IF(B175&lt;='Input sheet(dashboard)'!$D$27*12,'Input sheet(dashboard)'!$D$17*(1+'Input sheet(dashboard)'!$E$23)^(B175-1),0)</f>
        <v>51919.572559214306</v>
      </c>
      <c r="Y175" s="3"/>
      <c r="Z175" s="18"/>
      <c r="AA175" s="18"/>
      <c r="AB175" s="3">
        <f>IF(B175=1,'Input sheet(dashboard)'!$D$18*Calculations!X175,IF(Calculations!B175=12*'Input sheet(dashboard)'!$D$27,'Input sheet(dashboard)'!$D$18*-Calculations!X175,0))</f>
        <v>0</v>
      </c>
      <c r="AC175" s="3">
        <f>IF(B175&lt;='Input sheet(dashboard)'!$D$27*12,IF(MOD(B174,'Input sheet(dashboard)'!$D$19*12),0,'Input sheet(dashboard)'!$D$20*(1+'Input sheet(dashboard)'!$E$22)^Calculations!B175),0)</f>
        <v>0</v>
      </c>
      <c r="AD175" s="17">
        <f t="shared" si="21"/>
        <v>51919.572559214306</v>
      </c>
      <c r="AE175" s="17">
        <f>IF(B175&lt;='Input sheet(dashboard)'!$D$27*12,IF(D175=12,SUM(AD164:AD175),0),0)</f>
        <v>0</v>
      </c>
      <c r="AF175" s="17">
        <f t="shared" si="22"/>
        <v>12652.582258930255</v>
      </c>
      <c r="AG175" s="17">
        <f t="shared" si="23"/>
        <v>12652.582258930255</v>
      </c>
      <c r="AH175" s="3">
        <f>IF(B175&lt;='Input sheet(dashboard)'!$D$27*12,AH174*(1+'Input sheet(dashboard)'!$E$25)+AG175," ")</f>
        <v>9809571.2926595025</v>
      </c>
    </row>
    <row r="176" spans="2:34">
      <c r="B176">
        <f t="shared" si="18"/>
        <v>173</v>
      </c>
      <c r="C176">
        <f t="shared" si="25"/>
        <v>15</v>
      </c>
      <c r="D176">
        <f t="shared" si="26"/>
        <v>5</v>
      </c>
      <c r="E176" s="15">
        <f>IF(C176&lt;='Input sheet(dashboard)'!$D$6, -PMT('Input sheet(dashboard)'!$E$5,'Input sheet(dashboard)'!$D$6*12,'Input sheet(dashboard)'!$D$3*'Input sheet(dashboard)'!$D$4),0)</f>
        <v>39834.137922259193</v>
      </c>
      <c r="F176" s="3">
        <f>I175*'Input sheet(dashboard)'!$E$5</f>
        <v>19726.004761816319</v>
      </c>
      <c r="G176" s="3">
        <f>IF(C176&lt;='Input sheet(dashboard)'!$D$6,E176*'Input sheet(dashboard)'!$D$7,0)</f>
        <v>3186.7310337807357</v>
      </c>
      <c r="H176" s="3">
        <f t="shared" si="19"/>
        <v>20108.133160442874</v>
      </c>
      <c r="I176" s="3">
        <f t="shared" si="20"/>
        <v>5394975.3997706026</v>
      </c>
      <c r="J176" s="3">
        <f>IF(B176&lt;='Input sheet(dashboard)'!$D$27*12,'Input sheet(dashboard)'!$D$3*(1+'Input sheet(dashboard)'!$E$24)^B176,0)</f>
        <v>17919698.611660987</v>
      </c>
      <c r="K176" s="3">
        <f>IF(B176&lt;='Input sheet(dashboard)'!$D$27*12,J176*'Input sheet(dashboard)'!$E$8,0)</f>
        <v>18560.256421623562</v>
      </c>
      <c r="L176" s="3">
        <f>IF(B176&lt;='Input sheet(dashboard)'!$D$27*12,'Input sheet(dashboard)'!$D$9*(1+'Input sheet(dashboard)'!$E$22)^B176,0)</f>
        <v>4282.7591089229127</v>
      </c>
      <c r="M176" s="3">
        <f>IF(B176=1,'Input sheet(dashboard)'!$D$3*'Input sheet(dashboard)'!$D$10,0)</f>
        <v>0</v>
      </c>
      <c r="N176" s="3">
        <f>IF(B176='Input sheet(dashboard)'!$D$27*12,J176*'Input sheet(dashboard)'!$D$11,0)</f>
        <v>0</v>
      </c>
      <c r="O176" s="3">
        <f>IF(SUM(F176:F187)&gt;=150000,150000/12*'Input sheet(dashboard)'!$D$28,SUM(F176:F187)/12*'Input sheet(dashboard)'!$D$28)</f>
        <v>1875</v>
      </c>
      <c r="P176" s="3">
        <f t="shared" si="24"/>
        <v>0</v>
      </c>
      <c r="Q176" s="3">
        <f>IF(B176&lt;='Input sheet(dashboard)'!$D$27*12,'Input sheet(dashboard)'!$D$12/12,0)</f>
        <v>192.5</v>
      </c>
      <c r="R176" s="3">
        <f>IF(B176&lt;='Input sheet(dashboard)'!$D$27*12,('Input sheet(dashboard)'!$D$15/12)*(1+'Input sheet(dashboard)'!$E$22)^Calculations!B176,0)</f>
        <v>475.86212321365696</v>
      </c>
      <c r="S176" s="3">
        <f>IF(B176&lt;='Input sheet(dashboard)'!$D$27*12,(E176+G176+K176+L176-O176+M176+Q176+R176),0)</f>
        <v>64657.246609800066</v>
      </c>
      <c r="T176" s="3">
        <f>IF(B176&lt;='Input sheet(dashboard)'!$D$27*12,IF(D176=12,SUM(S165:S176),0),0)</f>
        <v>0</v>
      </c>
      <c r="U176" s="3">
        <f>IF(B176&lt;='Input sheet(dashboard)'!$D$27*12,IF(S176&lt;AD176,AD176-S176,0),0)</f>
        <v>0</v>
      </c>
      <c r="V176" s="3">
        <f>IF(B176&lt;='Input sheet(dashboard)'!$D$27*12,V175*(1+'Input sheet(dashboard)'!$E$25)+U176,0)</f>
        <v>0</v>
      </c>
      <c r="W176" s="17">
        <f>IF(B176&lt;='Input sheet(dashboard)'!$D$27*12,J176-I176+V176-N176,0)</f>
        <v>12524723.211890385</v>
      </c>
      <c r="X176" s="3">
        <f>IF(B176&lt;='Input sheet(dashboard)'!$D$27*12,'Input sheet(dashboard)'!$D$17*(1+'Input sheet(dashboard)'!$E$23)^(B176-1),0)</f>
        <v>52131.099324614646</v>
      </c>
      <c r="Y176" s="3"/>
      <c r="Z176" s="18"/>
      <c r="AA176" s="18"/>
      <c r="AB176" s="3">
        <f>IF(B176=1,'Input sheet(dashboard)'!$D$18*Calculations!X176,IF(Calculations!B176=12*'Input sheet(dashboard)'!$D$27,'Input sheet(dashboard)'!$D$18*-Calculations!X176,0))</f>
        <v>0</v>
      </c>
      <c r="AC176" s="3">
        <f>IF(B176&lt;='Input sheet(dashboard)'!$D$27*12,IF(MOD(B175,'Input sheet(dashboard)'!$D$19*12),0,'Input sheet(dashboard)'!$D$20*(1+'Input sheet(dashboard)'!$E$22)^Calculations!B176),0)</f>
        <v>0</v>
      </c>
      <c r="AD176" s="17">
        <f t="shared" si="21"/>
        <v>52131.099324614646</v>
      </c>
      <c r="AE176" s="17">
        <f>IF(B176&lt;='Input sheet(dashboard)'!$D$27*12,IF(D176=12,SUM(AD165:AD176),0),0)</f>
        <v>0</v>
      </c>
      <c r="AF176" s="17">
        <f t="shared" si="22"/>
        <v>12526.14728518542</v>
      </c>
      <c r="AG176" s="17">
        <f t="shared" si="23"/>
        <v>12526.14728518542</v>
      </c>
      <c r="AH176" s="3">
        <f>IF(B176&lt;='Input sheet(dashboard)'!$D$27*12,AH175*(1+'Input sheet(dashboard)'!$E$25)+AG176," ")</f>
        <v>9885212.5170078855</v>
      </c>
    </row>
    <row r="177" spans="2:34">
      <c r="B177">
        <f t="shared" si="18"/>
        <v>174</v>
      </c>
      <c r="C177">
        <f t="shared" si="25"/>
        <v>15</v>
      </c>
      <c r="D177">
        <f t="shared" si="26"/>
        <v>6</v>
      </c>
      <c r="E177" s="15">
        <f>IF(C177&lt;='Input sheet(dashboard)'!$D$6, -PMT('Input sheet(dashboard)'!$E$5,'Input sheet(dashboard)'!$D$6*12,'Input sheet(dashboard)'!$D$3*'Input sheet(dashboard)'!$D$4),0)</f>
        <v>39834.137922259193</v>
      </c>
      <c r="F177" s="3">
        <f>I176*'Input sheet(dashboard)'!$E$5</f>
        <v>19652.755082829477</v>
      </c>
      <c r="G177" s="3">
        <f>IF(C177&lt;='Input sheet(dashboard)'!$D$6,E177*'Input sheet(dashboard)'!$D$7,0)</f>
        <v>3186.7310337807357</v>
      </c>
      <c r="H177" s="3">
        <f t="shared" si="19"/>
        <v>20181.382839429716</v>
      </c>
      <c r="I177" s="3">
        <f t="shared" si="20"/>
        <v>5374794.0169311725</v>
      </c>
      <c r="J177" s="3">
        <f>IF(B177&lt;='Input sheet(dashboard)'!$D$27*12,'Input sheet(dashboard)'!$D$3*(1+'Input sheet(dashboard)'!$E$24)^B177,0)</f>
        <v>17992705.681970563</v>
      </c>
      <c r="K177" s="3">
        <f>IF(B177&lt;='Input sheet(dashboard)'!$D$27*12,J177*'Input sheet(dashboard)'!$E$8,0)</f>
        <v>18635.873203741507</v>
      </c>
      <c r="L177" s="3">
        <f>IF(B177&lt;='Input sheet(dashboard)'!$D$27*12,'Input sheet(dashboard)'!$D$9*(1+'Input sheet(dashboard)'!$E$22)^B177,0)</f>
        <v>4291.5808914704721</v>
      </c>
      <c r="M177" s="3">
        <f>IF(B177=1,'Input sheet(dashboard)'!$D$3*'Input sheet(dashboard)'!$D$10,0)</f>
        <v>0</v>
      </c>
      <c r="N177" s="3">
        <f>IF(B177='Input sheet(dashboard)'!$D$27*12,J177*'Input sheet(dashboard)'!$D$11,0)</f>
        <v>0</v>
      </c>
      <c r="O177" s="3">
        <f>IF(SUM(F177:F188)&gt;=150000,150000/12*'Input sheet(dashboard)'!$D$28,SUM(F177:F188)/12*'Input sheet(dashboard)'!$D$28)</f>
        <v>1875</v>
      </c>
      <c r="P177" s="3">
        <f t="shared" si="24"/>
        <v>0</v>
      </c>
      <c r="Q177" s="3">
        <f>IF(B177&lt;='Input sheet(dashboard)'!$D$27*12,'Input sheet(dashboard)'!$D$12/12,0)</f>
        <v>192.5</v>
      </c>
      <c r="R177" s="3">
        <f>IF(B177&lt;='Input sheet(dashboard)'!$D$27*12,('Input sheet(dashboard)'!$D$15/12)*(1+'Input sheet(dashboard)'!$E$22)^Calculations!B177,0)</f>
        <v>476.8423212744969</v>
      </c>
      <c r="S177" s="3">
        <f>IF(B177&lt;='Input sheet(dashboard)'!$D$27*12,(E177+G177+K177+L177-O177+M177+Q177+R177),0)</f>
        <v>64742.665372526404</v>
      </c>
      <c r="T177" s="3">
        <f>IF(B177&lt;='Input sheet(dashboard)'!$D$27*12,IF(D177=12,SUM(S166:S177),0),0)</f>
        <v>0</v>
      </c>
      <c r="U177" s="3">
        <f>IF(B177&lt;='Input sheet(dashboard)'!$D$27*12,IF(S177&lt;AD177,AD177-S177,0),0)</f>
        <v>0</v>
      </c>
      <c r="V177" s="3">
        <f>IF(B177&lt;='Input sheet(dashboard)'!$D$27*12,V176*(1+'Input sheet(dashboard)'!$E$25)+U177,0)</f>
        <v>0</v>
      </c>
      <c r="W177" s="17">
        <f>IF(B177&lt;='Input sheet(dashboard)'!$D$27*12,J177-I177+V177-N177,0)</f>
        <v>12617911.66503939</v>
      </c>
      <c r="X177" s="3">
        <f>IF(B177&lt;='Input sheet(dashboard)'!$D$27*12,'Input sheet(dashboard)'!$D$17*(1+'Input sheet(dashboard)'!$E$23)^(B177-1),0)</f>
        <v>52343.487876240804</v>
      </c>
      <c r="Y177" s="3"/>
      <c r="Z177" s="18"/>
      <c r="AA177" s="18"/>
      <c r="AB177" s="3">
        <f>IF(B177=1,'Input sheet(dashboard)'!$D$18*Calculations!X177,IF(Calculations!B177=12*'Input sheet(dashboard)'!$D$27,'Input sheet(dashboard)'!$D$18*-Calculations!X177,0))</f>
        <v>0</v>
      </c>
      <c r="AC177" s="3">
        <f>IF(B177&lt;='Input sheet(dashboard)'!$D$27*12,IF(MOD(B176,'Input sheet(dashboard)'!$D$19*12),0,'Input sheet(dashboard)'!$D$20*(1+'Input sheet(dashboard)'!$E$22)^Calculations!B177),0)</f>
        <v>0</v>
      </c>
      <c r="AD177" s="17">
        <f t="shared" si="21"/>
        <v>52343.487876240804</v>
      </c>
      <c r="AE177" s="17">
        <f>IF(B177&lt;='Input sheet(dashboard)'!$D$27*12,IF(D177=12,SUM(AD166:AD177),0),0)</f>
        <v>0</v>
      </c>
      <c r="AF177" s="17">
        <f t="shared" si="22"/>
        <v>12399.1774962856</v>
      </c>
      <c r="AG177" s="17">
        <f t="shared" si="23"/>
        <v>12399.1774962856</v>
      </c>
      <c r="AH177" s="3">
        <f>IF(B177&lt;='Input sheet(dashboard)'!$D$27*12,AH176*(1+'Input sheet(dashboard)'!$E$25)+AG177," ")</f>
        <v>9961213.4494823832</v>
      </c>
    </row>
    <row r="178" spans="2:34">
      <c r="B178">
        <f t="shared" si="18"/>
        <v>175</v>
      </c>
      <c r="C178">
        <f t="shared" si="25"/>
        <v>15</v>
      </c>
      <c r="D178">
        <f t="shared" si="26"/>
        <v>7</v>
      </c>
      <c r="E178" s="15">
        <f>IF(C178&lt;='Input sheet(dashboard)'!$D$6, -PMT('Input sheet(dashboard)'!$E$5,'Input sheet(dashboard)'!$D$6*12,'Input sheet(dashboard)'!$D$3*'Input sheet(dashboard)'!$D$4),0)</f>
        <v>39834.137922259193</v>
      </c>
      <c r="F178" s="3">
        <f>I177*'Input sheet(dashboard)'!$E$5</f>
        <v>19579.238570744361</v>
      </c>
      <c r="G178" s="3">
        <f>IF(C178&lt;='Input sheet(dashboard)'!$D$6,E178*'Input sheet(dashboard)'!$D$7,0)</f>
        <v>3186.7310337807357</v>
      </c>
      <c r="H178" s="3">
        <f t="shared" si="19"/>
        <v>20254.899351514832</v>
      </c>
      <c r="I178" s="3">
        <f t="shared" si="20"/>
        <v>5354539.1175796576</v>
      </c>
      <c r="J178" s="3">
        <f>IF(B178&lt;='Input sheet(dashboard)'!$D$27*12,'Input sheet(dashboard)'!$D$3*(1+'Input sheet(dashboard)'!$E$24)^B178,0)</f>
        <v>18066010.19212167</v>
      </c>
      <c r="K178" s="3">
        <f>IF(B178&lt;='Input sheet(dashboard)'!$D$27*12,J178*'Input sheet(dashboard)'!$E$8,0)</f>
        <v>18711.79805798993</v>
      </c>
      <c r="L178" s="3">
        <f>IF(B178&lt;='Input sheet(dashboard)'!$D$27*12,'Input sheet(dashboard)'!$D$9*(1+'Input sheet(dashboard)'!$E$22)^B178,0)</f>
        <v>4300.4208454456866</v>
      </c>
      <c r="M178" s="3">
        <f>IF(B178=1,'Input sheet(dashboard)'!$D$3*'Input sheet(dashboard)'!$D$10,0)</f>
        <v>0</v>
      </c>
      <c r="N178" s="3">
        <f>IF(B178='Input sheet(dashboard)'!$D$27*12,J178*'Input sheet(dashboard)'!$D$11,0)</f>
        <v>0</v>
      </c>
      <c r="O178" s="3">
        <f>IF(SUM(F178:F189)&gt;=150000,150000/12*'Input sheet(dashboard)'!$D$28,SUM(F178:F189)/12*'Input sheet(dashboard)'!$D$28)</f>
        <v>1875</v>
      </c>
      <c r="P178" s="3">
        <f t="shared" si="24"/>
        <v>0</v>
      </c>
      <c r="Q178" s="3">
        <f>IF(B178&lt;='Input sheet(dashboard)'!$D$27*12,'Input sheet(dashboard)'!$D$12/12,0)</f>
        <v>192.5</v>
      </c>
      <c r="R178" s="3">
        <f>IF(B178&lt;='Input sheet(dashboard)'!$D$27*12,('Input sheet(dashboard)'!$D$15/12)*(1+'Input sheet(dashboard)'!$E$22)^Calculations!B178,0)</f>
        <v>477.82453838285409</v>
      </c>
      <c r="S178" s="3">
        <f>IF(B178&lt;='Input sheet(dashboard)'!$D$27*12,(E178+G178+K178+L178-O178+M178+Q178+R178),0)</f>
        <v>64828.412397858403</v>
      </c>
      <c r="T178" s="3">
        <f>IF(B178&lt;='Input sheet(dashboard)'!$D$27*12,IF(D178=12,SUM(S167:S178),0),0)</f>
        <v>0</v>
      </c>
      <c r="U178" s="3">
        <f>IF(B178&lt;='Input sheet(dashboard)'!$D$27*12,IF(S178&lt;AD178,AD178-S178,0),0)</f>
        <v>0</v>
      </c>
      <c r="V178" s="3">
        <f>IF(B178&lt;='Input sheet(dashboard)'!$D$27*12,V177*(1+'Input sheet(dashboard)'!$E$25)+U178,0)</f>
        <v>0</v>
      </c>
      <c r="W178" s="17">
        <f>IF(B178&lt;='Input sheet(dashboard)'!$D$27*12,J178-I178+V178-N178,0)</f>
        <v>12711471.074542012</v>
      </c>
      <c r="X178" s="3">
        <f>IF(B178&lt;='Input sheet(dashboard)'!$D$27*12,'Input sheet(dashboard)'!$D$17*(1+'Input sheet(dashboard)'!$E$23)^(B178-1),0)</f>
        <v>52556.741725116502</v>
      </c>
      <c r="Y178" s="3"/>
      <c r="Z178" s="18"/>
      <c r="AA178" s="18"/>
      <c r="AB178" s="3">
        <f>IF(B178=1,'Input sheet(dashboard)'!$D$18*Calculations!X178,IF(Calculations!B178=12*'Input sheet(dashboard)'!$D$27,'Input sheet(dashboard)'!$D$18*-Calculations!X178,0))</f>
        <v>0</v>
      </c>
      <c r="AC178" s="3">
        <f>IF(B178&lt;='Input sheet(dashboard)'!$D$27*12,IF(MOD(B177,'Input sheet(dashboard)'!$D$19*12),0,'Input sheet(dashboard)'!$D$20*(1+'Input sheet(dashboard)'!$E$22)^Calculations!B178),0)</f>
        <v>0</v>
      </c>
      <c r="AD178" s="17">
        <f t="shared" si="21"/>
        <v>52556.741725116502</v>
      </c>
      <c r="AE178" s="17">
        <f>IF(B178&lt;='Input sheet(dashboard)'!$D$27*12,IF(D178=12,SUM(AD167:AD178),0),0)</f>
        <v>0</v>
      </c>
      <c r="AF178" s="17">
        <f t="shared" si="22"/>
        <v>12271.6706727419</v>
      </c>
      <c r="AG178" s="17">
        <f t="shared" si="23"/>
        <v>12271.6706727419</v>
      </c>
      <c r="AH178" s="3">
        <f>IF(B178&lt;='Input sheet(dashboard)'!$D$27*12,AH177*(1+'Input sheet(dashboard)'!$E$25)+AG178," ")</f>
        <v>10037575.867421268</v>
      </c>
    </row>
    <row r="179" spans="2:34">
      <c r="B179">
        <f t="shared" si="18"/>
        <v>176</v>
      </c>
      <c r="C179">
        <f t="shared" si="25"/>
        <v>15</v>
      </c>
      <c r="D179">
        <f t="shared" si="26"/>
        <v>8</v>
      </c>
      <c r="E179" s="15">
        <f>IF(C179&lt;='Input sheet(dashboard)'!$D$6, -PMT('Input sheet(dashboard)'!$E$5,'Input sheet(dashboard)'!$D$6*12,'Input sheet(dashboard)'!$D$3*'Input sheet(dashboard)'!$D$4),0)</f>
        <v>39834.137922259193</v>
      </c>
      <c r="F179" s="3">
        <f>I178*'Input sheet(dashboard)'!$E$5</f>
        <v>19505.454253544394</v>
      </c>
      <c r="G179" s="3">
        <f>IF(C179&lt;='Input sheet(dashboard)'!$D$6,E179*'Input sheet(dashboard)'!$D$7,0)</f>
        <v>3186.7310337807357</v>
      </c>
      <c r="H179" s="3">
        <f t="shared" si="19"/>
        <v>20328.683668714799</v>
      </c>
      <c r="I179" s="3">
        <f t="shared" si="20"/>
        <v>5334210.4339109426</v>
      </c>
      <c r="J179" s="3">
        <f>IF(B179&lt;='Input sheet(dashboard)'!$D$27*12,'Input sheet(dashboard)'!$D$3*(1+'Input sheet(dashboard)'!$E$24)^B179,0)</f>
        <v>18139613.35392103</v>
      </c>
      <c r="K179" s="3">
        <f>IF(B179&lt;='Input sheet(dashboard)'!$D$27*12,J179*'Input sheet(dashboard)'!$E$8,0)</f>
        <v>18788.032239492815</v>
      </c>
      <c r="L179" s="3">
        <f>IF(B179&lt;='Input sheet(dashboard)'!$D$27*12,'Input sheet(dashboard)'!$D$9*(1+'Input sheet(dashboard)'!$E$22)^B179,0)</f>
        <v>4309.2790082787242</v>
      </c>
      <c r="M179" s="3">
        <f>IF(B179=1,'Input sheet(dashboard)'!$D$3*'Input sheet(dashboard)'!$D$10,0)</f>
        <v>0</v>
      </c>
      <c r="N179" s="3">
        <f>IF(B179='Input sheet(dashboard)'!$D$27*12,J179*'Input sheet(dashboard)'!$D$11,0)</f>
        <v>0</v>
      </c>
      <c r="O179" s="3">
        <f>IF(SUM(F179:F190)&gt;=150000,150000/12*'Input sheet(dashboard)'!$D$28,SUM(F179:F190)/12*'Input sheet(dashboard)'!$D$28)</f>
        <v>1875</v>
      </c>
      <c r="P179" s="3">
        <f t="shared" si="24"/>
        <v>0</v>
      </c>
      <c r="Q179" s="3">
        <f>IF(B179&lt;='Input sheet(dashboard)'!$D$27*12,'Input sheet(dashboard)'!$D$12/12,0)</f>
        <v>192.5</v>
      </c>
      <c r="R179" s="3">
        <f>IF(B179&lt;='Input sheet(dashboard)'!$D$27*12,('Input sheet(dashboard)'!$D$15/12)*(1+'Input sheet(dashboard)'!$E$22)^Calculations!B179,0)</f>
        <v>478.80877869763594</v>
      </c>
      <c r="S179" s="3">
        <f>IF(B179&lt;='Input sheet(dashboard)'!$D$27*12,(E179+G179+K179+L179-O179+M179+Q179+R179),0)</f>
        <v>64914.488982509109</v>
      </c>
      <c r="T179" s="3">
        <f>IF(B179&lt;='Input sheet(dashboard)'!$D$27*12,IF(D179=12,SUM(S168:S179),0),0)</f>
        <v>0</v>
      </c>
      <c r="U179" s="3">
        <f>IF(B179&lt;='Input sheet(dashboard)'!$D$27*12,IF(S179&lt;AD179,AD179-S179,0),0)</f>
        <v>0</v>
      </c>
      <c r="V179" s="3">
        <f>IF(B179&lt;='Input sheet(dashboard)'!$D$27*12,V178*(1+'Input sheet(dashboard)'!$E$25)+U179,0)</f>
        <v>0</v>
      </c>
      <c r="W179" s="17">
        <f>IF(B179&lt;='Input sheet(dashboard)'!$D$27*12,J179-I179+V179-N179,0)</f>
        <v>12805402.920010086</v>
      </c>
      <c r="X179" s="3">
        <f>IF(B179&lt;='Input sheet(dashboard)'!$D$27*12,'Input sheet(dashboard)'!$D$17*(1+'Input sheet(dashboard)'!$E$23)^(B179-1),0)</f>
        <v>52770.864396569879</v>
      </c>
      <c r="Y179" s="3"/>
      <c r="Z179" s="18"/>
      <c r="AA179" s="18"/>
      <c r="AB179" s="3">
        <f>IF(B179=1,'Input sheet(dashboard)'!$D$18*Calculations!X179,IF(Calculations!B179=12*'Input sheet(dashboard)'!$D$27,'Input sheet(dashboard)'!$D$18*-Calculations!X179,0))</f>
        <v>0</v>
      </c>
      <c r="AC179" s="3">
        <f>IF(B179&lt;='Input sheet(dashboard)'!$D$27*12,IF(MOD(B178,'Input sheet(dashboard)'!$D$19*12),0,'Input sheet(dashboard)'!$D$20*(1+'Input sheet(dashboard)'!$E$22)^Calculations!B179),0)</f>
        <v>0</v>
      </c>
      <c r="AD179" s="17">
        <f t="shared" si="21"/>
        <v>52770.864396569879</v>
      </c>
      <c r="AE179" s="17">
        <f>IF(B179&lt;='Input sheet(dashboard)'!$D$27*12,IF(D179=12,SUM(AD168:AD179),0),0)</f>
        <v>0</v>
      </c>
      <c r="AF179" s="17">
        <f t="shared" si="22"/>
        <v>12143.624585939229</v>
      </c>
      <c r="AG179" s="17">
        <f t="shared" si="23"/>
        <v>12143.624585939229</v>
      </c>
      <c r="AH179" s="3">
        <f>IF(B179&lt;='Input sheet(dashboard)'!$D$27*12,AH178*(1+'Input sheet(dashboard)'!$E$25)+AG179," ")</f>
        <v>10114301.55736964</v>
      </c>
    </row>
    <row r="180" spans="2:34">
      <c r="B180">
        <f t="shared" si="18"/>
        <v>177</v>
      </c>
      <c r="C180">
        <f t="shared" si="25"/>
        <v>15</v>
      </c>
      <c r="D180">
        <f t="shared" si="26"/>
        <v>9</v>
      </c>
      <c r="E180" s="15">
        <f>IF(C180&lt;='Input sheet(dashboard)'!$D$6, -PMT('Input sheet(dashboard)'!$E$5,'Input sheet(dashboard)'!$D$6*12,'Input sheet(dashboard)'!$D$3*'Input sheet(dashboard)'!$D$4),0)</f>
        <v>39834.137922259193</v>
      </c>
      <c r="F180" s="3">
        <f>I179*'Input sheet(dashboard)'!$E$5</f>
        <v>19431.401155672149</v>
      </c>
      <c r="G180" s="3">
        <f>IF(C180&lt;='Input sheet(dashboard)'!$D$6,E180*'Input sheet(dashboard)'!$D$7,0)</f>
        <v>3186.7310337807357</v>
      </c>
      <c r="H180" s="3">
        <f t="shared" si="19"/>
        <v>20402.736766587044</v>
      </c>
      <c r="I180" s="3">
        <f t="shared" si="20"/>
        <v>5313807.6971443556</v>
      </c>
      <c r="J180" s="3">
        <f>IF(B180&lt;='Input sheet(dashboard)'!$D$27*12,'Input sheet(dashboard)'!$D$3*(1+'Input sheet(dashboard)'!$E$24)^B180,0)</f>
        <v>18213516.384112418</v>
      </c>
      <c r="K180" s="3">
        <f>IF(B180&lt;='Input sheet(dashboard)'!$D$27*12,J180*'Input sheet(dashboard)'!$E$8,0)</f>
        <v>18864.577008487679</v>
      </c>
      <c r="L180" s="3">
        <f>IF(B180&lt;='Input sheet(dashboard)'!$D$27*12,'Input sheet(dashboard)'!$D$9*(1+'Input sheet(dashboard)'!$E$22)^B180,0)</f>
        <v>4318.155417476848</v>
      </c>
      <c r="M180" s="3">
        <f>IF(B180=1,'Input sheet(dashboard)'!$D$3*'Input sheet(dashboard)'!$D$10,0)</f>
        <v>0</v>
      </c>
      <c r="N180" s="3">
        <f>IF(B180='Input sheet(dashboard)'!$D$27*12,J180*'Input sheet(dashboard)'!$D$11,0)</f>
        <v>0</v>
      </c>
      <c r="O180" s="3">
        <f>IF(SUM(F180:F191)&gt;=150000,150000/12*'Input sheet(dashboard)'!$D$28,SUM(F180:F191)/12*'Input sheet(dashboard)'!$D$28)</f>
        <v>1875</v>
      </c>
      <c r="P180" s="3">
        <f t="shared" si="24"/>
        <v>0</v>
      </c>
      <c r="Q180" s="3">
        <f>IF(B180&lt;='Input sheet(dashboard)'!$D$27*12,'Input sheet(dashboard)'!$D$12/12,0)</f>
        <v>192.5</v>
      </c>
      <c r="R180" s="3">
        <f>IF(B180&lt;='Input sheet(dashboard)'!$D$27*12,('Input sheet(dashboard)'!$D$15/12)*(1+'Input sheet(dashboard)'!$E$22)^Calculations!B180,0)</f>
        <v>479.79504638631641</v>
      </c>
      <c r="S180" s="3">
        <f>IF(B180&lt;='Input sheet(dashboard)'!$D$27*12,(E180+G180+K180+L180-O180+M180+Q180+R180),0)</f>
        <v>65000.896428390777</v>
      </c>
      <c r="T180" s="3">
        <f>IF(B180&lt;='Input sheet(dashboard)'!$D$27*12,IF(D180=12,SUM(S169:S180),0),0)</f>
        <v>0</v>
      </c>
      <c r="U180" s="3">
        <f>IF(B180&lt;='Input sheet(dashboard)'!$D$27*12,IF(S180&lt;AD180,AD180-S180,0),0)</f>
        <v>0</v>
      </c>
      <c r="V180" s="3">
        <f>IF(B180&lt;='Input sheet(dashboard)'!$D$27*12,V179*(1+'Input sheet(dashboard)'!$E$25)+U180,0)</f>
        <v>0</v>
      </c>
      <c r="W180" s="17">
        <f>IF(B180&lt;='Input sheet(dashboard)'!$D$27*12,J180-I180+V180-N180,0)</f>
        <v>12899708.686968062</v>
      </c>
      <c r="X180" s="3">
        <f>IF(B180&lt;='Input sheet(dashboard)'!$D$27*12,'Input sheet(dashboard)'!$D$17*(1+'Input sheet(dashboard)'!$E$23)^(B180-1),0)</f>
        <v>52985.859430291632</v>
      </c>
      <c r="Y180" s="3"/>
      <c r="Z180" s="18"/>
      <c r="AA180" s="18"/>
      <c r="AB180" s="3">
        <f>IF(B180=1,'Input sheet(dashboard)'!$D$18*Calculations!X180,IF(Calculations!B180=12*'Input sheet(dashboard)'!$D$27,'Input sheet(dashboard)'!$D$18*-Calculations!X180,0))</f>
        <v>0</v>
      </c>
      <c r="AC180" s="3">
        <f>IF(B180&lt;='Input sheet(dashboard)'!$D$27*12,IF(MOD(B179,'Input sheet(dashboard)'!$D$19*12),0,'Input sheet(dashboard)'!$D$20*(1+'Input sheet(dashboard)'!$E$22)^Calculations!B180),0)</f>
        <v>0</v>
      </c>
      <c r="AD180" s="17">
        <f t="shared" si="21"/>
        <v>52985.859430291632</v>
      </c>
      <c r="AE180" s="17">
        <f>IF(B180&lt;='Input sheet(dashboard)'!$D$27*12,IF(D180=12,SUM(AD169:AD180),0),0)</f>
        <v>0</v>
      </c>
      <c r="AF180" s="17">
        <f t="shared" si="22"/>
        <v>12015.036998099145</v>
      </c>
      <c r="AG180" s="17">
        <f t="shared" si="23"/>
        <v>12015.036998099145</v>
      </c>
      <c r="AH180" s="3">
        <f>IF(B180&lt;='Input sheet(dashboard)'!$D$27*12,AH179*(1+'Input sheet(dashboard)'!$E$25)+AG180," ")</f>
        <v>10191392.315129509</v>
      </c>
    </row>
    <row r="181" spans="2:34">
      <c r="B181">
        <f t="shared" si="18"/>
        <v>178</v>
      </c>
      <c r="C181">
        <f t="shared" si="25"/>
        <v>15</v>
      </c>
      <c r="D181">
        <f t="shared" si="26"/>
        <v>10</v>
      </c>
      <c r="E181" s="15">
        <f>IF(C181&lt;='Input sheet(dashboard)'!$D$6, -PMT('Input sheet(dashboard)'!$E$5,'Input sheet(dashboard)'!$D$6*12,'Input sheet(dashboard)'!$D$3*'Input sheet(dashboard)'!$D$4),0)</f>
        <v>39834.137922259193</v>
      </c>
      <c r="F181" s="3">
        <f>I180*'Input sheet(dashboard)'!$E$5</f>
        <v>19357.078298016444</v>
      </c>
      <c r="G181" s="3">
        <f>IF(C181&lt;='Input sheet(dashboard)'!$D$6,E181*'Input sheet(dashboard)'!$D$7,0)</f>
        <v>3186.7310337807357</v>
      </c>
      <c r="H181" s="3">
        <f t="shared" si="19"/>
        <v>20477.059624242749</v>
      </c>
      <c r="I181" s="3">
        <f t="shared" si="20"/>
        <v>5293330.637520113</v>
      </c>
      <c r="J181" s="3">
        <f>IF(B181&lt;='Input sheet(dashboard)'!$D$27*12,'Input sheet(dashboard)'!$D$3*(1+'Input sheet(dashboard)'!$E$24)^B181,0)</f>
        <v>18287720.504396804</v>
      </c>
      <c r="K181" s="3">
        <f>IF(B181&lt;='Input sheet(dashboard)'!$D$27*12,J181*'Input sheet(dashboard)'!$E$8,0)</f>
        <v>18941.43363034643</v>
      </c>
      <c r="L181" s="3">
        <f>IF(B181&lt;='Input sheet(dashboard)'!$D$27*12,'Input sheet(dashboard)'!$D$9*(1+'Input sheet(dashboard)'!$E$22)^B181,0)</f>
        <v>4327.0501106245847</v>
      </c>
      <c r="M181" s="3">
        <f>IF(B181=1,'Input sheet(dashboard)'!$D$3*'Input sheet(dashboard)'!$D$10,0)</f>
        <v>0</v>
      </c>
      <c r="N181" s="3">
        <f>IF(B181='Input sheet(dashboard)'!$D$27*12,J181*'Input sheet(dashboard)'!$D$11,0)</f>
        <v>0</v>
      </c>
      <c r="O181" s="3">
        <f>IF(SUM(F181:F192)&gt;=150000,150000/12*'Input sheet(dashboard)'!$D$28,SUM(F181:F192)/12*'Input sheet(dashboard)'!$D$28)</f>
        <v>1875</v>
      </c>
      <c r="P181" s="3">
        <f t="shared" si="24"/>
        <v>0</v>
      </c>
      <c r="Q181" s="3">
        <f>IF(B181&lt;='Input sheet(dashboard)'!$D$27*12,'Input sheet(dashboard)'!$D$12/12,0)</f>
        <v>192.5</v>
      </c>
      <c r="R181" s="3">
        <f>IF(B181&lt;='Input sheet(dashboard)'!$D$27*12,('Input sheet(dashboard)'!$D$15/12)*(1+'Input sheet(dashboard)'!$E$22)^Calculations!B181,0)</f>
        <v>480.78334562495382</v>
      </c>
      <c r="S181" s="3">
        <f>IF(B181&lt;='Input sheet(dashboard)'!$D$27*12,(E181+G181+K181+L181-O181+M181+Q181+R181),0)</f>
        <v>65087.636042635895</v>
      </c>
      <c r="T181" s="3">
        <f>IF(B181&lt;='Input sheet(dashboard)'!$D$27*12,IF(D181=12,SUM(S170:S181),0),0)</f>
        <v>0</v>
      </c>
      <c r="U181" s="3">
        <f>IF(B181&lt;='Input sheet(dashboard)'!$D$27*12,IF(S181&lt;AD181,AD181-S181,0),0)</f>
        <v>0</v>
      </c>
      <c r="V181" s="3">
        <f>IF(B181&lt;='Input sheet(dashboard)'!$D$27*12,V180*(1+'Input sheet(dashboard)'!$E$25)+U181,0)</f>
        <v>0</v>
      </c>
      <c r="W181" s="17">
        <f>IF(B181&lt;='Input sheet(dashboard)'!$D$27*12,J181-I181+V181-N181,0)</f>
        <v>12994389.866876692</v>
      </c>
      <c r="X181" s="3">
        <f>IF(B181&lt;='Input sheet(dashboard)'!$D$27*12,'Input sheet(dashboard)'!$D$17*(1+'Input sheet(dashboard)'!$E$23)^(B181-1),0)</f>
        <v>53201.730380393616</v>
      </c>
      <c r="Y181" s="3"/>
      <c r="Z181" s="18"/>
      <c r="AA181" s="18"/>
      <c r="AB181" s="3">
        <f>IF(B181=1,'Input sheet(dashboard)'!$D$18*Calculations!X181,IF(Calculations!B181=12*'Input sheet(dashboard)'!$D$27,'Input sheet(dashboard)'!$D$18*-Calculations!X181,0))</f>
        <v>0</v>
      </c>
      <c r="AC181" s="3">
        <f>IF(B181&lt;='Input sheet(dashboard)'!$D$27*12,IF(MOD(B180,'Input sheet(dashboard)'!$D$19*12),0,'Input sheet(dashboard)'!$D$20*(1+'Input sheet(dashboard)'!$E$22)^Calculations!B181),0)</f>
        <v>0</v>
      </c>
      <c r="AD181" s="17">
        <f t="shared" si="21"/>
        <v>53201.730380393616</v>
      </c>
      <c r="AE181" s="17">
        <f>IF(B181&lt;='Input sheet(dashboard)'!$D$27*12,IF(D181=12,SUM(AD170:AD181),0),0)</f>
        <v>0</v>
      </c>
      <c r="AF181" s="17">
        <f t="shared" si="22"/>
        <v>11885.90566224228</v>
      </c>
      <c r="AG181" s="17">
        <f t="shared" si="23"/>
        <v>11885.90566224228</v>
      </c>
      <c r="AH181" s="3">
        <f>IF(B181&lt;='Input sheet(dashboard)'!$D$27*12,AH180*(1+'Input sheet(dashboard)'!$E$25)+AG181," ")</f>
        <v>10268849.945810152</v>
      </c>
    </row>
    <row r="182" spans="2:34">
      <c r="B182">
        <f t="shared" si="18"/>
        <v>179</v>
      </c>
      <c r="C182">
        <f t="shared" si="25"/>
        <v>15</v>
      </c>
      <c r="D182">
        <f t="shared" si="26"/>
        <v>11</v>
      </c>
      <c r="E182" s="15">
        <f>IF(C182&lt;='Input sheet(dashboard)'!$D$6, -PMT('Input sheet(dashboard)'!$E$5,'Input sheet(dashboard)'!$D$6*12,'Input sheet(dashboard)'!$D$3*'Input sheet(dashboard)'!$D$4),0)</f>
        <v>39834.137922259193</v>
      </c>
      <c r="F182" s="3">
        <f>I181*'Input sheet(dashboard)'!$E$5</f>
        <v>19282.48469789941</v>
      </c>
      <c r="G182" s="3">
        <f>IF(C182&lt;='Input sheet(dashboard)'!$D$6,E182*'Input sheet(dashboard)'!$D$7,0)</f>
        <v>3186.7310337807357</v>
      </c>
      <c r="H182" s="3">
        <f t="shared" si="19"/>
        <v>20551.653224359783</v>
      </c>
      <c r="I182" s="3">
        <f t="shared" si="20"/>
        <v>5272778.9842957528</v>
      </c>
      <c r="J182" s="3">
        <f>IF(B182&lt;='Input sheet(dashboard)'!$D$27*12,'Input sheet(dashboard)'!$D$3*(1+'Input sheet(dashboard)'!$E$24)^B182,0)</f>
        <v>18362226.941452481</v>
      </c>
      <c r="K182" s="3">
        <f>IF(B182&lt;='Input sheet(dashboard)'!$D$27*12,J182*'Input sheet(dashboard)'!$E$8,0)</f>
        <v>19018.60337559622</v>
      </c>
      <c r="L182" s="3">
        <f>IF(B182&lt;='Input sheet(dashboard)'!$D$27*12,'Input sheet(dashboard)'!$D$9*(1+'Input sheet(dashboard)'!$E$22)^B182,0)</f>
        <v>4335.9631253838752</v>
      </c>
      <c r="M182" s="3">
        <f>IF(B182=1,'Input sheet(dashboard)'!$D$3*'Input sheet(dashboard)'!$D$10,0)</f>
        <v>0</v>
      </c>
      <c r="N182" s="3">
        <f>IF(B182='Input sheet(dashboard)'!$D$27*12,J182*'Input sheet(dashboard)'!$D$11,0)</f>
        <v>0</v>
      </c>
      <c r="O182" s="3">
        <f>IF(SUM(F182:F193)&gt;=150000,150000/12*'Input sheet(dashboard)'!$D$28,SUM(F182:F193)/12*'Input sheet(dashboard)'!$D$28)</f>
        <v>1875</v>
      </c>
      <c r="P182" s="3">
        <f t="shared" si="24"/>
        <v>0</v>
      </c>
      <c r="Q182" s="3">
        <f>IF(B182&lt;='Input sheet(dashboard)'!$D$27*12,'Input sheet(dashboard)'!$D$12/12,0)</f>
        <v>192.5</v>
      </c>
      <c r="R182" s="3">
        <f>IF(B182&lt;='Input sheet(dashboard)'!$D$27*12,('Input sheet(dashboard)'!$D$15/12)*(1+'Input sheet(dashboard)'!$E$22)^Calculations!B182,0)</f>
        <v>481.77368059820839</v>
      </c>
      <c r="S182" s="3">
        <f>IF(B182&lt;='Input sheet(dashboard)'!$D$27*12,(E182+G182+K182+L182-O182+M182+Q182+R182),0)</f>
        <v>65174.709137618229</v>
      </c>
      <c r="T182" s="3">
        <f>IF(B182&lt;='Input sheet(dashboard)'!$D$27*12,IF(D182=12,SUM(S171:S182),0),0)</f>
        <v>0</v>
      </c>
      <c r="U182" s="3">
        <f>IF(B182&lt;='Input sheet(dashboard)'!$D$27*12,IF(S182&lt;AD182,AD182-S182,0),0)</f>
        <v>0</v>
      </c>
      <c r="V182" s="3">
        <f>IF(B182&lt;='Input sheet(dashboard)'!$D$27*12,V181*(1+'Input sheet(dashboard)'!$E$25)+U182,0)</f>
        <v>0</v>
      </c>
      <c r="W182" s="17">
        <f>IF(B182&lt;='Input sheet(dashboard)'!$D$27*12,J182-I182+V182-N182,0)</f>
        <v>13089447.957156729</v>
      </c>
      <c r="X182" s="3">
        <f>IF(B182&lt;='Input sheet(dashboard)'!$D$27*12,'Input sheet(dashboard)'!$D$17*(1+'Input sheet(dashboard)'!$E$23)^(B182-1),0)</f>
        <v>53418.480815467636</v>
      </c>
      <c r="Y182" s="3"/>
      <c r="Z182" s="18"/>
      <c r="AA182" s="18"/>
      <c r="AB182" s="3">
        <f>IF(B182=1,'Input sheet(dashboard)'!$D$18*Calculations!X182,IF(Calculations!B182=12*'Input sheet(dashboard)'!$D$27,'Input sheet(dashboard)'!$D$18*-Calculations!X182,0))</f>
        <v>0</v>
      </c>
      <c r="AC182" s="3">
        <f>IF(B182&lt;='Input sheet(dashboard)'!$D$27*12,IF(MOD(B181,'Input sheet(dashboard)'!$D$19*12),0,'Input sheet(dashboard)'!$D$20*(1+'Input sheet(dashboard)'!$E$22)^Calculations!B182),0)</f>
        <v>0</v>
      </c>
      <c r="AD182" s="17">
        <f t="shared" si="21"/>
        <v>53418.480815467636</v>
      </c>
      <c r="AE182" s="17">
        <f>IF(B182&lt;='Input sheet(dashboard)'!$D$27*12,IF(D182=12,SUM(AD171:AD182),0),0)</f>
        <v>0</v>
      </c>
      <c r="AF182" s="17">
        <f t="shared" si="22"/>
        <v>11756.228322150593</v>
      </c>
      <c r="AG182" s="17">
        <f t="shared" si="23"/>
        <v>11756.228322150593</v>
      </c>
      <c r="AH182" s="3">
        <f>IF(B182&lt;='Input sheet(dashboard)'!$D$27*12,AH181*(1+'Input sheet(dashboard)'!$E$25)+AG182," ")</f>
        <v>10346676.263878752</v>
      </c>
    </row>
    <row r="183" spans="2:34">
      <c r="B183">
        <f t="shared" si="18"/>
        <v>180</v>
      </c>
      <c r="C183">
        <f t="shared" si="25"/>
        <v>15</v>
      </c>
      <c r="D183">
        <f t="shared" si="26"/>
        <v>12</v>
      </c>
      <c r="E183" s="15">
        <f>IF(C183&lt;='Input sheet(dashboard)'!$D$6, -PMT('Input sheet(dashboard)'!$E$5,'Input sheet(dashboard)'!$D$6*12,'Input sheet(dashboard)'!$D$3*'Input sheet(dashboard)'!$D$4),0)</f>
        <v>39834.137922259193</v>
      </c>
      <c r="F183" s="3">
        <f>I182*'Input sheet(dashboard)'!$E$5</f>
        <v>19207.619369063475</v>
      </c>
      <c r="G183" s="3">
        <f>IF(C183&lt;='Input sheet(dashboard)'!$D$6,E183*'Input sheet(dashboard)'!$D$7,0)</f>
        <v>3186.7310337807357</v>
      </c>
      <c r="H183" s="3">
        <f t="shared" si="19"/>
        <v>20626.518553195718</v>
      </c>
      <c r="I183" s="3">
        <f t="shared" si="20"/>
        <v>5252152.4657425573</v>
      </c>
      <c r="J183" s="3">
        <f>IF(B183&lt;='Input sheet(dashboard)'!$D$27*12,'Input sheet(dashboard)'!$D$3*(1+'Input sheet(dashboard)'!$E$24)^B183,0)</f>
        <v>18437036.926955402</v>
      </c>
      <c r="K183" s="3">
        <f>IF(B183&lt;='Input sheet(dashboard)'!$D$27*12,J183*'Input sheet(dashboard)'!$E$8,0)</f>
        <v>19096.087519940513</v>
      </c>
      <c r="L183" s="3">
        <f>IF(B183&lt;='Input sheet(dashboard)'!$D$27*12,'Input sheet(dashboard)'!$D$9*(1+'Input sheet(dashboard)'!$E$22)^B183,0)</f>
        <v>4344.894499494244</v>
      </c>
      <c r="M183" s="3">
        <f>IF(B183=1,'Input sheet(dashboard)'!$D$3*'Input sheet(dashboard)'!$D$10,0)</f>
        <v>0</v>
      </c>
      <c r="N183" s="3">
        <f>IF(B183='Input sheet(dashboard)'!$D$27*12,J183*'Input sheet(dashboard)'!$D$11,0)</f>
        <v>0</v>
      </c>
      <c r="O183" s="3">
        <f>IF(SUM(F183:F194)&gt;=150000,150000/12*'Input sheet(dashboard)'!$D$28,SUM(F183:F194)/12*'Input sheet(dashboard)'!$D$28)</f>
        <v>1875</v>
      </c>
      <c r="P183" s="3">
        <f t="shared" si="24"/>
        <v>22500</v>
      </c>
      <c r="Q183" s="3">
        <f>IF(B183&lt;='Input sheet(dashboard)'!$D$27*12,'Input sheet(dashboard)'!$D$12/12,0)</f>
        <v>192.5</v>
      </c>
      <c r="R183" s="3">
        <f>IF(B183&lt;='Input sheet(dashboard)'!$D$27*12,('Input sheet(dashboard)'!$D$15/12)*(1+'Input sheet(dashboard)'!$E$22)^Calculations!B183,0)</f>
        <v>482.76605549936039</v>
      </c>
      <c r="S183" s="3">
        <f>IF(B183&lt;='Input sheet(dashboard)'!$D$27*12,(E183+G183+K183+L183-O183+M183+Q183+R183),0)</f>
        <v>65262.117030974056</v>
      </c>
      <c r="T183" s="3">
        <f>IF(B183&lt;='Input sheet(dashboard)'!$D$27*12,IF(D183=12,SUM(S172:S183),0),0)</f>
        <v>777449.49097080552</v>
      </c>
      <c r="U183" s="3">
        <f>IF(B183&lt;='Input sheet(dashboard)'!$D$27*12,IF(S183&lt;AD183,AD183-S183,0),0)</f>
        <v>0</v>
      </c>
      <c r="V183" s="3">
        <f>IF(B183&lt;='Input sheet(dashboard)'!$D$27*12,V182*(1+'Input sheet(dashboard)'!$E$25)+U183,0)</f>
        <v>0</v>
      </c>
      <c r="W183" s="17">
        <f>IF(B183&lt;='Input sheet(dashboard)'!$D$27*12,J183-I183+V183-N183,0)</f>
        <v>13184884.461212844</v>
      </c>
      <c r="X183" s="3">
        <f>IF(B183&lt;='Input sheet(dashboard)'!$D$27*12,'Input sheet(dashboard)'!$D$17*(1+'Input sheet(dashboard)'!$E$23)^(B183-1),0)</f>
        <v>53636.114318644301</v>
      </c>
      <c r="Y183" s="3"/>
      <c r="Z183" s="18"/>
      <c r="AA183" s="18"/>
      <c r="AB183" s="3">
        <f>IF(B183=1,'Input sheet(dashboard)'!$D$18*Calculations!X183,IF(Calculations!B183=12*'Input sheet(dashboard)'!$D$27,'Input sheet(dashboard)'!$D$18*-Calculations!X183,0))</f>
        <v>0</v>
      </c>
      <c r="AC183" s="3">
        <f>IF(B183&lt;='Input sheet(dashboard)'!$D$27*12,IF(MOD(B182,'Input sheet(dashboard)'!$D$19*12),0,'Input sheet(dashboard)'!$D$20*(1+'Input sheet(dashboard)'!$E$22)^Calculations!B183),0)</f>
        <v>0</v>
      </c>
      <c r="AD183" s="17">
        <f t="shared" si="21"/>
        <v>53636.114318644301</v>
      </c>
      <c r="AE183" s="17">
        <f>IF(B183&lt;='Input sheet(dashboard)'!$D$27*12,IF(D183=12,SUM(AD172:AD183),0),0)</f>
        <v>629462.07340746373</v>
      </c>
      <c r="AF183" s="17">
        <f t="shared" si="22"/>
        <v>11626.002712329755</v>
      </c>
      <c r="AG183" s="17">
        <f t="shared" si="23"/>
        <v>11626.002712329755</v>
      </c>
      <c r="AH183" s="3">
        <f>IF(B183&lt;='Input sheet(dashboard)'!$D$27*12,AH182*(1+'Input sheet(dashboard)'!$E$25)+AG183," ")</f>
        <v>10424873.093211334</v>
      </c>
    </row>
    <row r="184" spans="2:34">
      <c r="B184">
        <f t="shared" si="18"/>
        <v>181</v>
      </c>
      <c r="C184">
        <f t="shared" si="25"/>
        <v>16</v>
      </c>
      <c r="D184">
        <f t="shared" si="26"/>
        <v>1</v>
      </c>
      <c r="E184" s="15">
        <f>IF(C184&lt;='Input sheet(dashboard)'!$D$6, -PMT('Input sheet(dashboard)'!$E$5,'Input sheet(dashboard)'!$D$6*12,'Input sheet(dashboard)'!$D$3*'Input sheet(dashboard)'!$D$4),0)</f>
        <v>39834.137922259193</v>
      </c>
      <c r="F184" s="3">
        <f>I183*'Input sheet(dashboard)'!$E$5</f>
        <v>19132.481321658361</v>
      </c>
      <c r="G184" s="3">
        <f>IF(C184&lt;='Input sheet(dashboard)'!$D$6,E184*'Input sheet(dashboard)'!$D$7,0)</f>
        <v>3186.7310337807357</v>
      </c>
      <c r="H184" s="3">
        <f t="shared" si="19"/>
        <v>20701.656600600832</v>
      </c>
      <c r="I184" s="3">
        <f t="shared" si="20"/>
        <v>5231450.8091419563</v>
      </c>
      <c r="J184" s="3">
        <f>IF(B184&lt;='Input sheet(dashboard)'!$D$27*12,'Input sheet(dashboard)'!$D$3*(1+'Input sheet(dashboard)'!$E$24)^B184,0)</f>
        <v>18512151.697599512</v>
      </c>
      <c r="K184" s="3">
        <f>IF(B184&lt;='Input sheet(dashboard)'!$D$27*12,J184*'Input sheet(dashboard)'!$E$8,0)</f>
        <v>19173.88734428013</v>
      </c>
      <c r="L184" s="3">
        <f>IF(B184&lt;='Input sheet(dashboard)'!$D$27*12,'Input sheet(dashboard)'!$D$9*(1+'Input sheet(dashboard)'!$E$22)^B184,0)</f>
        <v>4353.84427077294</v>
      </c>
      <c r="M184" s="3">
        <f>IF(B184=1,'Input sheet(dashboard)'!$D$3*'Input sheet(dashboard)'!$D$10,0)</f>
        <v>0</v>
      </c>
      <c r="N184" s="3">
        <f>IF(B184='Input sheet(dashboard)'!$D$27*12,J184*'Input sheet(dashboard)'!$D$11,0)</f>
        <v>0</v>
      </c>
      <c r="O184" s="3">
        <f>IF(SUM(F184:F195)&gt;=150000,150000/12*'Input sheet(dashboard)'!$D$28,SUM(F184:F195)/12*'Input sheet(dashboard)'!$D$28)</f>
        <v>1875</v>
      </c>
      <c r="P184" s="3">
        <f t="shared" si="24"/>
        <v>0</v>
      </c>
      <c r="Q184" s="3">
        <f>IF(B184&lt;='Input sheet(dashboard)'!$D$27*12,'Input sheet(dashboard)'!$D$12/12,0)</f>
        <v>192.5</v>
      </c>
      <c r="R184" s="3">
        <f>IF(B184&lt;='Input sheet(dashboard)'!$D$27*12,('Input sheet(dashboard)'!$D$15/12)*(1+'Input sheet(dashboard)'!$E$22)^Calculations!B184,0)</f>
        <v>483.76047453032669</v>
      </c>
      <c r="S184" s="3">
        <f>IF(B184&lt;='Input sheet(dashboard)'!$D$27*12,(E184+G184+K184+L184-O184+M184+Q184+R184),0)</f>
        <v>65349.861045623329</v>
      </c>
      <c r="T184" s="3">
        <f>IF(B184&lt;='Input sheet(dashboard)'!$D$27*12,IF(D184=12,SUM(S173:S184),0),0)</f>
        <v>0</v>
      </c>
      <c r="U184" s="3">
        <f>IF(B184&lt;='Input sheet(dashboard)'!$D$27*12,IF(S184&lt;AD184,AD184-S184,0),0)</f>
        <v>0</v>
      </c>
      <c r="V184" s="3">
        <f>IF(B184&lt;='Input sheet(dashboard)'!$D$27*12,V183*(1+'Input sheet(dashboard)'!$E$25)+U184,0)</f>
        <v>0</v>
      </c>
      <c r="W184" s="17">
        <f>IF(B184&lt;='Input sheet(dashboard)'!$D$27*12,J184-I184+V184-N184,0)</f>
        <v>13280700.888457555</v>
      </c>
      <c r="X184" s="3">
        <f>IF(B184&lt;='Input sheet(dashboard)'!$D$27*12,'Input sheet(dashboard)'!$D$17*(1+'Input sheet(dashboard)'!$E$23)^(B184-1),0)</f>
        <v>53854.634487652373</v>
      </c>
      <c r="Y184" s="3"/>
      <c r="Z184" s="18"/>
      <c r="AA184" s="18"/>
      <c r="AB184" s="3">
        <f>IF(B184=1,'Input sheet(dashboard)'!$D$18*Calculations!X184,IF(Calculations!B184=12*'Input sheet(dashboard)'!$D$27,'Input sheet(dashboard)'!$D$18*-Calculations!X184,0))</f>
        <v>0</v>
      </c>
      <c r="AC184" s="3">
        <f>IF(B184&lt;='Input sheet(dashboard)'!$D$27*12,IF(MOD(B183,'Input sheet(dashboard)'!$D$19*12),0,'Input sheet(dashboard)'!$D$20*(1+'Input sheet(dashboard)'!$E$22)^Calculations!B184),0)</f>
        <v>0</v>
      </c>
      <c r="AD184" s="17">
        <f t="shared" si="21"/>
        <v>53854.634487652373</v>
      </c>
      <c r="AE184" s="17">
        <f>IF(B184&lt;='Input sheet(dashboard)'!$D$27*12,IF(D184=12,SUM(AD173:AD184),0),0)</f>
        <v>0</v>
      </c>
      <c r="AF184" s="17">
        <f t="shared" si="22"/>
        <v>11495.226557970956</v>
      </c>
      <c r="AG184" s="17">
        <f t="shared" si="23"/>
        <v>11495.226557970956</v>
      </c>
      <c r="AH184" s="3">
        <f>IF(B184&lt;='Input sheet(dashboard)'!$D$27*12,AH183*(1+'Input sheet(dashboard)'!$E$25)+AG184," ")</f>
        <v>10503442.267143991</v>
      </c>
    </row>
    <row r="185" spans="2:34">
      <c r="B185">
        <f t="shared" si="18"/>
        <v>182</v>
      </c>
      <c r="C185">
        <f t="shared" si="25"/>
        <v>16</v>
      </c>
      <c r="D185">
        <f t="shared" si="26"/>
        <v>2</v>
      </c>
      <c r="E185" s="15">
        <f>IF(C185&lt;='Input sheet(dashboard)'!$D$6, -PMT('Input sheet(dashboard)'!$E$5,'Input sheet(dashboard)'!$D$6*12,'Input sheet(dashboard)'!$D$3*'Input sheet(dashboard)'!$D$4),0)</f>
        <v>39834.137922259193</v>
      </c>
      <c r="F185" s="3">
        <f>I184*'Input sheet(dashboard)'!$E$5</f>
        <v>19057.069562227956</v>
      </c>
      <c r="G185" s="3">
        <f>IF(C185&lt;='Input sheet(dashboard)'!$D$6,E185*'Input sheet(dashboard)'!$D$7,0)</f>
        <v>3186.7310337807357</v>
      </c>
      <c r="H185" s="3">
        <f t="shared" si="19"/>
        <v>20777.068360031237</v>
      </c>
      <c r="I185" s="3">
        <f t="shared" si="20"/>
        <v>5210673.7407819247</v>
      </c>
      <c r="J185" s="3">
        <f>IF(B185&lt;='Input sheet(dashboard)'!$D$27*12,'Input sheet(dashboard)'!$D$3*(1+'Input sheet(dashboard)'!$E$24)^B185,0)</f>
        <v>18587572.49511721</v>
      </c>
      <c r="K185" s="3">
        <f>IF(B185&lt;='Input sheet(dashboard)'!$D$27*12,J185*'Input sheet(dashboard)'!$E$8,0)</f>
        <v>19252.00413473446</v>
      </c>
      <c r="L185" s="3">
        <f>IF(B185&lt;='Input sheet(dashboard)'!$D$27*12,'Input sheet(dashboard)'!$D$9*(1+'Input sheet(dashboard)'!$E$22)^B185,0)</f>
        <v>4362.8124771151261</v>
      </c>
      <c r="M185" s="3">
        <f>IF(B185=1,'Input sheet(dashboard)'!$D$3*'Input sheet(dashboard)'!$D$10,0)</f>
        <v>0</v>
      </c>
      <c r="N185" s="3">
        <f>IF(B185='Input sheet(dashboard)'!$D$27*12,J185*'Input sheet(dashboard)'!$D$11,0)</f>
        <v>0</v>
      </c>
      <c r="O185" s="3">
        <f>IF(SUM(F185:F196)&gt;=150000,150000/12*'Input sheet(dashboard)'!$D$28,SUM(F185:F196)/12*'Input sheet(dashboard)'!$D$28)</f>
        <v>1875</v>
      </c>
      <c r="P185" s="3">
        <f t="shared" si="24"/>
        <v>0</v>
      </c>
      <c r="Q185" s="3">
        <f>IF(B185&lt;='Input sheet(dashboard)'!$D$27*12,'Input sheet(dashboard)'!$D$12/12,0)</f>
        <v>192.5</v>
      </c>
      <c r="R185" s="3">
        <f>IF(B185&lt;='Input sheet(dashboard)'!$D$27*12,('Input sheet(dashboard)'!$D$15/12)*(1+'Input sheet(dashboard)'!$E$22)^Calculations!B185,0)</f>
        <v>484.75694190168065</v>
      </c>
      <c r="S185" s="3">
        <f>IF(B185&lt;='Input sheet(dashboard)'!$D$27*12,(E185+G185+K185+L185-O185+M185+Q185+R185),0)</f>
        <v>65437.942509791188</v>
      </c>
      <c r="T185" s="3">
        <f>IF(B185&lt;='Input sheet(dashboard)'!$D$27*12,IF(D185=12,SUM(S174:S185),0),0)</f>
        <v>0</v>
      </c>
      <c r="U185" s="3">
        <f>IF(B185&lt;='Input sheet(dashboard)'!$D$27*12,IF(S185&lt;AD185,AD185-S185,0),0)</f>
        <v>0</v>
      </c>
      <c r="V185" s="3">
        <f>IF(B185&lt;='Input sheet(dashboard)'!$D$27*12,V184*(1+'Input sheet(dashboard)'!$E$25)+U185,0)</f>
        <v>0</v>
      </c>
      <c r="W185" s="17">
        <f>IF(B185&lt;='Input sheet(dashboard)'!$D$27*12,J185-I185+V185-N185,0)</f>
        <v>13376898.754335284</v>
      </c>
      <c r="X185" s="3">
        <f>IF(B185&lt;='Input sheet(dashboard)'!$D$27*12,'Input sheet(dashboard)'!$D$17*(1+'Input sheet(dashboard)'!$E$23)^(B185-1),0)</f>
        <v>54074.044934878199</v>
      </c>
      <c r="Y185" s="3"/>
      <c r="Z185" s="18"/>
      <c r="AA185" s="18"/>
      <c r="AB185" s="3">
        <f>IF(B185=1,'Input sheet(dashboard)'!$D$18*Calculations!X185,IF(Calculations!B185=12*'Input sheet(dashboard)'!$D$27,'Input sheet(dashboard)'!$D$18*-Calculations!X185,0))</f>
        <v>0</v>
      </c>
      <c r="AC185" s="3">
        <f>IF(B185&lt;='Input sheet(dashboard)'!$D$27*12,IF(MOD(B184,'Input sheet(dashboard)'!$D$19*12),0,'Input sheet(dashboard)'!$D$20*(1+'Input sheet(dashboard)'!$E$22)^Calculations!B185),0)</f>
        <v>0</v>
      </c>
      <c r="AD185" s="17">
        <f t="shared" si="21"/>
        <v>54074.044934878199</v>
      </c>
      <c r="AE185" s="17">
        <f>IF(B185&lt;='Input sheet(dashboard)'!$D$27*12,IF(D185=12,SUM(AD174:AD185),0),0)</f>
        <v>0</v>
      </c>
      <c r="AF185" s="17">
        <f t="shared" si="22"/>
        <v>11363.89757491299</v>
      </c>
      <c r="AG185" s="17">
        <f t="shared" si="23"/>
        <v>11363.89757491299</v>
      </c>
      <c r="AH185" s="3">
        <f>IF(B185&lt;='Input sheet(dashboard)'!$D$27*12,AH184*(1+'Input sheet(dashboard)'!$E$25)+AG185," ")</f>
        <v>10582385.628524391</v>
      </c>
    </row>
    <row r="186" spans="2:34">
      <c r="B186">
        <f t="shared" si="18"/>
        <v>183</v>
      </c>
      <c r="C186">
        <f t="shared" si="25"/>
        <v>16</v>
      </c>
      <c r="D186">
        <f t="shared" si="26"/>
        <v>3</v>
      </c>
      <c r="E186" s="15">
        <f>IF(C186&lt;='Input sheet(dashboard)'!$D$6, -PMT('Input sheet(dashboard)'!$E$5,'Input sheet(dashboard)'!$D$6*12,'Input sheet(dashboard)'!$D$3*'Input sheet(dashboard)'!$D$4),0)</f>
        <v>39834.137922259193</v>
      </c>
      <c r="F186" s="3">
        <f>I185*'Input sheet(dashboard)'!$E$5</f>
        <v>18981.383093697208</v>
      </c>
      <c r="G186" s="3">
        <f>IF(C186&lt;='Input sheet(dashboard)'!$D$6,E186*'Input sheet(dashboard)'!$D$7,0)</f>
        <v>3186.7310337807357</v>
      </c>
      <c r="H186" s="3">
        <f t="shared" si="19"/>
        <v>20852.754828561985</v>
      </c>
      <c r="I186" s="3">
        <f t="shared" si="20"/>
        <v>5189820.9859533627</v>
      </c>
      <c r="J186" s="3">
        <f>IF(B186&lt;='Input sheet(dashboard)'!$D$27*12,'Input sheet(dashboard)'!$D$3*(1+'Input sheet(dashboard)'!$E$24)^B186,0)</f>
        <v>18663300.566299856</v>
      </c>
      <c r="K186" s="3">
        <f>IF(B186&lt;='Input sheet(dashboard)'!$D$27*12,J186*'Input sheet(dashboard)'!$E$8,0)</f>
        <v>19330.439182662678</v>
      </c>
      <c r="L186" s="3">
        <f>IF(B186&lt;='Input sheet(dashboard)'!$D$27*12,'Input sheet(dashboard)'!$D$9*(1+'Input sheet(dashboard)'!$E$22)^B186,0)</f>
        <v>4371.7991564940112</v>
      </c>
      <c r="M186" s="3">
        <f>IF(B186=1,'Input sheet(dashboard)'!$D$3*'Input sheet(dashboard)'!$D$10,0)</f>
        <v>0</v>
      </c>
      <c r="N186" s="3">
        <f>IF(B186='Input sheet(dashboard)'!$D$27*12,J186*'Input sheet(dashboard)'!$D$11,0)</f>
        <v>0</v>
      </c>
      <c r="O186" s="3">
        <f>IF(SUM(F186:F197)&gt;=150000,150000/12*'Input sheet(dashboard)'!$D$28,SUM(F186:F197)/12*'Input sheet(dashboard)'!$D$28)</f>
        <v>1875</v>
      </c>
      <c r="P186" s="3">
        <f t="shared" si="24"/>
        <v>0</v>
      </c>
      <c r="Q186" s="3">
        <f>IF(B186&lt;='Input sheet(dashboard)'!$D$27*12,'Input sheet(dashboard)'!$D$12/12,0)</f>
        <v>192.5</v>
      </c>
      <c r="R186" s="3">
        <f>IF(B186&lt;='Input sheet(dashboard)'!$D$27*12,('Input sheet(dashboard)'!$D$15/12)*(1+'Input sheet(dashboard)'!$E$22)^Calculations!B186,0)</f>
        <v>485.75546183266789</v>
      </c>
      <c r="S186" s="3">
        <f>IF(B186&lt;='Input sheet(dashboard)'!$D$27*12,(E186+G186+K186+L186-O186+M186+Q186+R186),0)</f>
        <v>65526.362757029288</v>
      </c>
      <c r="T186" s="3">
        <f>IF(B186&lt;='Input sheet(dashboard)'!$D$27*12,IF(D186=12,SUM(S175:S186),0),0)</f>
        <v>0</v>
      </c>
      <c r="U186" s="3">
        <f>IF(B186&lt;='Input sheet(dashboard)'!$D$27*12,IF(S186&lt;AD186,AD186-S186,0),0)</f>
        <v>0</v>
      </c>
      <c r="V186" s="3">
        <f>IF(B186&lt;='Input sheet(dashboard)'!$D$27*12,V185*(1+'Input sheet(dashboard)'!$E$25)+U186,0)</f>
        <v>0</v>
      </c>
      <c r="W186" s="17">
        <f>IF(B186&lt;='Input sheet(dashboard)'!$D$27*12,J186-I186+V186-N186,0)</f>
        <v>13473479.580346493</v>
      </c>
      <c r="X186" s="3">
        <f>IF(B186&lt;='Input sheet(dashboard)'!$D$27*12,'Input sheet(dashboard)'!$D$17*(1+'Input sheet(dashboard)'!$E$23)^(B186-1),0)</f>
        <v>54294.349287425466</v>
      </c>
      <c r="Y186" s="3"/>
      <c r="Z186" s="18"/>
      <c r="AA186" s="18"/>
      <c r="AB186" s="3">
        <f>IF(B186=1,'Input sheet(dashboard)'!$D$18*Calculations!X186,IF(Calculations!B186=12*'Input sheet(dashboard)'!$D$27,'Input sheet(dashboard)'!$D$18*-Calculations!X186,0))</f>
        <v>0</v>
      </c>
      <c r="AC186" s="3">
        <f>IF(B186&lt;='Input sheet(dashboard)'!$D$27*12,IF(MOD(B185,'Input sheet(dashboard)'!$D$19*12),0,'Input sheet(dashboard)'!$D$20*(1+'Input sheet(dashboard)'!$E$22)^Calculations!B186),0)</f>
        <v>0</v>
      </c>
      <c r="AD186" s="17">
        <f t="shared" si="21"/>
        <v>54294.349287425466</v>
      </c>
      <c r="AE186" s="17">
        <f>IF(B186&lt;='Input sheet(dashboard)'!$D$27*12,IF(D186=12,SUM(AD175:AD186),0),0)</f>
        <v>0</v>
      </c>
      <c r="AF186" s="17">
        <f t="shared" si="22"/>
        <v>11232.013469603822</v>
      </c>
      <c r="AG186" s="17">
        <f t="shared" si="23"/>
        <v>11232.013469603822</v>
      </c>
      <c r="AH186" s="3">
        <f>IF(B186&lt;='Input sheet(dashboard)'!$D$27*12,AH185*(1+'Input sheet(dashboard)'!$E$25)+AG186," ")</f>
        <v>10661705.029763587</v>
      </c>
    </row>
    <row r="187" spans="2:34">
      <c r="B187">
        <f t="shared" si="18"/>
        <v>184</v>
      </c>
      <c r="C187">
        <f t="shared" si="25"/>
        <v>16</v>
      </c>
      <c r="D187">
        <f t="shared" si="26"/>
        <v>4</v>
      </c>
      <c r="E187" s="15">
        <f>IF(C187&lt;='Input sheet(dashboard)'!$D$6, -PMT('Input sheet(dashboard)'!$E$5,'Input sheet(dashboard)'!$D$6*12,'Input sheet(dashboard)'!$D$3*'Input sheet(dashboard)'!$D$4),0)</f>
        <v>39834.137922259193</v>
      </c>
      <c r="F187" s="3">
        <f>I186*'Input sheet(dashboard)'!$E$5</f>
        <v>18905.420915358925</v>
      </c>
      <c r="G187" s="3">
        <f>IF(C187&lt;='Input sheet(dashboard)'!$D$6,E187*'Input sheet(dashboard)'!$D$7,0)</f>
        <v>3186.7310337807357</v>
      </c>
      <c r="H187" s="3">
        <f t="shared" si="19"/>
        <v>20928.717006900268</v>
      </c>
      <c r="I187" s="3">
        <f t="shared" si="20"/>
        <v>5168892.2689464623</v>
      </c>
      <c r="J187" s="3">
        <f>IF(B187&lt;='Input sheet(dashboard)'!$D$27*12,'Input sheet(dashboard)'!$D$3*(1+'Input sheet(dashboard)'!$E$24)^B187,0)</f>
        <v>18739337.163018402</v>
      </c>
      <c r="K187" s="3">
        <f>IF(B187&lt;='Input sheet(dashboard)'!$D$27*12,J187*'Input sheet(dashboard)'!$E$8,0)</f>
        <v>19409.19378468514</v>
      </c>
      <c r="L187" s="3">
        <f>IF(B187&lt;='Input sheet(dashboard)'!$D$27*12,'Input sheet(dashboard)'!$D$9*(1+'Input sheet(dashboard)'!$E$22)^B187,0)</f>
        <v>4380.8043469610247</v>
      </c>
      <c r="M187" s="3">
        <f>IF(B187=1,'Input sheet(dashboard)'!$D$3*'Input sheet(dashboard)'!$D$10,0)</f>
        <v>0</v>
      </c>
      <c r="N187" s="3">
        <f>IF(B187='Input sheet(dashboard)'!$D$27*12,J187*'Input sheet(dashboard)'!$D$11,0)</f>
        <v>0</v>
      </c>
      <c r="O187" s="3">
        <f>IF(SUM(F187:F198)&gt;=150000,150000/12*'Input sheet(dashboard)'!$D$28,SUM(F187:F198)/12*'Input sheet(dashboard)'!$D$28)</f>
        <v>1875</v>
      </c>
      <c r="P187" s="3">
        <f t="shared" si="24"/>
        <v>0</v>
      </c>
      <c r="Q187" s="3">
        <f>IF(B187&lt;='Input sheet(dashboard)'!$D$27*12,'Input sheet(dashboard)'!$D$12/12,0)</f>
        <v>192.5</v>
      </c>
      <c r="R187" s="3">
        <f>IF(B187&lt;='Input sheet(dashboard)'!$D$27*12,('Input sheet(dashboard)'!$D$15/12)*(1+'Input sheet(dashboard)'!$E$22)^Calculations!B187,0)</f>
        <v>486.75603855122495</v>
      </c>
      <c r="S187" s="3">
        <f>IF(B187&lt;='Input sheet(dashboard)'!$D$27*12,(E187+G187+K187+L187-O187+M187+Q187+R187),0)</f>
        <v>65615.123126237319</v>
      </c>
      <c r="T187" s="3">
        <f>IF(B187&lt;='Input sheet(dashboard)'!$D$27*12,IF(D187=12,SUM(S176:S187),0),0)</f>
        <v>0</v>
      </c>
      <c r="U187" s="3">
        <f>IF(B187&lt;='Input sheet(dashboard)'!$D$27*12,IF(S187&lt;AD187,AD187-S187,0),0)</f>
        <v>0</v>
      </c>
      <c r="V187" s="3">
        <f>IF(B187&lt;='Input sheet(dashboard)'!$D$27*12,V186*(1+'Input sheet(dashboard)'!$E$25)+U187,0)</f>
        <v>0</v>
      </c>
      <c r="W187" s="17">
        <f>IF(B187&lt;='Input sheet(dashboard)'!$D$27*12,J187-I187+V187-N187,0)</f>
        <v>13570444.89407194</v>
      </c>
      <c r="X187" s="3">
        <f>IF(B187&lt;='Input sheet(dashboard)'!$D$27*12,'Input sheet(dashboard)'!$D$17*(1+'Input sheet(dashboard)'!$E$23)^(B187-1),0)</f>
        <v>54515.551187175071</v>
      </c>
      <c r="Y187" s="3"/>
      <c r="Z187" s="18"/>
      <c r="AA187" s="18"/>
      <c r="AB187" s="3">
        <f>IF(B187=1,'Input sheet(dashboard)'!$D$18*Calculations!X187,IF(Calculations!B187=12*'Input sheet(dashboard)'!$D$27,'Input sheet(dashboard)'!$D$18*-Calculations!X187,0))</f>
        <v>0</v>
      </c>
      <c r="AC187" s="3">
        <f>IF(B187&lt;='Input sheet(dashboard)'!$D$27*12,IF(MOD(B186,'Input sheet(dashboard)'!$D$19*12),0,'Input sheet(dashboard)'!$D$20*(1+'Input sheet(dashboard)'!$E$22)^Calculations!B187),0)</f>
        <v>0</v>
      </c>
      <c r="AD187" s="17">
        <f t="shared" si="21"/>
        <v>54515.551187175071</v>
      </c>
      <c r="AE187" s="17">
        <f>IF(B187&lt;='Input sheet(dashboard)'!$D$27*12,IF(D187=12,SUM(AD176:AD187),0),0)</f>
        <v>0</v>
      </c>
      <c r="AF187" s="17">
        <f t="shared" si="22"/>
        <v>11099.571939062247</v>
      </c>
      <c r="AG187" s="17">
        <f t="shared" si="23"/>
        <v>11099.571939062247</v>
      </c>
      <c r="AH187" s="3">
        <f>IF(B187&lt;='Input sheet(dashboard)'!$D$27*12,AH186*(1+'Input sheet(dashboard)'!$E$25)+AG187," ")</f>
        <v>10741402.332888123</v>
      </c>
    </row>
    <row r="188" spans="2:34">
      <c r="B188">
        <f t="shared" si="18"/>
        <v>185</v>
      </c>
      <c r="C188">
        <f t="shared" si="25"/>
        <v>16</v>
      </c>
      <c r="D188">
        <f t="shared" si="26"/>
        <v>5</v>
      </c>
      <c r="E188" s="15">
        <f>IF(C188&lt;='Input sheet(dashboard)'!$D$6, -PMT('Input sheet(dashboard)'!$E$5,'Input sheet(dashboard)'!$D$6*12,'Input sheet(dashboard)'!$D$3*'Input sheet(dashboard)'!$D$4),0)</f>
        <v>39834.137922259193</v>
      </c>
      <c r="F188" s="3">
        <f>I187*'Input sheet(dashboard)'!$E$5</f>
        <v>18829.182022860557</v>
      </c>
      <c r="G188" s="3">
        <f>IF(C188&lt;='Input sheet(dashboard)'!$D$6,E188*'Input sheet(dashboard)'!$D$7,0)</f>
        <v>3186.7310337807357</v>
      </c>
      <c r="H188" s="3">
        <f t="shared" si="19"/>
        <v>21004.955899398636</v>
      </c>
      <c r="I188" s="3">
        <f t="shared" si="20"/>
        <v>5147887.3130470635</v>
      </c>
      <c r="J188" s="3">
        <f>IF(B188&lt;='Input sheet(dashboard)'!$D$27*12,'Input sheet(dashboard)'!$D$3*(1+'Input sheet(dashboard)'!$E$24)^B188,0)</f>
        <v>18815683.542244058</v>
      </c>
      <c r="K188" s="3">
        <f>IF(B188&lt;='Input sheet(dashboard)'!$D$27*12,J188*'Input sheet(dashboard)'!$E$8,0)</f>
        <v>19488.269242704762</v>
      </c>
      <c r="L188" s="3">
        <f>IF(B188&lt;='Input sheet(dashboard)'!$D$27*12,'Input sheet(dashboard)'!$D$9*(1+'Input sheet(dashboard)'!$E$22)^B188,0)</f>
        <v>4389.8280866459809</v>
      </c>
      <c r="M188" s="3">
        <f>IF(B188=1,'Input sheet(dashboard)'!$D$3*'Input sheet(dashboard)'!$D$10,0)</f>
        <v>0</v>
      </c>
      <c r="N188" s="3">
        <f>IF(B188='Input sheet(dashboard)'!$D$27*12,J188*'Input sheet(dashboard)'!$D$11,0)</f>
        <v>0</v>
      </c>
      <c r="O188" s="3">
        <f>IF(SUM(F188:F199)&gt;=150000,150000/12*'Input sheet(dashboard)'!$D$28,SUM(F188:F199)/12*'Input sheet(dashboard)'!$D$28)</f>
        <v>1875</v>
      </c>
      <c r="P188" s="3">
        <f t="shared" si="24"/>
        <v>0</v>
      </c>
      <c r="Q188" s="3">
        <f>IF(B188&lt;='Input sheet(dashboard)'!$D$27*12,'Input sheet(dashboard)'!$D$12/12,0)</f>
        <v>192.5</v>
      </c>
      <c r="R188" s="3">
        <f>IF(B188&lt;='Input sheet(dashboard)'!$D$27*12,('Input sheet(dashboard)'!$D$15/12)*(1+'Input sheet(dashboard)'!$E$22)^Calculations!B188,0)</f>
        <v>487.75867629399778</v>
      </c>
      <c r="S188" s="3">
        <f>IF(B188&lt;='Input sheet(dashboard)'!$D$27*12,(E188+G188+K188+L188-O188+M188+Q188+R188),0)</f>
        <v>65704.224961684682</v>
      </c>
      <c r="T188" s="3">
        <f>IF(B188&lt;='Input sheet(dashboard)'!$D$27*12,IF(D188=12,SUM(S177:S188),0),0)</f>
        <v>0</v>
      </c>
      <c r="U188" s="3">
        <f>IF(B188&lt;='Input sheet(dashboard)'!$D$27*12,IF(S188&lt;AD188,AD188-S188,0),0)</f>
        <v>0</v>
      </c>
      <c r="V188" s="3">
        <f>IF(B188&lt;='Input sheet(dashboard)'!$D$27*12,V187*(1+'Input sheet(dashboard)'!$E$25)+U188,0)</f>
        <v>0</v>
      </c>
      <c r="W188" s="17">
        <f>IF(B188&lt;='Input sheet(dashboard)'!$D$27*12,J188-I188+V188-N188,0)</f>
        <v>13667796.229196995</v>
      </c>
      <c r="X188" s="3">
        <f>IF(B188&lt;='Input sheet(dashboard)'!$D$27*12,'Input sheet(dashboard)'!$D$17*(1+'Input sheet(dashboard)'!$E$23)^(B188-1),0)</f>
        <v>54737.654290845458</v>
      </c>
      <c r="Y188" s="3"/>
      <c r="Z188" s="18"/>
      <c r="AA188" s="18"/>
      <c r="AB188" s="3">
        <f>IF(B188=1,'Input sheet(dashboard)'!$D$18*Calculations!X188,IF(Calculations!B188=12*'Input sheet(dashboard)'!$D$27,'Input sheet(dashboard)'!$D$18*-Calculations!X188,0))</f>
        <v>0</v>
      </c>
      <c r="AC188" s="3">
        <f>IF(B188&lt;='Input sheet(dashboard)'!$D$27*12,IF(MOD(B187,'Input sheet(dashboard)'!$D$19*12),0,'Input sheet(dashboard)'!$D$20*(1+'Input sheet(dashboard)'!$E$22)^Calculations!B188),0)</f>
        <v>0</v>
      </c>
      <c r="AD188" s="17">
        <f t="shared" si="21"/>
        <v>54737.654290845458</v>
      </c>
      <c r="AE188" s="17">
        <f>IF(B188&lt;='Input sheet(dashboard)'!$D$27*12,IF(D188=12,SUM(AD177:AD188),0),0)</f>
        <v>0</v>
      </c>
      <c r="AF188" s="17">
        <f t="shared" si="22"/>
        <v>10966.570670839224</v>
      </c>
      <c r="AG188" s="17">
        <f t="shared" si="23"/>
        <v>10966.570670839224</v>
      </c>
      <c r="AH188" s="3">
        <f>IF(B188&lt;='Input sheet(dashboard)'!$D$27*12,AH187*(1+'Input sheet(dashboard)'!$E$25)+AG188," ")</f>
        <v>10821479.409592425</v>
      </c>
    </row>
    <row r="189" spans="2:34">
      <c r="B189">
        <f t="shared" si="18"/>
        <v>186</v>
      </c>
      <c r="C189">
        <f t="shared" si="25"/>
        <v>16</v>
      </c>
      <c r="D189">
        <f t="shared" si="26"/>
        <v>6</v>
      </c>
      <c r="E189" s="15">
        <f>IF(C189&lt;='Input sheet(dashboard)'!$D$6, -PMT('Input sheet(dashboard)'!$E$5,'Input sheet(dashboard)'!$D$6*12,'Input sheet(dashboard)'!$D$3*'Input sheet(dashboard)'!$D$4),0)</f>
        <v>39834.137922259193</v>
      </c>
      <c r="F189" s="3">
        <f>I188*'Input sheet(dashboard)'!$E$5</f>
        <v>18752.6654081909</v>
      </c>
      <c r="G189" s="3">
        <f>IF(C189&lt;='Input sheet(dashboard)'!$D$6,E189*'Input sheet(dashboard)'!$D$7,0)</f>
        <v>3186.7310337807357</v>
      </c>
      <c r="H189" s="3">
        <f t="shared" si="19"/>
        <v>21081.472514068293</v>
      </c>
      <c r="I189" s="3">
        <f t="shared" si="20"/>
        <v>5126805.8405329948</v>
      </c>
      <c r="J189" s="3">
        <f>IF(B189&lt;='Input sheet(dashboard)'!$D$27*12,'Input sheet(dashboard)'!$D$3*(1+'Input sheet(dashboard)'!$E$24)^B189,0)</f>
        <v>18892340.966069113</v>
      </c>
      <c r="K189" s="3">
        <f>IF(B189&lt;='Input sheet(dashboard)'!$D$27*12,J189*'Input sheet(dashboard)'!$E$8,0)</f>
        <v>19567.666863928604</v>
      </c>
      <c r="L189" s="3">
        <f>IF(B189&lt;='Input sheet(dashboard)'!$D$27*12,'Input sheet(dashboard)'!$D$9*(1+'Input sheet(dashboard)'!$E$22)^B189,0)</f>
        <v>4398.8704137572277</v>
      </c>
      <c r="M189" s="3">
        <f>IF(B189=1,'Input sheet(dashboard)'!$D$3*'Input sheet(dashboard)'!$D$10,0)</f>
        <v>0</v>
      </c>
      <c r="N189" s="3">
        <f>IF(B189='Input sheet(dashboard)'!$D$27*12,J189*'Input sheet(dashboard)'!$D$11,0)</f>
        <v>0</v>
      </c>
      <c r="O189" s="3">
        <f>IF(SUM(F189:F200)&gt;=150000,150000/12*'Input sheet(dashboard)'!$D$28,SUM(F189:F200)/12*'Input sheet(dashboard)'!$D$28)</f>
        <v>1875</v>
      </c>
      <c r="P189" s="3">
        <f t="shared" si="24"/>
        <v>0</v>
      </c>
      <c r="Q189" s="3">
        <f>IF(B189&lt;='Input sheet(dashboard)'!$D$27*12,'Input sheet(dashboard)'!$D$12/12,0)</f>
        <v>192.5</v>
      </c>
      <c r="R189" s="3">
        <f>IF(B189&lt;='Input sheet(dashboard)'!$D$27*12,('Input sheet(dashboard)'!$D$15/12)*(1+'Input sheet(dashboard)'!$E$22)^Calculations!B189,0)</f>
        <v>488.76337930635856</v>
      </c>
      <c r="S189" s="3">
        <f>IF(B189&lt;='Input sheet(dashboard)'!$D$27*12,(E189+G189+K189+L189-O189+M189+Q189+R189),0)</f>
        <v>65793.669613032107</v>
      </c>
      <c r="T189" s="3">
        <f>IF(B189&lt;='Input sheet(dashboard)'!$D$27*12,IF(D189=12,SUM(S178:S189),0),0)</f>
        <v>0</v>
      </c>
      <c r="U189" s="3">
        <f>IF(B189&lt;='Input sheet(dashboard)'!$D$27*12,IF(S189&lt;AD189,AD189-S189,0),0)</f>
        <v>0</v>
      </c>
      <c r="V189" s="3">
        <f>IF(B189&lt;='Input sheet(dashboard)'!$D$27*12,V188*(1+'Input sheet(dashboard)'!$E$25)+U189,0)</f>
        <v>0</v>
      </c>
      <c r="W189" s="17">
        <f>IF(B189&lt;='Input sheet(dashboard)'!$D$27*12,J189-I189+V189-N189,0)</f>
        <v>13765535.125536118</v>
      </c>
      <c r="X189" s="3">
        <f>IF(B189&lt;='Input sheet(dashboard)'!$D$27*12,'Input sheet(dashboard)'!$D$17*(1+'Input sheet(dashboard)'!$E$23)^(B189-1),0)</f>
        <v>54960.662270052911</v>
      </c>
      <c r="Y189" s="3"/>
      <c r="Z189" s="18"/>
      <c r="AA189" s="18"/>
      <c r="AB189" s="3">
        <f>IF(B189=1,'Input sheet(dashboard)'!$D$18*Calculations!X189,IF(Calculations!B189=12*'Input sheet(dashboard)'!$D$27,'Input sheet(dashboard)'!$D$18*-Calculations!X189,0))</f>
        <v>0</v>
      </c>
      <c r="AC189" s="3">
        <f>IF(B189&lt;='Input sheet(dashboard)'!$D$27*12,IF(MOD(B188,'Input sheet(dashboard)'!$D$19*12),0,'Input sheet(dashboard)'!$D$20*(1+'Input sheet(dashboard)'!$E$22)^Calculations!B189),0)</f>
        <v>0</v>
      </c>
      <c r="AD189" s="17">
        <f t="shared" si="21"/>
        <v>54960.662270052911</v>
      </c>
      <c r="AE189" s="17">
        <f>IF(B189&lt;='Input sheet(dashboard)'!$D$27*12,IF(D189=12,SUM(AD178:AD189),0),0)</f>
        <v>0</v>
      </c>
      <c r="AF189" s="17">
        <f t="shared" si="22"/>
        <v>10833.007342979196</v>
      </c>
      <c r="AG189" s="17">
        <f t="shared" si="23"/>
        <v>10833.007342979196</v>
      </c>
      <c r="AH189" s="3">
        <f>IF(B189&lt;='Input sheet(dashboard)'!$D$27*12,AH188*(1+'Input sheet(dashboard)'!$E$25)+AG189," ")</f>
        <v>10901938.141291505</v>
      </c>
    </row>
    <row r="190" spans="2:34">
      <c r="B190">
        <f t="shared" si="18"/>
        <v>187</v>
      </c>
      <c r="C190">
        <f t="shared" si="25"/>
        <v>16</v>
      </c>
      <c r="D190">
        <f t="shared" si="26"/>
        <v>7</v>
      </c>
      <c r="E190" s="15">
        <f>IF(C190&lt;='Input sheet(dashboard)'!$D$6, -PMT('Input sheet(dashboard)'!$E$5,'Input sheet(dashboard)'!$D$6*12,'Input sheet(dashboard)'!$D$3*'Input sheet(dashboard)'!$D$4),0)</f>
        <v>39834.137922259193</v>
      </c>
      <c r="F190" s="3">
        <f>I189*'Input sheet(dashboard)'!$E$5</f>
        <v>18675.870059666788</v>
      </c>
      <c r="G190" s="3">
        <f>IF(C190&lt;='Input sheet(dashboard)'!$D$6,E190*'Input sheet(dashboard)'!$D$7,0)</f>
        <v>3186.7310337807357</v>
      </c>
      <c r="H190" s="3">
        <f t="shared" si="19"/>
        <v>21158.267862592405</v>
      </c>
      <c r="I190" s="3">
        <f t="shared" si="20"/>
        <v>5105647.572670402</v>
      </c>
      <c r="J190" s="3">
        <f>IF(B190&lt;='Input sheet(dashboard)'!$D$27*12,'Input sheet(dashboard)'!$D$3*(1+'Input sheet(dashboard)'!$E$24)^B190,0)</f>
        <v>18969310.701727774</v>
      </c>
      <c r="K190" s="3">
        <f>IF(B190&lt;='Input sheet(dashboard)'!$D$27*12,J190*'Input sheet(dashboard)'!$E$8,0)</f>
        <v>19647.387960889449</v>
      </c>
      <c r="L190" s="3">
        <f>IF(B190&lt;='Input sheet(dashboard)'!$D$27*12,'Input sheet(dashboard)'!$D$9*(1+'Input sheet(dashboard)'!$E$22)^B190,0)</f>
        <v>4407.9313665818227</v>
      </c>
      <c r="M190" s="3">
        <f>IF(B190=1,'Input sheet(dashboard)'!$D$3*'Input sheet(dashboard)'!$D$10,0)</f>
        <v>0</v>
      </c>
      <c r="N190" s="3">
        <f>IF(B190='Input sheet(dashboard)'!$D$27*12,J190*'Input sheet(dashboard)'!$D$11,0)</f>
        <v>0</v>
      </c>
      <c r="O190" s="3">
        <f>IF(SUM(F190:F201)&gt;=150000,150000/12*'Input sheet(dashboard)'!$D$28,SUM(F190:F201)/12*'Input sheet(dashboard)'!$D$28)</f>
        <v>1875</v>
      </c>
      <c r="P190" s="3">
        <f t="shared" si="24"/>
        <v>0</v>
      </c>
      <c r="Q190" s="3">
        <f>IF(B190&lt;='Input sheet(dashboard)'!$D$27*12,'Input sheet(dashboard)'!$D$12/12,0)</f>
        <v>192.5</v>
      </c>
      <c r="R190" s="3">
        <f>IF(B190&lt;='Input sheet(dashboard)'!$D$27*12,('Input sheet(dashboard)'!$D$15/12)*(1+'Input sheet(dashboard)'!$E$22)^Calculations!B190,0)</f>
        <v>489.7701518424247</v>
      </c>
      <c r="S190" s="3">
        <f>IF(B190&lt;='Input sheet(dashboard)'!$D$27*12,(E190+G190+K190+L190-O190+M190+Q190+R190),0)</f>
        <v>65883.458435353634</v>
      </c>
      <c r="T190" s="3">
        <f>IF(B190&lt;='Input sheet(dashboard)'!$D$27*12,IF(D190=12,SUM(S179:S190),0),0)</f>
        <v>0</v>
      </c>
      <c r="U190" s="3">
        <f>IF(B190&lt;='Input sheet(dashboard)'!$D$27*12,IF(S190&lt;AD190,AD190-S190,0),0)</f>
        <v>0</v>
      </c>
      <c r="V190" s="3">
        <f>IF(B190&lt;='Input sheet(dashboard)'!$D$27*12,V189*(1+'Input sheet(dashboard)'!$E$25)+U190,0)</f>
        <v>0</v>
      </c>
      <c r="W190" s="17">
        <f>IF(B190&lt;='Input sheet(dashboard)'!$D$27*12,J190-I190+V190-N190,0)</f>
        <v>13863663.129057372</v>
      </c>
      <c r="X190" s="3">
        <f>IF(B190&lt;='Input sheet(dashboard)'!$D$27*12,'Input sheet(dashboard)'!$D$17*(1+'Input sheet(dashboard)'!$E$23)^(B190-1),0)</f>
        <v>55184.57881137239</v>
      </c>
      <c r="Y190" s="3"/>
      <c r="Z190" s="18"/>
      <c r="AA190" s="18"/>
      <c r="AB190" s="3">
        <f>IF(B190=1,'Input sheet(dashboard)'!$D$18*Calculations!X190,IF(Calculations!B190=12*'Input sheet(dashboard)'!$D$27,'Input sheet(dashboard)'!$D$18*-Calculations!X190,0))</f>
        <v>0</v>
      </c>
      <c r="AC190" s="3">
        <f>IF(B190&lt;='Input sheet(dashboard)'!$D$27*12,IF(MOD(B189,'Input sheet(dashboard)'!$D$19*12),0,'Input sheet(dashboard)'!$D$20*(1+'Input sheet(dashboard)'!$E$22)^Calculations!B190),0)</f>
        <v>0</v>
      </c>
      <c r="AD190" s="17">
        <f t="shared" si="21"/>
        <v>55184.57881137239</v>
      </c>
      <c r="AE190" s="17">
        <f>IF(B190&lt;='Input sheet(dashboard)'!$D$27*12,IF(D190=12,SUM(AD179:AD190),0),0)</f>
        <v>0</v>
      </c>
      <c r="AF190" s="17">
        <f t="shared" si="22"/>
        <v>10698.879623981244</v>
      </c>
      <c r="AG190" s="17">
        <f t="shared" si="23"/>
        <v>10698.879623981244</v>
      </c>
      <c r="AH190" s="3">
        <f>IF(B190&lt;='Input sheet(dashboard)'!$D$27*12,AH189*(1+'Input sheet(dashboard)'!$E$25)+AG190," ")</f>
        <v>10982780.41917395</v>
      </c>
    </row>
    <row r="191" spans="2:34">
      <c r="B191">
        <f t="shared" si="18"/>
        <v>188</v>
      </c>
      <c r="C191">
        <f t="shared" si="25"/>
        <v>16</v>
      </c>
      <c r="D191">
        <f t="shared" si="26"/>
        <v>8</v>
      </c>
      <c r="E191" s="15">
        <f>IF(C191&lt;='Input sheet(dashboard)'!$D$6, -PMT('Input sheet(dashboard)'!$E$5,'Input sheet(dashboard)'!$D$6*12,'Input sheet(dashboard)'!$D$3*'Input sheet(dashboard)'!$D$4),0)</f>
        <v>39834.137922259193</v>
      </c>
      <c r="F191" s="3">
        <f>I190*'Input sheet(dashboard)'!$E$5</f>
        <v>18598.794961919702</v>
      </c>
      <c r="G191" s="3">
        <f>IF(C191&lt;='Input sheet(dashboard)'!$D$6,E191*'Input sheet(dashboard)'!$D$7,0)</f>
        <v>3186.7310337807357</v>
      </c>
      <c r="H191" s="3">
        <f t="shared" si="19"/>
        <v>21235.342960339491</v>
      </c>
      <c r="I191" s="3">
        <f t="shared" si="20"/>
        <v>5084412.229710063</v>
      </c>
      <c r="J191" s="3">
        <f>IF(B191&lt;='Input sheet(dashboard)'!$D$27*12,'Input sheet(dashboard)'!$D$3*(1+'Input sheet(dashboard)'!$E$24)^B191,0)</f>
        <v>19046594.021617096</v>
      </c>
      <c r="K191" s="3">
        <f>IF(B191&lt;='Input sheet(dashboard)'!$D$27*12,J191*'Input sheet(dashboard)'!$E$8,0)</f>
        <v>19727.433851467471</v>
      </c>
      <c r="L191" s="3">
        <f>IF(B191&lt;='Input sheet(dashboard)'!$D$27*12,'Input sheet(dashboard)'!$D$9*(1+'Input sheet(dashboard)'!$E$22)^B191,0)</f>
        <v>4417.0109834856858</v>
      </c>
      <c r="M191" s="3">
        <f>IF(B191=1,'Input sheet(dashboard)'!$D$3*'Input sheet(dashboard)'!$D$10,0)</f>
        <v>0</v>
      </c>
      <c r="N191" s="3">
        <f>IF(B191='Input sheet(dashboard)'!$D$27*12,J191*'Input sheet(dashboard)'!$D$11,0)</f>
        <v>0</v>
      </c>
      <c r="O191" s="3">
        <f>IF(SUM(F191:F202)&gt;=150000,150000/12*'Input sheet(dashboard)'!$D$28,SUM(F191:F202)/12*'Input sheet(dashboard)'!$D$28)</f>
        <v>1875</v>
      </c>
      <c r="P191" s="3">
        <f t="shared" si="24"/>
        <v>0</v>
      </c>
      <c r="Q191" s="3">
        <f>IF(B191&lt;='Input sheet(dashboard)'!$D$27*12,'Input sheet(dashboard)'!$D$12/12,0)</f>
        <v>192.5</v>
      </c>
      <c r="R191" s="3">
        <f>IF(B191&lt;='Input sheet(dashboard)'!$D$27*12,('Input sheet(dashboard)'!$D$15/12)*(1+'Input sheet(dashboard)'!$E$22)^Calculations!B191,0)</f>
        <v>490.77899816507619</v>
      </c>
      <c r="S191" s="3">
        <f>IF(B191&lt;='Input sheet(dashboard)'!$D$27*12,(E191+G191+K191+L191-O191+M191+Q191+R191),0)</f>
        <v>65973.592789158152</v>
      </c>
      <c r="T191" s="3">
        <f>IF(B191&lt;='Input sheet(dashboard)'!$D$27*12,IF(D191=12,SUM(S180:S191),0),0)</f>
        <v>0</v>
      </c>
      <c r="U191" s="3">
        <f>IF(B191&lt;='Input sheet(dashboard)'!$D$27*12,IF(S191&lt;AD191,AD191-S191,0),0)</f>
        <v>0</v>
      </c>
      <c r="V191" s="3">
        <f>IF(B191&lt;='Input sheet(dashboard)'!$D$27*12,V190*(1+'Input sheet(dashboard)'!$E$25)+U191,0)</f>
        <v>0</v>
      </c>
      <c r="W191" s="17">
        <f>IF(B191&lt;='Input sheet(dashboard)'!$D$27*12,J191-I191+V191-N191,0)</f>
        <v>13962181.791907033</v>
      </c>
      <c r="X191" s="3">
        <f>IF(B191&lt;='Input sheet(dashboard)'!$D$27*12,'Input sheet(dashboard)'!$D$17*(1+'Input sheet(dashboard)'!$E$23)^(B191-1),0)</f>
        <v>55409.407616398428</v>
      </c>
      <c r="Y191" s="3"/>
      <c r="Z191" s="18"/>
      <c r="AA191" s="18"/>
      <c r="AB191" s="3">
        <f>IF(B191=1,'Input sheet(dashboard)'!$D$18*Calculations!X191,IF(Calculations!B191=12*'Input sheet(dashboard)'!$D$27,'Input sheet(dashboard)'!$D$18*-Calculations!X191,0))</f>
        <v>0</v>
      </c>
      <c r="AC191" s="3">
        <f>IF(B191&lt;='Input sheet(dashboard)'!$D$27*12,IF(MOD(B190,'Input sheet(dashboard)'!$D$19*12),0,'Input sheet(dashboard)'!$D$20*(1+'Input sheet(dashboard)'!$E$22)^Calculations!B191),0)</f>
        <v>0</v>
      </c>
      <c r="AD191" s="17">
        <f t="shared" si="21"/>
        <v>55409.407616398428</v>
      </c>
      <c r="AE191" s="17">
        <f>IF(B191&lt;='Input sheet(dashboard)'!$D$27*12,IF(D191=12,SUM(AD180:AD191),0),0)</f>
        <v>0</v>
      </c>
      <c r="AF191" s="17">
        <f t="shared" si="22"/>
        <v>10564.185172759724</v>
      </c>
      <c r="AG191" s="17">
        <f t="shared" si="23"/>
        <v>10564.185172759724</v>
      </c>
      <c r="AH191" s="3">
        <f>IF(B191&lt;='Input sheet(dashboard)'!$D$27*12,AH190*(1+'Input sheet(dashboard)'!$E$25)+AG191," ")</f>
        <v>11064008.14425523</v>
      </c>
    </row>
    <row r="192" spans="2:34">
      <c r="B192">
        <f t="shared" si="18"/>
        <v>189</v>
      </c>
      <c r="C192">
        <f t="shared" si="25"/>
        <v>16</v>
      </c>
      <c r="D192">
        <f t="shared" si="26"/>
        <v>9</v>
      </c>
      <c r="E192" s="15">
        <f>IF(C192&lt;='Input sheet(dashboard)'!$D$6, -PMT('Input sheet(dashboard)'!$E$5,'Input sheet(dashboard)'!$D$6*12,'Input sheet(dashboard)'!$D$3*'Input sheet(dashboard)'!$D$4),0)</f>
        <v>39834.137922259193</v>
      </c>
      <c r="F192" s="3">
        <f>I191*'Input sheet(dashboard)'!$E$5</f>
        <v>18521.439095882357</v>
      </c>
      <c r="G192" s="3">
        <f>IF(C192&lt;='Input sheet(dashboard)'!$D$6,E192*'Input sheet(dashboard)'!$D$7,0)</f>
        <v>3186.7310337807357</v>
      </c>
      <c r="H192" s="3">
        <f t="shared" si="19"/>
        <v>21312.698826376836</v>
      </c>
      <c r="I192" s="3">
        <f t="shared" si="20"/>
        <v>5063099.5308836857</v>
      </c>
      <c r="J192" s="3">
        <f>IF(B192&lt;='Input sheet(dashboard)'!$D$27*12,'Input sheet(dashboard)'!$D$3*(1+'Input sheet(dashboard)'!$E$24)^B192,0)</f>
        <v>19124192.203318063</v>
      </c>
      <c r="K192" s="3">
        <f>IF(B192&lt;='Input sheet(dashboard)'!$D$27*12,J192*'Input sheet(dashboard)'!$E$8,0)</f>
        <v>19807.805858912088</v>
      </c>
      <c r="L192" s="3">
        <f>IF(B192&lt;='Input sheet(dashboard)'!$D$27*12,'Input sheet(dashboard)'!$D$9*(1+'Input sheet(dashboard)'!$E$22)^B192,0)</f>
        <v>4426.1093029137628</v>
      </c>
      <c r="M192" s="3">
        <f>IF(B192=1,'Input sheet(dashboard)'!$D$3*'Input sheet(dashboard)'!$D$10,0)</f>
        <v>0</v>
      </c>
      <c r="N192" s="3">
        <f>IF(B192='Input sheet(dashboard)'!$D$27*12,J192*'Input sheet(dashboard)'!$D$11,0)</f>
        <v>0</v>
      </c>
      <c r="O192" s="3">
        <f>IF(SUM(F192:F203)&gt;=150000,150000/12*'Input sheet(dashboard)'!$D$28,SUM(F192:F203)/12*'Input sheet(dashboard)'!$D$28)</f>
        <v>1875</v>
      </c>
      <c r="P192" s="3">
        <f t="shared" si="24"/>
        <v>0</v>
      </c>
      <c r="Q192" s="3">
        <f>IF(B192&lt;='Input sheet(dashboard)'!$D$27*12,'Input sheet(dashboard)'!$D$12/12,0)</f>
        <v>192.5</v>
      </c>
      <c r="R192" s="3">
        <f>IF(B192&lt;='Input sheet(dashboard)'!$D$27*12,('Input sheet(dashboard)'!$D$15/12)*(1+'Input sheet(dashboard)'!$E$22)^Calculations!B192,0)</f>
        <v>491.78992254597364</v>
      </c>
      <c r="S192" s="3">
        <f>IF(B192&lt;='Input sheet(dashboard)'!$D$27*12,(E192+G192+K192+L192-O192+M192+Q192+R192),0)</f>
        <v>66064.074040411753</v>
      </c>
      <c r="T192" s="3">
        <f>IF(B192&lt;='Input sheet(dashboard)'!$D$27*12,IF(D192=12,SUM(S181:S192),0),0)</f>
        <v>0</v>
      </c>
      <c r="U192" s="3">
        <f>IF(B192&lt;='Input sheet(dashboard)'!$D$27*12,IF(S192&lt;AD192,AD192-S192,0),0)</f>
        <v>0</v>
      </c>
      <c r="V192" s="3">
        <f>IF(B192&lt;='Input sheet(dashboard)'!$D$27*12,V191*(1+'Input sheet(dashboard)'!$E$25)+U192,0)</f>
        <v>0</v>
      </c>
      <c r="W192" s="17">
        <f>IF(B192&lt;='Input sheet(dashboard)'!$D$27*12,J192-I192+V192-N192,0)</f>
        <v>14061092.672434378</v>
      </c>
      <c r="X192" s="3">
        <f>IF(B192&lt;='Input sheet(dashboard)'!$D$27*12,'Input sheet(dashboard)'!$D$17*(1+'Input sheet(dashboard)'!$E$23)^(B192-1),0)</f>
        <v>55635.152401806256</v>
      </c>
      <c r="Y192" s="3"/>
      <c r="Z192" s="18"/>
      <c r="AA192" s="18"/>
      <c r="AB192" s="3">
        <f>IF(B192=1,'Input sheet(dashboard)'!$D$18*Calculations!X192,IF(Calculations!B192=12*'Input sheet(dashboard)'!$D$27,'Input sheet(dashboard)'!$D$18*-Calculations!X192,0))</f>
        <v>0</v>
      </c>
      <c r="AC192" s="3">
        <f>IF(B192&lt;='Input sheet(dashboard)'!$D$27*12,IF(MOD(B191,'Input sheet(dashboard)'!$D$19*12),0,'Input sheet(dashboard)'!$D$20*(1+'Input sheet(dashboard)'!$E$22)^Calculations!B192),0)</f>
        <v>0</v>
      </c>
      <c r="AD192" s="17">
        <f t="shared" si="21"/>
        <v>55635.152401806256</v>
      </c>
      <c r="AE192" s="17">
        <f>IF(B192&lt;='Input sheet(dashboard)'!$D$27*12,IF(D192=12,SUM(AD181:AD192),0),0)</f>
        <v>0</v>
      </c>
      <c r="AF192" s="17">
        <f t="shared" si="22"/>
        <v>10428.921638605498</v>
      </c>
      <c r="AG192" s="17">
        <f t="shared" si="23"/>
        <v>10428.921638605498</v>
      </c>
      <c r="AH192" s="3">
        <f>IF(B192&lt;='Input sheet(dashboard)'!$D$27*12,AH191*(1+'Input sheet(dashboard)'!$E$25)+AG192," ")</f>
        <v>11145623.227431297</v>
      </c>
    </row>
    <row r="193" spans="2:34">
      <c r="B193">
        <f t="shared" si="18"/>
        <v>190</v>
      </c>
      <c r="C193">
        <f t="shared" si="25"/>
        <v>16</v>
      </c>
      <c r="D193">
        <f t="shared" si="26"/>
        <v>10</v>
      </c>
      <c r="E193" s="15">
        <f>IF(C193&lt;='Input sheet(dashboard)'!$D$6, -PMT('Input sheet(dashboard)'!$E$5,'Input sheet(dashboard)'!$D$6*12,'Input sheet(dashboard)'!$D$3*'Input sheet(dashboard)'!$D$4),0)</f>
        <v>39834.137922259193</v>
      </c>
      <c r="F193" s="3">
        <f>I192*'Input sheet(dashboard)'!$E$5</f>
        <v>18443.801438775208</v>
      </c>
      <c r="G193" s="3">
        <f>IF(C193&lt;='Input sheet(dashboard)'!$D$6,E193*'Input sheet(dashboard)'!$D$7,0)</f>
        <v>3186.7310337807357</v>
      </c>
      <c r="H193" s="3">
        <f t="shared" si="19"/>
        <v>21390.336483483985</v>
      </c>
      <c r="I193" s="3">
        <f t="shared" si="20"/>
        <v>5041709.1944002016</v>
      </c>
      <c r="J193" s="3">
        <f>IF(B193&lt;='Input sheet(dashboard)'!$D$27*12,'Input sheet(dashboard)'!$D$3*(1+'Input sheet(dashboard)'!$E$24)^B193,0)</f>
        <v>19202106.529616665</v>
      </c>
      <c r="K193" s="3">
        <f>IF(B193&lt;='Input sheet(dashboard)'!$D$27*12,J193*'Input sheet(dashboard)'!$E$8,0)</f>
        <v>19888.505311863773</v>
      </c>
      <c r="L193" s="3">
        <f>IF(B193&lt;='Input sheet(dashboard)'!$D$27*12,'Input sheet(dashboard)'!$D$9*(1+'Input sheet(dashboard)'!$E$22)^B193,0)</f>
        <v>4435.226363390193</v>
      </c>
      <c r="M193" s="3">
        <f>IF(B193=1,'Input sheet(dashboard)'!$D$3*'Input sheet(dashboard)'!$D$10,0)</f>
        <v>0</v>
      </c>
      <c r="N193" s="3">
        <f>IF(B193='Input sheet(dashboard)'!$D$27*12,J193*'Input sheet(dashboard)'!$D$11,0)</f>
        <v>0</v>
      </c>
      <c r="O193" s="3">
        <f>IF(SUM(F193:F204)&gt;=150000,150000/12*'Input sheet(dashboard)'!$D$28,SUM(F193:F204)/12*'Input sheet(dashboard)'!$D$28)</f>
        <v>1875</v>
      </c>
      <c r="P193" s="3">
        <f t="shared" si="24"/>
        <v>0</v>
      </c>
      <c r="Q193" s="3">
        <f>IF(B193&lt;='Input sheet(dashboard)'!$D$27*12,'Input sheet(dashboard)'!$D$12/12,0)</f>
        <v>192.5</v>
      </c>
      <c r="R193" s="3">
        <f>IF(B193&lt;='Input sheet(dashboard)'!$D$27*12,('Input sheet(dashboard)'!$D$15/12)*(1+'Input sheet(dashboard)'!$E$22)^Calculations!B193,0)</f>
        <v>492.80292926557695</v>
      </c>
      <c r="S193" s="3">
        <f>IF(B193&lt;='Input sheet(dashboard)'!$D$27*12,(E193+G193+K193+L193-O193+M193+Q193+R193),0)</f>
        <v>66154.903560559469</v>
      </c>
      <c r="T193" s="3">
        <f>IF(B193&lt;='Input sheet(dashboard)'!$D$27*12,IF(D193=12,SUM(S182:S193),0),0)</f>
        <v>0</v>
      </c>
      <c r="U193" s="3">
        <f>IF(B193&lt;='Input sheet(dashboard)'!$D$27*12,IF(S193&lt;AD193,AD193-S193,0),0)</f>
        <v>0</v>
      </c>
      <c r="V193" s="3">
        <f>IF(B193&lt;='Input sheet(dashboard)'!$D$27*12,V192*(1+'Input sheet(dashboard)'!$E$25)+U193,0)</f>
        <v>0</v>
      </c>
      <c r="W193" s="17">
        <f>IF(B193&lt;='Input sheet(dashboard)'!$D$27*12,J193-I193+V193-N193,0)</f>
        <v>14160397.335216463</v>
      </c>
      <c r="X193" s="3">
        <f>IF(B193&lt;='Input sheet(dashboard)'!$D$27*12,'Input sheet(dashboard)'!$D$17*(1+'Input sheet(dashboard)'!$E$23)^(B193-1),0)</f>
        <v>55861.816899413367</v>
      </c>
      <c r="Y193" s="3"/>
      <c r="Z193" s="18"/>
      <c r="AA193" s="18"/>
      <c r="AB193" s="3">
        <f>IF(B193=1,'Input sheet(dashboard)'!$D$18*Calculations!X193,IF(Calculations!B193=12*'Input sheet(dashboard)'!$D$27,'Input sheet(dashboard)'!$D$18*-Calculations!X193,0))</f>
        <v>0</v>
      </c>
      <c r="AC193" s="3">
        <f>IF(B193&lt;='Input sheet(dashboard)'!$D$27*12,IF(MOD(B192,'Input sheet(dashboard)'!$D$19*12),0,'Input sheet(dashboard)'!$D$20*(1+'Input sheet(dashboard)'!$E$22)^Calculations!B193),0)</f>
        <v>0</v>
      </c>
      <c r="AD193" s="17">
        <f t="shared" si="21"/>
        <v>55861.816899413367</v>
      </c>
      <c r="AE193" s="17">
        <f>IF(B193&lt;='Input sheet(dashboard)'!$D$27*12,IF(D193=12,SUM(AD182:AD193),0),0)</f>
        <v>0</v>
      </c>
      <c r="AF193" s="17">
        <f t="shared" si="22"/>
        <v>10293.086661146102</v>
      </c>
      <c r="AG193" s="17">
        <f t="shared" si="23"/>
        <v>10293.086661146102</v>
      </c>
      <c r="AH193" s="3">
        <f>IF(B193&lt;='Input sheet(dashboard)'!$D$27*12,AH192*(1+'Input sheet(dashboard)'!$E$25)+AG193," ")</f>
        <v>11227627.589532491</v>
      </c>
    </row>
    <row r="194" spans="2:34">
      <c r="B194">
        <f t="shared" si="18"/>
        <v>191</v>
      </c>
      <c r="C194">
        <f t="shared" si="25"/>
        <v>16</v>
      </c>
      <c r="D194">
        <f t="shared" si="26"/>
        <v>11</v>
      </c>
      <c r="E194" s="15">
        <f>IF(C194&lt;='Input sheet(dashboard)'!$D$6, -PMT('Input sheet(dashboard)'!$E$5,'Input sheet(dashboard)'!$D$6*12,'Input sheet(dashboard)'!$D$3*'Input sheet(dashboard)'!$D$4),0)</f>
        <v>39834.137922259193</v>
      </c>
      <c r="F194" s="3">
        <f>I193*'Input sheet(dashboard)'!$E$5</f>
        <v>18365.88096409295</v>
      </c>
      <c r="G194" s="3">
        <f>IF(C194&lt;='Input sheet(dashboard)'!$D$6,E194*'Input sheet(dashboard)'!$D$7,0)</f>
        <v>3186.7310337807357</v>
      </c>
      <c r="H194" s="3">
        <f t="shared" si="19"/>
        <v>21468.256958166243</v>
      </c>
      <c r="I194" s="3">
        <f t="shared" si="20"/>
        <v>5020240.9374420354</v>
      </c>
      <c r="J194" s="3">
        <f>IF(B194&lt;='Input sheet(dashboard)'!$D$27*12,'Input sheet(dashboard)'!$D$3*(1+'Input sheet(dashboard)'!$E$24)^B194,0)</f>
        <v>19280338.288525123</v>
      </c>
      <c r="K194" s="3">
        <f>IF(B194&lt;='Input sheet(dashboard)'!$D$27*12,J194*'Input sheet(dashboard)'!$E$8,0)</f>
        <v>19969.533544376052</v>
      </c>
      <c r="L194" s="3">
        <f>IF(B194&lt;='Input sheet(dashboard)'!$D$27*12,'Input sheet(dashboard)'!$D$9*(1+'Input sheet(dashboard)'!$E$22)^B194,0)</f>
        <v>4444.3622035184671</v>
      </c>
      <c r="M194" s="3">
        <f>IF(B194=1,'Input sheet(dashboard)'!$D$3*'Input sheet(dashboard)'!$D$10,0)</f>
        <v>0</v>
      </c>
      <c r="N194" s="3">
        <f>IF(B194='Input sheet(dashboard)'!$D$27*12,J194*'Input sheet(dashboard)'!$D$11,0)</f>
        <v>0</v>
      </c>
      <c r="O194" s="3">
        <f>IF(SUM(F194:F205)&gt;=150000,150000/12*'Input sheet(dashboard)'!$D$28,SUM(F194:F205)/12*'Input sheet(dashboard)'!$D$28)</f>
        <v>1875</v>
      </c>
      <c r="P194" s="3">
        <f t="shared" si="24"/>
        <v>0</v>
      </c>
      <c r="Q194" s="3">
        <f>IF(B194&lt;='Input sheet(dashboard)'!$D$27*12,'Input sheet(dashboard)'!$D$12/12,0)</f>
        <v>192.5</v>
      </c>
      <c r="R194" s="3">
        <f>IF(B194&lt;='Input sheet(dashboard)'!$D$27*12,('Input sheet(dashboard)'!$D$15/12)*(1+'Input sheet(dashboard)'!$E$22)^Calculations!B194,0)</f>
        <v>493.81802261316301</v>
      </c>
      <c r="S194" s="3">
        <f>IF(B194&lt;='Input sheet(dashboard)'!$D$27*12,(E194+G194+K194+L194-O194+M194+Q194+R194),0)</f>
        <v>66246.082726547611</v>
      </c>
      <c r="T194" s="3">
        <f>IF(B194&lt;='Input sheet(dashboard)'!$D$27*12,IF(D194=12,SUM(S183:S194),0),0)</f>
        <v>0</v>
      </c>
      <c r="U194" s="3">
        <f>IF(B194&lt;='Input sheet(dashboard)'!$D$27*12,IF(S194&lt;AD194,AD194-S194,0),0)</f>
        <v>0</v>
      </c>
      <c r="V194" s="3">
        <f>IF(B194&lt;='Input sheet(dashboard)'!$D$27*12,V193*(1+'Input sheet(dashboard)'!$E$25)+U194,0)</f>
        <v>0</v>
      </c>
      <c r="W194" s="17">
        <f>IF(B194&lt;='Input sheet(dashboard)'!$D$27*12,J194-I194+V194-N194,0)</f>
        <v>14260097.351083089</v>
      </c>
      <c r="X194" s="3">
        <f>IF(B194&lt;='Input sheet(dashboard)'!$D$27*12,'Input sheet(dashboard)'!$D$17*(1+'Input sheet(dashboard)'!$E$23)^(B194-1),0)</f>
        <v>56089.404856241083</v>
      </c>
      <c r="Y194" s="3"/>
      <c r="Z194" s="18"/>
      <c r="AA194" s="18"/>
      <c r="AB194" s="3">
        <f>IF(B194=1,'Input sheet(dashboard)'!$D$18*Calculations!X194,IF(Calculations!B194=12*'Input sheet(dashboard)'!$D$27,'Input sheet(dashboard)'!$D$18*-Calculations!X194,0))</f>
        <v>0</v>
      </c>
      <c r="AC194" s="3">
        <f>IF(B194&lt;='Input sheet(dashboard)'!$D$27*12,IF(MOD(B193,'Input sheet(dashboard)'!$D$19*12),0,'Input sheet(dashboard)'!$D$20*(1+'Input sheet(dashboard)'!$E$22)^Calculations!B194),0)</f>
        <v>0</v>
      </c>
      <c r="AD194" s="17">
        <f t="shared" si="21"/>
        <v>56089.404856241083</v>
      </c>
      <c r="AE194" s="17">
        <f>IF(B194&lt;='Input sheet(dashboard)'!$D$27*12,IF(D194=12,SUM(AD183:AD194),0),0)</f>
        <v>0</v>
      </c>
      <c r="AF194" s="17">
        <f t="shared" si="22"/>
        <v>10156.677870306528</v>
      </c>
      <c r="AG194" s="17">
        <f t="shared" si="23"/>
        <v>10156.677870306528</v>
      </c>
      <c r="AH194" s="3">
        <f>IF(B194&lt;='Input sheet(dashboard)'!$D$27*12,AH193*(1+'Input sheet(dashboard)'!$E$25)+AG194," ")</f>
        <v>11310023.161377756</v>
      </c>
    </row>
    <row r="195" spans="2:34">
      <c r="B195">
        <f t="shared" si="18"/>
        <v>192</v>
      </c>
      <c r="C195">
        <f t="shared" si="25"/>
        <v>16</v>
      </c>
      <c r="D195">
        <f t="shared" si="26"/>
        <v>12</v>
      </c>
      <c r="E195" s="15">
        <f>IF(C195&lt;='Input sheet(dashboard)'!$D$6, -PMT('Input sheet(dashboard)'!$E$5,'Input sheet(dashboard)'!$D$6*12,'Input sheet(dashboard)'!$D$3*'Input sheet(dashboard)'!$D$4),0)</f>
        <v>39834.137922259193</v>
      </c>
      <c r="F195" s="3">
        <f>I194*'Input sheet(dashboard)'!$E$5</f>
        <v>18287.676641590937</v>
      </c>
      <c r="G195" s="3">
        <f>IF(C195&lt;='Input sheet(dashboard)'!$D$6,E195*'Input sheet(dashboard)'!$D$7,0)</f>
        <v>3186.7310337807357</v>
      </c>
      <c r="H195" s="3">
        <f t="shared" si="19"/>
        <v>21546.461280668256</v>
      </c>
      <c r="I195" s="3">
        <f t="shared" si="20"/>
        <v>4998694.4761613673</v>
      </c>
      <c r="J195" s="3">
        <f>IF(B195&lt;='Input sheet(dashboard)'!$D$27*12,'Input sheet(dashboard)'!$D$3*(1+'Input sheet(dashboard)'!$E$24)^B195,0)</f>
        <v>19358888.773303192</v>
      </c>
      <c r="K195" s="3">
        <f>IF(B195&lt;='Input sheet(dashboard)'!$D$27*12,J195*'Input sheet(dashboard)'!$E$8,0)</f>
        <v>20050.891895937559</v>
      </c>
      <c r="L195" s="3">
        <f>IF(B195&lt;='Input sheet(dashboard)'!$D$27*12,'Input sheet(dashboard)'!$D$9*(1+'Input sheet(dashboard)'!$E$22)^B195,0)</f>
        <v>4453.5168619815931</v>
      </c>
      <c r="M195" s="3">
        <f>IF(B195=1,'Input sheet(dashboard)'!$D$3*'Input sheet(dashboard)'!$D$10,0)</f>
        <v>0</v>
      </c>
      <c r="N195" s="3">
        <f>IF(B195='Input sheet(dashboard)'!$D$27*12,J195*'Input sheet(dashboard)'!$D$11,0)</f>
        <v>0</v>
      </c>
      <c r="O195" s="3">
        <f>IF(SUM(F195:F206)&gt;=150000,150000/12*'Input sheet(dashboard)'!$D$28,SUM(F195:F206)/12*'Input sheet(dashboard)'!$D$28)</f>
        <v>1875</v>
      </c>
      <c r="P195" s="3">
        <f t="shared" si="24"/>
        <v>22500</v>
      </c>
      <c r="Q195" s="3">
        <f>IF(B195&lt;='Input sheet(dashboard)'!$D$27*12,'Input sheet(dashboard)'!$D$12/12,0)</f>
        <v>192.5</v>
      </c>
      <c r="R195" s="3">
        <f>IF(B195&lt;='Input sheet(dashboard)'!$D$27*12,('Input sheet(dashboard)'!$D$15/12)*(1+'Input sheet(dashboard)'!$E$22)^Calculations!B195,0)</f>
        <v>494.83520688684359</v>
      </c>
      <c r="S195" s="3">
        <f>IF(B195&lt;='Input sheet(dashboard)'!$D$27*12,(E195+G195+K195+L195-O195+M195+Q195+R195),0)</f>
        <v>66337.612920845917</v>
      </c>
      <c r="T195" s="3">
        <f>IF(B195&lt;='Input sheet(dashboard)'!$D$27*12,IF(D195=12,SUM(S184:S195),0),0)</f>
        <v>790086.90848627454</v>
      </c>
      <c r="U195" s="3">
        <f>IF(B195&lt;='Input sheet(dashboard)'!$D$27*12,IF(S195&lt;AD195,AD195-S195,0),0)</f>
        <v>0</v>
      </c>
      <c r="V195" s="3">
        <f>IF(B195&lt;='Input sheet(dashboard)'!$D$27*12,V194*(1+'Input sheet(dashboard)'!$E$25)+U195,0)</f>
        <v>0</v>
      </c>
      <c r="W195" s="17">
        <f>IF(B195&lt;='Input sheet(dashboard)'!$D$27*12,J195-I195+V195-N195,0)</f>
        <v>14360194.297141824</v>
      </c>
      <c r="X195" s="3">
        <f>IF(B195&lt;='Input sheet(dashboard)'!$D$27*12,'Input sheet(dashboard)'!$D$17*(1+'Input sheet(dashboard)'!$E$23)^(B195-1),0)</f>
        <v>56317.920034576571</v>
      </c>
      <c r="Y195" s="3"/>
      <c r="Z195" s="18"/>
      <c r="AA195" s="18"/>
      <c r="AB195" s="3">
        <f>IF(B195=1,'Input sheet(dashboard)'!$D$18*Calculations!X195,IF(Calculations!B195=12*'Input sheet(dashboard)'!$D$27,'Input sheet(dashboard)'!$D$18*-Calculations!X195,0))</f>
        <v>0</v>
      </c>
      <c r="AC195" s="3">
        <f>IF(B195&lt;='Input sheet(dashboard)'!$D$27*12,IF(MOD(B194,'Input sheet(dashboard)'!$D$19*12),0,'Input sheet(dashboard)'!$D$20*(1+'Input sheet(dashboard)'!$E$22)^Calculations!B195),0)</f>
        <v>0</v>
      </c>
      <c r="AD195" s="17">
        <f t="shared" si="21"/>
        <v>56317.920034576571</v>
      </c>
      <c r="AE195" s="17">
        <f>IF(B195&lt;='Input sheet(dashboard)'!$D$27*12,IF(D195=12,SUM(AD184:AD195),0),0)</f>
        <v>660935.17707783764</v>
      </c>
      <c r="AF195" s="17">
        <f t="shared" si="22"/>
        <v>10019.692886269346</v>
      </c>
      <c r="AG195" s="17">
        <f t="shared" si="23"/>
        <v>10019.692886269346</v>
      </c>
      <c r="AH195" s="3">
        <f>IF(B195&lt;='Input sheet(dashboard)'!$D$27*12,AH194*(1+'Input sheet(dashboard)'!$E$25)+AG195," ")</f>
        <v>11392811.883829165</v>
      </c>
    </row>
    <row r="196" spans="2:34">
      <c r="B196">
        <f t="shared" ref="B196:B259" si="27">B195+1</f>
        <v>193</v>
      </c>
      <c r="C196">
        <f t="shared" si="25"/>
        <v>17</v>
      </c>
      <c r="D196">
        <f t="shared" si="26"/>
        <v>1</v>
      </c>
      <c r="E196" s="15">
        <f>IF(C196&lt;='Input sheet(dashboard)'!$D$6, -PMT('Input sheet(dashboard)'!$E$5,'Input sheet(dashboard)'!$D$6*12,'Input sheet(dashboard)'!$D$3*'Input sheet(dashboard)'!$D$4),0)</f>
        <v>39834.137922259193</v>
      </c>
      <c r="F196" s="3">
        <f>I195*'Input sheet(dashboard)'!$E$5</f>
        <v>18209.187437271554</v>
      </c>
      <c r="G196" s="3">
        <f>IF(C196&lt;='Input sheet(dashboard)'!$D$6,E196*'Input sheet(dashboard)'!$D$7,0)</f>
        <v>3186.7310337807357</v>
      </c>
      <c r="H196" s="3">
        <f t="shared" ref="H196:H259" si="28">E196-F196</f>
        <v>21624.950484987639</v>
      </c>
      <c r="I196" s="3">
        <f t="shared" ref="I196:I259" si="29">I195-H196</f>
        <v>4977069.5256763799</v>
      </c>
      <c r="J196" s="3">
        <f>IF(B196&lt;='Input sheet(dashboard)'!$D$27*12,'Input sheet(dashboard)'!$D$3*(1+'Input sheet(dashboard)'!$E$24)^B196,0)</f>
        <v>19437759.28247951</v>
      </c>
      <c r="K196" s="3">
        <f>IF(B196&lt;='Input sheet(dashboard)'!$D$27*12,J196*'Input sheet(dashboard)'!$E$8,0)</f>
        <v>20132.58171149416</v>
      </c>
      <c r="L196" s="3">
        <f>IF(B196&lt;='Input sheet(dashboard)'!$D$27*12,'Input sheet(dashboard)'!$D$9*(1+'Input sheet(dashboard)'!$E$22)^B196,0)</f>
        <v>4462.6903775422579</v>
      </c>
      <c r="M196" s="3">
        <f>IF(B196=1,'Input sheet(dashboard)'!$D$3*'Input sheet(dashboard)'!$D$10,0)</f>
        <v>0</v>
      </c>
      <c r="N196" s="3">
        <f>IF(B196='Input sheet(dashboard)'!$D$27*12,J196*'Input sheet(dashboard)'!$D$11,0)</f>
        <v>0</v>
      </c>
      <c r="O196" s="3">
        <f>IF(SUM(F196:F207)&gt;=150000,150000/12*'Input sheet(dashboard)'!$D$28,SUM(F196:F207)/12*'Input sheet(dashboard)'!$D$28)</f>
        <v>1875</v>
      </c>
      <c r="P196" s="3">
        <f t="shared" si="24"/>
        <v>0</v>
      </c>
      <c r="Q196" s="3">
        <f>IF(B196&lt;='Input sheet(dashboard)'!$D$27*12,'Input sheet(dashboard)'!$D$12/12,0)</f>
        <v>192.5</v>
      </c>
      <c r="R196" s="3">
        <f>IF(B196&lt;='Input sheet(dashboard)'!$D$27*12,('Input sheet(dashboard)'!$D$15/12)*(1+'Input sheet(dashboard)'!$E$22)^Calculations!B196,0)</f>
        <v>495.85448639358424</v>
      </c>
      <c r="S196" s="3">
        <f>IF(B196&lt;='Input sheet(dashboard)'!$D$27*12,(E196+G196+K196+L196-O196+M196+Q196+R196),0)</f>
        <v>66429.495531469933</v>
      </c>
      <c r="T196" s="3">
        <f>IF(B196&lt;='Input sheet(dashboard)'!$D$27*12,IF(D196=12,SUM(S185:S196),0),0)</f>
        <v>0</v>
      </c>
      <c r="U196" s="3">
        <f>IF(B196&lt;='Input sheet(dashboard)'!$D$27*12,IF(S196&lt;AD196,AD196-S196,0),0)</f>
        <v>0</v>
      </c>
      <c r="V196" s="3">
        <f>IF(B196&lt;='Input sheet(dashboard)'!$D$27*12,V195*(1+'Input sheet(dashboard)'!$E$25)+U196,0)</f>
        <v>0</v>
      </c>
      <c r="W196" s="17">
        <f>IF(B196&lt;='Input sheet(dashboard)'!$D$27*12,J196-I196+V196-N196,0)</f>
        <v>14460689.756803129</v>
      </c>
      <c r="X196" s="3">
        <f>IF(B196&lt;='Input sheet(dashboard)'!$D$27*12,'Input sheet(dashboard)'!$D$17*(1+'Input sheet(dashboard)'!$E$23)^(B196-1),0)</f>
        <v>56547.366212035056</v>
      </c>
      <c r="Y196" s="3"/>
      <c r="Z196" s="18"/>
      <c r="AA196" s="18"/>
      <c r="AB196" s="3">
        <f>IF(B196=1,'Input sheet(dashboard)'!$D$18*Calculations!X196,IF(Calculations!B196=12*'Input sheet(dashboard)'!$D$27,'Input sheet(dashboard)'!$D$18*-Calculations!X196,0))</f>
        <v>0</v>
      </c>
      <c r="AC196" s="3">
        <f>IF(B196&lt;='Input sheet(dashboard)'!$D$27*12,IF(MOD(B195,'Input sheet(dashboard)'!$D$19*12),0,'Input sheet(dashboard)'!$D$20*(1+'Input sheet(dashboard)'!$E$22)^Calculations!B196),0)</f>
        <v>0</v>
      </c>
      <c r="AD196" s="17">
        <f t="shared" ref="AD196:AD259" si="30">X196+Y196+AB196+AC196</f>
        <v>56547.366212035056</v>
      </c>
      <c r="AE196" s="17">
        <f>IF(B196&lt;='Input sheet(dashboard)'!$D$27*12,IF(D196=12,SUM(AD185:AD196),0),0)</f>
        <v>0</v>
      </c>
      <c r="AF196" s="17">
        <f t="shared" ref="AF196:AF259" si="31">S196-AD196</f>
        <v>9882.1293194348764</v>
      </c>
      <c r="AG196" s="17">
        <f t="shared" ref="AG196:AG259" si="32">IF(AF196&gt;0,AF196,0)</f>
        <v>9882.1293194348764</v>
      </c>
      <c r="AH196" s="3">
        <f>IF(B196&lt;='Input sheet(dashboard)'!$D$27*12,AH195*(1+'Input sheet(dashboard)'!$E$25)+AG196," ")</f>
        <v>11475995.707846763</v>
      </c>
    </row>
    <row r="197" spans="2:34">
      <c r="B197">
        <f t="shared" si="27"/>
        <v>194</v>
      </c>
      <c r="C197">
        <f t="shared" si="25"/>
        <v>17</v>
      </c>
      <c r="D197">
        <f t="shared" si="26"/>
        <v>2</v>
      </c>
      <c r="E197" s="15">
        <f>IF(C197&lt;='Input sheet(dashboard)'!$D$6, -PMT('Input sheet(dashboard)'!$E$5,'Input sheet(dashboard)'!$D$6*12,'Input sheet(dashboard)'!$D$3*'Input sheet(dashboard)'!$D$4),0)</f>
        <v>39834.137922259193</v>
      </c>
      <c r="F197" s="3">
        <f>I196*'Input sheet(dashboard)'!$E$5</f>
        <v>18130.412313370554</v>
      </c>
      <c r="G197" s="3">
        <f>IF(C197&lt;='Input sheet(dashboard)'!$D$6,E197*'Input sheet(dashboard)'!$D$7,0)</f>
        <v>3186.7310337807357</v>
      </c>
      <c r="H197" s="3">
        <f t="shared" si="28"/>
        <v>21703.725608888639</v>
      </c>
      <c r="I197" s="3">
        <f t="shared" si="29"/>
        <v>4955365.8000674909</v>
      </c>
      <c r="J197" s="3">
        <f>IF(B197&lt;='Input sheet(dashboard)'!$D$27*12,'Input sheet(dashboard)'!$D$3*(1+'Input sheet(dashboard)'!$E$24)^B197,0)</f>
        <v>19516951.119873092</v>
      </c>
      <c r="K197" s="3">
        <f>IF(B197&lt;='Input sheet(dashboard)'!$D$27*12,J197*'Input sheet(dashboard)'!$E$8,0)</f>
        <v>20214.604341471204</v>
      </c>
      <c r="L197" s="3">
        <f>IF(B197&lt;='Input sheet(dashboard)'!$D$27*12,'Input sheet(dashboard)'!$D$9*(1+'Input sheet(dashboard)'!$E$22)^B197,0)</f>
        <v>4471.8827890429984</v>
      </c>
      <c r="M197" s="3">
        <f>IF(B197=1,'Input sheet(dashboard)'!$D$3*'Input sheet(dashboard)'!$D$10,0)</f>
        <v>0</v>
      </c>
      <c r="N197" s="3">
        <f>IF(B197='Input sheet(dashboard)'!$D$27*12,J197*'Input sheet(dashboard)'!$D$11,0)</f>
        <v>0</v>
      </c>
      <c r="O197" s="3">
        <f>IF(SUM(F197:F208)&gt;=150000,150000/12*'Input sheet(dashboard)'!$D$28,SUM(F197:F208)/12*'Input sheet(dashboard)'!$D$28)</f>
        <v>1875</v>
      </c>
      <c r="P197" s="3">
        <f t="shared" si="24"/>
        <v>0</v>
      </c>
      <c r="Q197" s="3">
        <f>IF(B197&lt;='Input sheet(dashboard)'!$D$27*12,'Input sheet(dashboard)'!$D$12/12,0)</f>
        <v>192.5</v>
      </c>
      <c r="R197" s="3">
        <f>IF(B197&lt;='Input sheet(dashboard)'!$D$27*12,('Input sheet(dashboard)'!$D$15/12)*(1+'Input sheet(dashboard)'!$E$22)^Calculations!B197,0)</f>
        <v>496.87586544922198</v>
      </c>
      <c r="S197" s="3">
        <f>IF(B197&lt;='Input sheet(dashboard)'!$D$27*12,(E197+G197+K197+L197-O197+M197+Q197+R197),0)</f>
        <v>66521.731952003363</v>
      </c>
      <c r="T197" s="3">
        <f>IF(B197&lt;='Input sheet(dashboard)'!$D$27*12,IF(D197=12,SUM(S186:S197),0),0)</f>
        <v>0</v>
      </c>
      <c r="U197" s="3">
        <f>IF(B197&lt;='Input sheet(dashboard)'!$D$27*12,IF(S197&lt;AD197,AD197-S197,0),0)</f>
        <v>0</v>
      </c>
      <c r="V197" s="3">
        <f>IF(B197&lt;='Input sheet(dashboard)'!$D$27*12,V196*(1+'Input sheet(dashboard)'!$E$25)+U197,0)</f>
        <v>0</v>
      </c>
      <c r="W197" s="17">
        <f>IF(B197&lt;='Input sheet(dashboard)'!$D$27*12,J197-I197+V197-N197,0)</f>
        <v>14561585.3198056</v>
      </c>
      <c r="X197" s="3">
        <f>IF(B197&lt;='Input sheet(dashboard)'!$D$27*12,'Input sheet(dashboard)'!$D$17*(1+'Input sheet(dashboard)'!$E$23)^(B197-1),0)</f>
        <v>56777.747181622181</v>
      </c>
      <c r="Y197" s="3"/>
      <c r="Z197" s="18"/>
      <c r="AA197" s="18"/>
      <c r="AB197" s="3">
        <f>IF(B197=1,'Input sheet(dashboard)'!$D$18*Calculations!X197,IF(Calculations!B197=12*'Input sheet(dashboard)'!$D$27,'Input sheet(dashboard)'!$D$18*-Calculations!X197,0))</f>
        <v>0</v>
      </c>
      <c r="AC197" s="3">
        <f>IF(B197&lt;='Input sheet(dashboard)'!$D$27*12,IF(MOD(B196,'Input sheet(dashboard)'!$D$19*12),0,'Input sheet(dashboard)'!$D$20*(1+'Input sheet(dashboard)'!$E$22)^Calculations!B197),0)</f>
        <v>0</v>
      </c>
      <c r="AD197" s="17">
        <f t="shared" si="30"/>
        <v>56777.747181622181</v>
      </c>
      <c r="AE197" s="17">
        <f>IF(B197&lt;='Input sheet(dashboard)'!$D$27*12,IF(D197=12,SUM(AD186:AD197),0),0)</f>
        <v>0</v>
      </c>
      <c r="AF197" s="17">
        <f t="shared" si="31"/>
        <v>9743.9847703811829</v>
      </c>
      <c r="AG197" s="17">
        <f t="shared" si="32"/>
        <v>9743.9847703811829</v>
      </c>
      <c r="AH197" s="3">
        <f>IF(B197&lt;='Input sheet(dashboard)'!$D$27*12,AH196*(1+'Input sheet(dashboard)'!$E$25)+AG197," ")</f>
        <v>11559576.594543701</v>
      </c>
    </row>
    <row r="198" spans="2:34">
      <c r="B198">
        <f t="shared" si="27"/>
        <v>195</v>
      </c>
      <c r="C198">
        <f t="shared" si="25"/>
        <v>17</v>
      </c>
      <c r="D198">
        <f t="shared" si="26"/>
        <v>3</v>
      </c>
      <c r="E198" s="15">
        <f>IF(C198&lt;='Input sheet(dashboard)'!$D$6, -PMT('Input sheet(dashboard)'!$E$5,'Input sheet(dashboard)'!$D$6*12,'Input sheet(dashboard)'!$D$3*'Input sheet(dashboard)'!$D$4),0)</f>
        <v>39834.137922259193</v>
      </c>
      <c r="F198" s="3">
        <f>I197*'Input sheet(dashboard)'!$E$5</f>
        <v>18051.350228343334</v>
      </c>
      <c r="G198" s="3">
        <f>IF(C198&lt;='Input sheet(dashboard)'!$D$6,E198*'Input sheet(dashboard)'!$D$7,0)</f>
        <v>3186.7310337807357</v>
      </c>
      <c r="H198" s="3">
        <f t="shared" si="28"/>
        <v>21782.78769391586</v>
      </c>
      <c r="I198" s="3">
        <f t="shared" si="29"/>
        <v>4933583.012373575</v>
      </c>
      <c r="J198" s="3">
        <f>IF(B198&lt;='Input sheet(dashboard)'!$D$27*12,'Input sheet(dashboard)'!$D$3*(1+'Input sheet(dashboard)'!$E$24)^B198,0)</f>
        <v>19596465.594614875</v>
      </c>
      <c r="K198" s="3">
        <f>IF(B198&lt;='Input sheet(dashboard)'!$D$27*12,J198*'Input sheet(dashboard)'!$E$8,0)</f>
        <v>20296.96114179584</v>
      </c>
      <c r="L198" s="3">
        <f>IF(B198&lt;='Input sheet(dashboard)'!$D$27*12,'Input sheet(dashboard)'!$D$9*(1+'Input sheet(dashboard)'!$E$22)^B198,0)</f>
        <v>4481.0941354063543</v>
      </c>
      <c r="M198" s="3">
        <f>IF(B198=1,'Input sheet(dashboard)'!$D$3*'Input sheet(dashboard)'!$D$10,0)</f>
        <v>0</v>
      </c>
      <c r="N198" s="3">
        <f>IF(B198='Input sheet(dashboard)'!$D$27*12,J198*'Input sheet(dashboard)'!$D$11,0)</f>
        <v>0</v>
      </c>
      <c r="O198" s="3">
        <f>IF(SUM(F198:F209)&gt;=150000,150000/12*'Input sheet(dashboard)'!$D$28,SUM(F198:F209)/12*'Input sheet(dashboard)'!$D$28)</f>
        <v>1875</v>
      </c>
      <c r="P198" s="3">
        <f t="shared" si="24"/>
        <v>0</v>
      </c>
      <c r="Q198" s="3">
        <f>IF(B198&lt;='Input sheet(dashboard)'!$D$27*12,'Input sheet(dashboard)'!$D$12/12,0)</f>
        <v>192.5</v>
      </c>
      <c r="R198" s="3">
        <f>IF(B198&lt;='Input sheet(dashboard)'!$D$27*12,('Input sheet(dashboard)'!$D$15/12)*(1+'Input sheet(dashboard)'!$E$22)^Calculations!B198,0)</f>
        <v>497.89934837848381</v>
      </c>
      <c r="S198" s="3">
        <f>IF(B198&lt;='Input sheet(dashboard)'!$D$27*12,(E198+G198+K198+L198-O198+M198+Q198+R198),0)</f>
        <v>66614.323581620614</v>
      </c>
      <c r="T198" s="3">
        <f>IF(B198&lt;='Input sheet(dashboard)'!$D$27*12,IF(D198=12,SUM(S187:S198),0),0)</f>
        <v>0</v>
      </c>
      <c r="U198" s="3">
        <f>IF(B198&lt;='Input sheet(dashboard)'!$D$27*12,IF(S198&lt;AD198,AD198-S198,0),0)</f>
        <v>0</v>
      </c>
      <c r="V198" s="3">
        <f>IF(B198&lt;='Input sheet(dashboard)'!$D$27*12,V197*(1+'Input sheet(dashboard)'!$E$25)+U198,0)</f>
        <v>0</v>
      </c>
      <c r="W198" s="17">
        <f>IF(B198&lt;='Input sheet(dashboard)'!$D$27*12,J198-I198+V198-N198,0)</f>
        <v>14662882.5822413</v>
      </c>
      <c r="X198" s="3">
        <f>IF(B198&lt;='Input sheet(dashboard)'!$D$27*12,'Input sheet(dashboard)'!$D$17*(1+'Input sheet(dashboard)'!$E$23)^(B198-1),0)</f>
        <v>57009.066751796803</v>
      </c>
      <c r="Y198" s="3"/>
      <c r="Z198" s="18"/>
      <c r="AA198" s="18"/>
      <c r="AB198" s="3">
        <f>IF(B198=1,'Input sheet(dashboard)'!$D$18*Calculations!X198,IF(Calculations!B198=12*'Input sheet(dashboard)'!$D$27,'Input sheet(dashboard)'!$D$18*-Calculations!X198,0))</f>
        <v>0</v>
      </c>
      <c r="AC198" s="3">
        <f>IF(B198&lt;='Input sheet(dashboard)'!$D$27*12,IF(MOD(B197,'Input sheet(dashboard)'!$D$19*12),0,'Input sheet(dashboard)'!$D$20*(1+'Input sheet(dashboard)'!$E$22)^Calculations!B198),0)</f>
        <v>0</v>
      </c>
      <c r="AD198" s="17">
        <f t="shared" si="30"/>
        <v>57009.066751796803</v>
      </c>
      <c r="AE198" s="17">
        <f>IF(B198&lt;='Input sheet(dashboard)'!$D$27*12,IF(D198=12,SUM(AD187:AD198),0),0)</f>
        <v>0</v>
      </c>
      <c r="AF198" s="17">
        <f t="shared" si="31"/>
        <v>9605.2568298238111</v>
      </c>
      <c r="AG198" s="17">
        <f t="shared" si="32"/>
        <v>9605.2568298238111</v>
      </c>
      <c r="AH198" s="3">
        <f>IF(B198&lt;='Input sheet(dashboard)'!$D$27*12,AH197*(1+'Input sheet(dashboard)'!$E$25)+AG198," ")</f>
        <v>11643556.51524171</v>
      </c>
    </row>
    <row r="199" spans="2:34">
      <c r="B199">
        <f t="shared" si="27"/>
        <v>196</v>
      </c>
      <c r="C199">
        <f t="shared" si="25"/>
        <v>17</v>
      </c>
      <c r="D199">
        <f t="shared" si="26"/>
        <v>4</v>
      </c>
      <c r="E199" s="15">
        <f>IF(C199&lt;='Input sheet(dashboard)'!$D$6, -PMT('Input sheet(dashboard)'!$E$5,'Input sheet(dashboard)'!$D$6*12,'Input sheet(dashboard)'!$D$3*'Input sheet(dashboard)'!$D$4),0)</f>
        <v>39834.137922259193</v>
      </c>
      <c r="F199" s="3">
        <f>I198*'Input sheet(dashboard)'!$E$5</f>
        <v>17972.000136851166</v>
      </c>
      <c r="G199" s="3">
        <f>IF(C199&lt;='Input sheet(dashboard)'!$D$6,E199*'Input sheet(dashboard)'!$D$7,0)</f>
        <v>3186.7310337807357</v>
      </c>
      <c r="H199" s="3">
        <f t="shared" si="28"/>
        <v>21862.137785408027</v>
      </c>
      <c r="I199" s="3">
        <f t="shared" si="29"/>
        <v>4911720.8745881673</v>
      </c>
      <c r="J199" s="3">
        <f>IF(B199&lt;='Input sheet(dashboard)'!$D$27*12,'Input sheet(dashboard)'!$D$3*(1+'Input sheet(dashboard)'!$E$24)^B199,0)</f>
        <v>19676304.021169342</v>
      </c>
      <c r="K199" s="3">
        <f>IF(B199&lt;='Input sheet(dashboard)'!$D$27*12,J199*'Input sheet(dashboard)'!$E$8,0)</f>
        <v>20379.653473919418</v>
      </c>
      <c r="L199" s="3">
        <f>IF(B199&lt;='Input sheet(dashboard)'!$D$27*12,'Input sheet(dashboard)'!$D$9*(1+'Input sheet(dashboard)'!$E$22)^B199,0)</f>
        <v>4490.3244556350437</v>
      </c>
      <c r="M199" s="3">
        <f>IF(B199=1,'Input sheet(dashboard)'!$D$3*'Input sheet(dashboard)'!$D$10,0)</f>
        <v>0</v>
      </c>
      <c r="N199" s="3">
        <f>IF(B199='Input sheet(dashboard)'!$D$27*12,J199*'Input sheet(dashboard)'!$D$11,0)</f>
        <v>0</v>
      </c>
      <c r="O199" s="3">
        <f>IF(SUM(F199:F210)&gt;=150000,150000/12*'Input sheet(dashboard)'!$D$28,SUM(F199:F210)/12*'Input sheet(dashboard)'!$D$28)</f>
        <v>1875</v>
      </c>
      <c r="P199" s="3">
        <f t="shared" si="24"/>
        <v>0</v>
      </c>
      <c r="Q199" s="3">
        <f>IF(B199&lt;='Input sheet(dashboard)'!$D$27*12,'Input sheet(dashboard)'!$D$12/12,0)</f>
        <v>192.5</v>
      </c>
      <c r="R199" s="3">
        <f>IF(B199&lt;='Input sheet(dashboard)'!$D$27*12,('Input sheet(dashboard)'!$D$15/12)*(1+'Input sheet(dashboard)'!$E$22)^Calculations!B199,0)</f>
        <v>498.92493951500489</v>
      </c>
      <c r="S199" s="3">
        <f>IF(B199&lt;='Input sheet(dashboard)'!$D$27*12,(E199+G199+K199+L199-O199+M199+Q199+R199),0)</f>
        <v>66707.271825109405</v>
      </c>
      <c r="T199" s="3">
        <f>IF(B199&lt;='Input sheet(dashboard)'!$D$27*12,IF(D199=12,SUM(S188:S199),0),0)</f>
        <v>0</v>
      </c>
      <c r="U199" s="3">
        <f>IF(B199&lt;='Input sheet(dashboard)'!$D$27*12,IF(S199&lt;AD199,AD199-S199,0),0)</f>
        <v>0</v>
      </c>
      <c r="V199" s="3">
        <f>IF(B199&lt;='Input sheet(dashboard)'!$D$27*12,V198*(1+'Input sheet(dashboard)'!$E$25)+U199,0)</f>
        <v>0</v>
      </c>
      <c r="W199" s="17">
        <f>IF(B199&lt;='Input sheet(dashboard)'!$D$27*12,J199-I199+V199-N199,0)</f>
        <v>14764583.146581175</v>
      </c>
      <c r="X199" s="3">
        <f>IF(B199&lt;='Input sheet(dashboard)'!$D$27*12,'Input sheet(dashboard)'!$D$17*(1+'Input sheet(dashboard)'!$E$23)^(B199-1),0)</f>
        <v>57241.328746533902</v>
      </c>
      <c r="Y199" s="3"/>
      <c r="Z199" s="18"/>
      <c r="AA199" s="18"/>
      <c r="AB199" s="3">
        <f>IF(B199=1,'Input sheet(dashboard)'!$D$18*Calculations!X199,IF(Calculations!B199=12*'Input sheet(dashboard)'!$D$27,'Input sheet(dashboard)'!$D$18*-Calculations!X199,0))</f>
        <v>0</v>
      </c>
      <c r="AC199" s="3">
        <f>IF(B199&lt;='Input sheet(dashboard)'!$D$27*12,IF(MOD(B198,'Input sheet(dashboard)'!$D$19*12),0,'Input sheet(dashboard)'!$D$20*(1+'Input sheet(dashboard)'!$E$22)^Calculations!B199),0)</f>
        <v>0</v>
      </c>
      <c r="AD199" s="17">
        <f t="shared" si="30"/>
        <v>57241.328746533902</v>
      </c>
      <c r="AE199" s="17">
        <f>IF(B199&lt;='Input sheet(dashboard)'!$D$27*12,IF(D199=12,SUM(AD188:AD199),0),0)</f>
        <v>0</v>
      </c>
      <c r="AF199" s="17">
        <f t="shared" si="31"/>
        <v>9465.943078575503</v>
      </c>
      <c r="AG199" s="17">
        <f t="shared" si="32"/>
        <v>9465.943078575503</v>
      </c>
      <c r="AH199" s="3">
        <f>IF(B199&lt;='Input sheet(dashboard)'!$D$27*12,AH198*(1+'Input sheet(dashboard)'!$E$25)+AG199," ")</f>
        <v>11727937.451526878</v>
      </c>
    </row>
    <row r="200" spans="2:34">
      <c r="B200">
        <f t="shared" si="27"/>
        <v>197</v>
      </c>
      <c r="C200">
        <f t="shared" si="25"/>
        <v>17</v>
      </c>
      <c r="D200">
        <f t="shared" si="26"/>
        <v>5</v>
      </c>
      <c r="E200" s="15">
        <f>IF(C200&lt;='Input sheet(dashboard)'!$D$6, -PMT('Input sheet(dashboard)'!$E$5,'Input sheet(dashboard)'!$D$6*12,'Input sheet(dashboard)'!$D$3*'Input sheet(dashboard)'!$D$4),0)</f>
        <v>39834.137922259193</v>
      </c>
      <c r="F200" s="3">
        <f>I199*'Input sheet(dashboard)'!$E$5</f>
        <v>17892.360989747369</v>
      </c>
      <c r="G200" s="3">
        <f>IF(C200&lt;='Input sheet(dashboard)'!$D$6,E200*'Input sheet(dashboard)'!$D$7,0)</f>
        <v>3186.7310337807357</v>
      </c>
      <c r="H200" s="3">
        <f t="shared" si="28"/>
        <v>21941.776932511824</v>
      </c>
      <c r="I200" s="3">
        <f t="shared" si="29"/>
        <v>4889779.0976556558</v>
      </c>
      <c r="J200" s="3">
        <f>IF(B200&lt;='Input sheet(dashboard)'!$D$27*12,'Input sheet(dashboard)'!$D$3*(1+'Input sheet(dashboard)'!$E$24)^B200,0)</f>
        <v>19756467.71935628</v>
      </c>
      <c r="K200" s="3">
        <f>IF(B200&lt;='Input sheet(dashboard)'!$D$27*12,J200*'Input sheet(dashboard)'!$E$8,0)</f>
        <v>20462.682704840019</v>
      </c>
      <c r="L200" s="3">
        <f>IF(B200&lt;='Input sheet(dashboard)'!$D$27*12,'Input sheet(dashboard)'!$D$9*(1+'Input sheet(dashboard)'!$E$22)^B200,0)</f>
        <v>4499.573788812123</v>
      </c>
      <c r="M200" s="3">
        <f>IF(B200=1,'Input sheet(dashboard)'!$D$3*'Input sheet(dashboard)'!$D$10,0)</f>
        <v>0</v>
      </c>
      <c r="N200" s="3">
        <f>IF(B200='Input sheet(dashboard)'!$D$27*12,J200*'Input sheet(dashboard)'!$D$11,0)</f>
        <v>0</v>
      </c>
      <c r="O200" s="3">
        <f>IF(SUM(F200:F211)&gt;=150000,150000/12*'Input sheet(dashboard)'!$D$28,SUM(F200:F211)/12*'Input sheet(dashboard)'!$D$28)</f>
        <v>1875</v>
      </c>
      <c r="P200" s="3">
        <f t="shared" si="24"/>
        <v>0</v>
      </c>
      <c r="Q200" s="3">
        <f>IF(B200&lt;='Input sheet(dashboard)'!$D$27*12,'Input sheet(dashboard)'!$D$12/12,0)</f>
        <v>192.5</v>
      </c>
      <c r="R200" s="3">
        <f>IF(B200&lt;='Input sheet(dashboard)'!$D$27*12,('Input sheet(dashboard)'!$D$15/12)*(1+'Input sheet(dashboard)'!$E$22)^Calculations!B200,0)</f>
        <v>499.95264320134692</v>
      </c>
      <c r="S200" s="3">
        <f>IF(B200&lt;='Input sheet(dashboard)'!$D$27*12,(E200+G200+K200+L200-O200+M200+Q200+R200),0)</f>
        <v>66800.578092893425</v>
      </c>
      <c r="T200" s="3">
        <f>IF(B200&lt;='Input sheet(dashboard)'!$D$27*12,IF(D200=12,SUM(S189:S200),0),0)</f>
        <v>0</v>
      </c>
      <c r="U200" s="3">
        <f>IF(B200&lt;='Input sheet(dashboard)'!$D$27*12,IF(S200&lt;AD200,AD200-S200,0),0)</f>
        <v>0</v>
      </c>
      <c r="V200" s="3">
        <f>IF(B200&lt;='Input sheet(dashboard)'!$D$27*12,V199*(1+'Input sheet(dashboard)'!$E$25)+U200,0)</f>
        <v>0</v>
      </c>
      <c r="W200" s="17">
        <f>IF(B200&lt;='Input sheet(dashboard)'!$D$27*12,J200-I200+V200-N200,0)</f>
        <v>14866688.621700624</v>
      </c>
      <c r="X200" s="3">
        <f>IF(B200&lt;='Input sheet(dashboard)'!$D$27*12,'Input sheet(dashboard)'!$D$17*(1+'Input sheet(dashboard)'!$E$23)^(B200-1),0)</f>
        <v>57474.537005387792</v>
      </c>
      <c r="Y200" s="3"/>
      <c r="Z200" s="18"/>
      <c r="AA200" s="18"/>
      <c r="AB200" s="3">
        <f>IF(B200=1,'Input sheet(dashboard)'!$D$18*Calculations!X200,IF(Calculations!B200=12*'Input sheet(dashboard)'!$D$27,'Input sheet(dashboard)'!$D$18*-Calculations!X200,0))</f>
        <v>0</v>
      </c>
      <c r="AC200" s="3">
        <f>IF(B200&lt;='Input sheet(dashboard)'!$D$27*12,IF(MOD(B199,'Input sheet(dashboard)'!$D$19*12),0,'Input sheet(dashboard)'!$D$20*(1+'Input sheet(dashboard)'!$E$22)^Calculations!B200),0)</f>
        <v>0</v>
      </c>
      <c r="AD200" s="17">
        <f t="shared" si="30"/>
        <v>57474.537005387792</v>
      </c>
      <c r="AE200" s="17">
        <f>IF(B200&lt;='Input sheet(dashboard)'!$D$27*12,IF(D200=12,SUM(AD189:AD200),0),0)</f>
        <v>0</v>
      </c>
      <c r="AF200" s="17">
        <f t="shared" si="31"/>
        <v>9326.0410875056332</v>
      </c>
      <c r="AG200" s="17">
        <f t="shared" si="32"/>
        <v>9326.0410875056332</v>
      </c>
      <c r="AH200" s="3">
        <f>IF(B200&lt;='Input sheet(dashboard)'!$D$27*12,AH199*(1+'Input sheet(dashboard)'!$E$25)+AG200," ")</f>
        <v>11812721.395305745</v>
      </c>
    </row>
    <row r="201" spans="2:34">
      <c r="B201">
        <f t="shared" si="27"/>
        <v>198</v>
      </c>
      <c r="C201">
        <f t="shared" si="25"/>
        <v>17</v>
      </c>
      <c r="D201">
        <f t="shared" si="26"/>
        <v>6</v>
      </c>
      <c r="E201" s="15">
        <f>IF(C201&lt;='Input sheet(dashboard)'!$D$6, -PMT('Input sheet(dashboard)'!$E$5,'Input sheet(dashboard)'!$D$6*12,'Input sheet(dashboard)'!$D$3*'Input sheet(dashboard)'!$D$4),0)</f>
        <v>39834.137922259193</v>
      </c>
      <c r="F201" s="3">
        <f>I200*'Input sheet(dashboard)'!$E$5</f>
        <v>17812.431734063448</v>
      </c>
      <c r="G201" s="3">
        <f>IF(C201&lt;='Input sheet(dashboard)'!$D$6,E201*'Input sheet(dashboard)'!$D$7,0)</f>
        <v>3186.7310337807357</v>
      </c>
      <c r="H201" s="3">
        <f t="shared" si="28"/>
        <v>22021.706188195745</v>
      </c>
      <c r="I201" s="3">
        <f t="shared" si="29"/>
        <v>4867757.3914674604</v>
      </c>
      <c r="J201" s="3">
        <f>IF(B201&lt;='Input sheet(dashboard)'!$D$27*12,'Input sheet(dashboard)'!$D$3*(1+'Input sheet(dashboard)'!$E$24)^B201,0)</f>
        <v>19836958.014372591</v>
      </c>
      <c r="K201" s="3">
        <f>IF(B201&lt;='Input sheet(dashboard)'!$D$27*12,J201*'Input sheet(dashboard)'!$E$8,0)</f>
        <v>20546.050207125059</v>
      </c>
      <c r="L201" s="3">
        <f>IF(B201&lt;='Input sheet(dashboard)'!$D$27*12,'Input sheet(dashboard)'!$D$9*(1+'Input sheet(dashboard)'!$E$22)^B201,0)</f>
        <v>4508.8421741011516</v>
      </c>
      <c r="M201" s="3">
        <f>IF(B201=1,'Input sheet(dashboard)'!$D$3*'Input sheet(dashboard)'!$D$10,0)</f>
        <v>0</v>
      </c>
      <c r="N201" s="3">
        <f>IF(B201='Input sheet(dashboard)'!$D$27*12,J201*'Input sheet(dashboard)'!$D$11,0)</f>
        <v>0</v>
      </c>
      <c r="O201" s="3">
        <f>IF(SUM(F201:F212)&gt;=150000,150000/12*'Input sheet(dashboard)'!$D$28,SUM(F201:F212)/12*'Input sheet(dashboard)'!$D$28)</f>
        <v>1875</v>
      </c>
      <c r="P201" s="3">
        <f t="shared" si="24"/>
        <v>0</v>
      </c>
      <c r="Q201" s="3">
        <f>IF(B201&lt;='Input sheet(dashboard)'!$D$27*12,'Input sheet(dashboard)'!$D$12/12,0)</f>
        <v>192.5</v>
      </c>
      <c r="R201" s="3">
        <f>IF(B201&lt;='Input sheet(dashboard)'!$D$27*12,('Input sheet(dashboard)'!$D$15/12)*(1+'Input sheet(dashboard)'!$E$22)^Calculations!B201,0)</f>
        <v>500.98246378901683</v>
      </c>
      <c r="S201" s="3">
        <f>IF(B201&lt;='Input sheet(dashboard)'!$D$27*12,(E201+G201+K201+L201-O201+M201+Q201+R201),0)</f>
        <v>66894.243801055156</v>
      </c>
      <c r="T201" s="3">
        <f>IF(B201&lt;='Input sheet(dashboard)'!$D$27*12,IF(D201=12,SUM(S190:S201),0),0)</f>
        <v>0</v>
      </c>
      <c r="U201" s="3">
        <f>IF(B201&lt;='Input sheet(dashboard)'!$D$27*12,IF(S201&lt;AD201,AD201-S201,0),0)</f>
        <v>0</v>
      </c>
      <c r="V201" s="3">
        <f>IF(B201&lt;='Input sheet(dashboard)'!$D$27*12,V200*(1+'Input sheet(dashboard)'!$E$25)+U201,0)</f>
        <v>0</v>
      </c>
      <c r="W201" s="17">
        <f>IF(B201&lt;='Input sheet(dashboard)'!$D$27*12,J201-I201+V201-N201,0)</f>
        <v>14969200.622905131</v>
      </c>
      <c r="X201" s="3">
        <f>IF(B201&lt;='Input sheet(dashboard)'!$D$27*12,'Input sheet(dashboard)'!$D$17*(1+'Input sheet(dashboard)'!$E$23)^(B201-1),0)</f>
        <v>57708.695383555612</v>
      </c>
      <c r="Y201" s="3"/>
      <c r="Z201" s="18"/>
      <c r="AA201" s="18"/>
      <c r="AB201" s="3">
        <f>IF(B201=1,'Input sheet(dashboard)'!$D$18*Calculations!X201,IF(Calculations!B201=12*'Input sheet(dashboard)'!$D$27,'Input sheet(dashboard)'!$D$18*-Calculations!X201,0))</f>
        <v>0</v>
      </c>
      <c r="AC201" s="3">
        <f>IF(B201&lt;='Input sheet(dashboard)'!$D$27*12,IF(MOD(B200,'Input sheet(dashboard)'!$D$19*12),0,'Input sheet(dashboard)'!$D$20*(1+'Input sheet(dashboard)'!$E$22)^Calculations!B201),0)</f>
        <v>0</v>
      </c>
      <c r="AD201" s="17">
        <f t="shared" si="30"/>
        <v>57708.695383555612</v>
      </c>
      <c r="AE201" s="17">
        <f>IF(B201&lt;='Input sheet(dashboard)'!$D$27*12,IF(D201=12,SUM(AD190:AD201),0),0)</f>
        <v>0</v>
      </c>
      <c r="AF201" s="17">
        <f t="shared" si="31"/>
        <v>9185.5484174995436</v>
      </c>
      <c r="AG201" s="17">
        <f t="shared" si="32"/>
        <v>9185.5484174995436</v>
      </c>
      <c r="AH201" s="3">
        <f>IF(B201&lt;='Input sheet(dashboard)'!$D$27*12,AH200*(1+'Input sheet(dashboard)'!$E$25)+AG201," ")</f>
        <v>11897910.348861724</v>
      </c>
    </row>
    <row r="202" spans="2:34">
      <c r="B202">
        <f t="shared" si="27"/>
        <v>199</v>
      </c>
      <c r="C202">
        <f t="shared" si="25"/>
        <v>17</v>
      </c>
      <c r="D202">
        <f t="shared" si="26"/>
        <v>7</v>
      </c>
      <c r="E202" s="15">
        <f>IF(C202&lt;='Input sheet(dashboard)'!$D$6, -PMT('Input sheet(dashboard)'!$E$5,'Input sheet(dashboard)'!$D$6*12,'Input sheet(dashboard)'!$D$3*'Input sheet(dashboard)'!$D$4),0)</f>
        <v>39834.137922259193</v>
      </c>
      <c r="F202" s="3">
        <f>I201*'Input sheet(dashboard)'!$E$5</f>
        <v>17732.211312995165</v>
      </c>
      <c r="G202" s="3">
        <f>IF(C202&lt;='Input sheet(dashboard)'!$D$6,E202*'Input sheet(dashboard)'!$D$7,0)</f>
        <v>3186.7310337807357</v>
      </c>
      <c r="H202" s="3">
        <f t="shared" si="28"/>
        <v>22101.926609264028</v>
      </c>
      <c r="I202" s="3">
        <f t="shared" si="29"/>
        <v>4845655.4648581967</v>
      </c>
      <c r="J202" s="3">
        <f>IF(B202&lt;='Input sheet(dashboard)'!$D$27*12,'Input sheet(dashboard)'!$D$3*(1+'Input sheet(dashboard)'!$E$24)^B202,0)</f>
        <v>19917776.236814182</v>
      </c>
      <c r="K202" s="3">
        <f>IF(B202&lt;='Input sheet(dashboard)'!$D$27*12,J202*'Input sheet(dashboard)'!$E$8,0)</f>
        <v>20629.757358933941</v>
      </c>
      <c r="L202" s="3">
        <f>IF(B202&lt;='Input sheet(dashboard)'!$D$27*12,'Input sheet(dashboard)'!$D$9*(1+'Input sheet(dashboard)'!$E$22)^B202,0)</f>
        <v>4518.1296507463621</v>
      </c>
      <c r="M202" s="3">
        <f>IF(B202=1,'Input sheet(dashboard)'!$D$3*'Input sheet(dashboard)'!$D$10,0)</f>
        <v>0</v>
      </c>
      <c r="N202" s="3">
        <f>IF(B202='Input sheet(dashboard)'!$D$27*12,J202*'Input sheet(dashboard)'!$D$11,0)</f>
        <v>0</v>
      </c>
      <c r="O202" s="3">
        <f>IF(SUM(F202:F213)&gt;=150000,150000/12*'Input sheet(dashboard)'!$D$28,SUM(F202:F213)/12*'Input sheet(dashboard)'!$D$28)</f>
        <v>1875</v>
      </c>
      <c r="P202" s="3">
        <f t="shared" si="24"/>
        <v>0</v>
      </c>
      <c r="Q202" s="3">
        <f>IF(B202&lt;='Input sheet(dashboard)'!$D$27*12,'Input sheet(dashboard)'!$D$12/12,0)</f>
        <v>192.5</v>
      </c>
      <c r="R202" s="3">
        <f>IF(B202&lt;='Input sheet(dashboard)'!$D$27*12,('Input sheet(dashboard)'!$D$15/12)*(1+'Input sheet(dashboard)'!$E$22)^Calculations!B202,0)</f>
        <v>502.01440563848467</v>
      </c>
      <c r="S202" s="3">
        <f>IF(B202&lt;='Input sheet(dashboard)'!$D$27*12,(E202+G202+K202+L202-O202+M202+Q202+R202),0)</f>
        <v>66988.270371358711</v>
      </c>
      <c r="T202" s="3">
        <f>IF(B202&lt;='Input sheet(dashboard)'!$D$27*12,IF(D202=12,SUM(S191:S202),0),0)</f>
        <v>0</v>
      </c>
      <c r="U202" s="3">
        <f>IF(B202&lt;='Input sheet(dashboard)'!$D$27*12,IF(S202&lt;AD202,AD202-S202,0),0)</f>
        <v>0</v>
      </c>
      <c r="V202" s="3">
        <f>IF(B202&lt;='Input sheet(dashboard)'!$D$27*12,V201*(1+'Input sheet(dashboard)'!$E$25)+U202,0)</f>
        <v>0</v>
      </c>
      <c r="W202" s="17">
        <f>IF(B202&lt;='Input sheet(dashboard)'!$D$27*12,J202-I202+V202-N202,0)</f>
        <v>15072120.771955986</v>
      </c>
      <c r="X202" s="3">
        <f>IF(B202&lt;='Input sheet(dashboard)'!$D$27*12,'Input sheet(dashboard)'!$D$17*(1+'Input sheet(dashboard)'!$E$23)^(B202-1),0)</f>
        <v>57943.80775194108</v>
      </c>
      <c r="Y202" s="3"/>
      <c r="Z202" s="18"/>
      <c r="AA202" s="18"/>
      <c r="AB202" s="3">
        <f>IF(B202=1,'Input sheet(dashboard)'!$D$18*Calculations!X202,IF(Calculations!B202=12*'Input sheet(dashboard)'!$D$27,'Input sheet(dashboard)'!$D$18*-Calculations!X202,0))</f>
        <v>0</v>
      </c>
      <c r="AC202" s="3">
        <f>IF(B202&lt;='Input sheet(dashboard)'!$D$27*12,IF(MOD(B201,'Input sheet(dashboard)'!$D$19*12),0,'Input sheet(dashboard)'!$D$20*(1+'Input sheet(dashboard)'!$E$22)^Calculations!B202),0)</f>
        <v>0</v>
      </c>
      <c r="AD202" s="17">
        <f t="shared" si="30"/>
        <v>57943.80775194108</v>
      </c>
      <c r="AE202" s="17">
        <f>IF(B202&lt;='Input sheet(dashboard)'!$D$27*12,IF(D202=12,SUM(AD191:AD202),0),0)</f>
        <v>0</v>
      </c>
      <c r="AF202" s="17">
        <f t="shared" si="31"/>
        <v>9044.4626194176308</v>
      </c>
      <c r="AG202" s="17">
        <f t="shared" si="32"/>
        <v>9044.4626194176308</v>
      </c>
      <c r="AH202" s="3">
        <f>IF(B202&lt;='Input sheet(dashboard)'!$D$27*12,AH201*(1+'Input sheet(dashboard)'!$E$25)+AG202," ")</f>
        <v>11983506.32491184</v>
      </c>
    </row>
    <row r="203" spans="2:34">
      <c r="B203">
        <f t="shared" si="27"/>
        <v>200</v>
      </c>
      <c r="C203">
        <f t="shared" si="25"/>
        <v>17</v>
      </c>
      <c r="D203">
        <f t="shared" si="26"/>
        <v>8</v>
      </c>
      <c r="E203" s="15">
        <f>IF(C203&lt;='Input sheet(dashboard)'!$D$6, -PMT('Input sheet(dashboard)'!$E$5,'Input sheet(dashboard)'!$D$6*12,'Input sheet(dashboard)'!$D$3*'Input sheet(dashboard)'!$D$4),0)</f>
        <v>39834.137922259193</v>
      </c>
      <c r="F203" s="3">
        <f>I202*'Input sheet(dashboard)'!$E$5</f>
        <v>17651.698665888562</v>
      </c>
      <c r="G203" s="3">
        <f>IF(C203&lt;='Input sheet(dashboard)'!$D$6,E203*'Input sheet(dashboard)'!$D$7,0)</f>
        <v>3186.7310337807357</v>
      </c>
      <c r="H203" s="3">
        <f t="shared" si="28"/>
        <v>22182.439256370631</v>
      </c>
      <c r="I203" s="3">
        <f t="shared" si="29"/>
        <v>4823473.0256018257</v>
      </c>
      <c r="J203" s="3">
        <f>IF(B203&lt;='Input sheet(dashboard)'!$D$27*12,'Input sheet(dashboard)'!$D$3*(1+'Input sheet(dashboard)'!$E$24)^B203,0)</f>
        <v>19998923.722697973</v>
      </c>
      <c r="K203" s="3">
        <f>IF(B203&lt;='Input sheet(dashboard)'!$D$27*12,J203*'Input sheet(dashboard)'!$E$8,0)</f>
        <v>20713.805544040868</v>
      </c>
      <c r="L203" s="3">
        <f>IF(B203&lt;='Input sheet(dashboard)'!$D$27*12,'Input sheet(dashboard)'!$D$9*(1+'Input sheet(dashboard)'!$E$22)^B203,0)</f>
        <v>4527.4362580728211</v>
      </c>
      <c r="M203" s="3">
        <f>IF(B203=1,'Input sheet(dashboard)'!$D$3*'Input sheet(dashboard)'!$D$10,0)</f>
        <v>0</v>
      </c>
      <c r="N203" s="3">
        <f>IF(B203='Input sheet(dashboard)'!$D$27*12,J203*'Input sheet(dashboard)'!$D$11,0)</f>
        <v>0</v>
      </c>
      <c r="O203" s="3">
        <f>IF(SUM(F203:F214)&gt;=150000,150000/12*'Input sheet(dashboard)'!$D$28,SUM(F203:F214)/12*'Input sheet(dashboard)'!$D$28)</f>
        <v>1875</v>
      </c>
      <c r="P203" s="3">
        <f t="shared" si="24"/>
        <v>0</v>
      </c>
      <c r="Q203" s="3">
        <f>IF(B203&lt;='Input sheet(dashboard)'!$D$27*12,'Input sheet(dashboard)'!$D$12/12,0)</f>
        <v>192.5</v>
      </c>
      <c r="R203" s="3">
        <f>IF(B203&lt;='Input sheet(dashboard)'!$D$27*12,('Input sheet(dashboard)'!$D$15/12)*(1+'Input sheet(dashboard)'!$E$22)^Calculations!B203,0)</f>
        <v>503.0484731192023</v>
      </c>
      <c r="S203" s="3">
        <f>IF(B203&lt;='Input sheet(dashboard)'!$D$27*12,(E203+G203+K203+L203-O203+M203+Q203+R203),0)</f>
        <v>67082.659231272817</v>
      </c>
      <c r="T203" s="3">
        <f>IF(B203&lt;='Input sheet(dashboard)'!$D$27*12,IF(D203=12,SUM(S192:S203),0),0)</f>
        <v>0</v>
      </c>
      <c r="U203" s="3">
        <f>IF(B203&lt;='Input sheet(dashboard)'!$D$27*12,IF(S203&lt;AD203,AD203-S203,0),0)</f>
        <v>0</v>
      </c>
      <c r="V203" s="3">
        <f>IF(B203&lt;='Input sheet(dashboard)'!$D$27*12,V202*(1+'Input sheet(dashboard)'!$E$25)+U203,0)</f>
        <v>0</v>
      </c>
      <c r="W203" s="17">
        <f>IF(B203&lt;='Input sheet(dashboard)'!$D$27*12,J203-I203+V203-N203,0)</f>
        <v>15175450.697096147</v>
      </c>
      <c r="X203" s="3">
        <f>IF(B203&lt;='Input sheet(dashboard)'!$D$27*12,'Input sheet(dashboard)'!$D$17*(1+'Input sheet(dashboard)'!$E$23)^(B203-1),0)</f>
        <v>58179.877997218406</v>
      </c>
      <c r="Y203" s="3"/>
      <c r="Z203" s="18"/>
      <c r="AA203" s="18"/>
      <c r="AB203" s="3">
        <f>IF(B203=1,'Input sheet(dashboard)'!$D$18*Calculations!X203,IF(Calculations!B203=12*'Input sheet(dashboard)'!$D$27,'Input sheet(dashboard)'!$D$18*-Calculations!X203,0))</f>
        <v>0</v>
      </c>
      <c r="AC203" s="3">
        <f>IF(B203&lt;='Input sheet(dashboard)'!$D$27*12,IF(MOD(B202,'Input sheet(dashboard)'!$D$19*12),0,'Input sheet(dashboard)'!$D$20*(1+'Input sheet(dashboard)'!$E$22)^Calculations!B203),0)</f>
        <v>0</v>
      </c>
      <c r="AD203" s="17">
        <f t="shared" si="30"/>
        <v>58179.877997218406</v>
      </c>
      <c r="AE203" s="17">
        <f>IF(B203&lt;='Input sheet(dashboard)'!$D$27*12,IF(D203=12,SUM(AD192:AD203),0),0)</f>
        <v>0</v>
      </c>
      <c r="AF203" s="17">
        <f t="shared" si="31"/>
        <v>8902.7812340544115</v>
      </c>
      <c r="AG203" s="17">
        <f t="shared" si="32"/>
        <v>8902.7812340544115</v>
      </c>
      <c r="AH203" s="3">
        <f>IF(B203&lt;='Input sheet(dashboard)'!$D$27*12,AH202*(1+'Input sheet(dashboard)'!$E$25)+AG203," ")</f>
        <v>12069511.346663794</v>
      </c>
    </row>
    <row r="204" spans="2:34">
      <c r="B204">
        <f t="shared" si="27"/>
        <v>201</v>
      </c>
      <c r="C204">
        <f t="shared" si="25"/>
        <v>17</v>
      </c>
      <c r="D204">
        <f t="shared" si="26"/>
        <v>9</v>
      </c>
      <c r="E204" s="15">
        <f>IF(C204&lt;='Input sheet(dashboard)'!$D$6, -PMT('Input sheet(dashboard)'!$E$5,'Input sheet(dashboard)'!$D$6*12,'Input sheet(dashboard)'!$D$3*'Input sheet(dashboard)'!$D$4),0)</f>
        <v>39834.137922259193</v>
      </c>
      <c r="F204" s="3">
        <f>I203*'Input sheet(dashboard)'!$E$5</f>
        <v>17570.892728225946</v>
      </c>
      <c r="G204" s="3">
        <f>IF(C204&lt;='Input sheet(dashboard)'!$D$6,E204*'Input sheet(dashboard)'!$D$7,0)</f>
        <v>3186.7310337807357</v>
      </c>
      <c r="H204" s="3">
        <f t="shared" si="28"/>
        <v>22263.245194033247</v>
      </c>
      <c r="I204" s="3">
        <f t="shared" si="29"/>
        <v>4801209.7804077929</v>
      </c>
      <c r="J204" s="3">
        <f>IF(B204&lt;='Input sheet(dashboard)'!$D$27*12,'Input sheet(dashboard)'!$D$3*(1+'Input sheet(dashboard)'!$E$24)^B204,0)</f>
        <v>20080401.813483991</v>
      </c>
      <c r="K204" s="3">
        <f>IF(B204&lt;='Input sheet(dashboard)'!$D$27*12,J204*'Input sheet(dashboard)'!$E$8,0)</f>
        <v>20798.196151857719</v>
      </c>
      <c r="L204" s="3">
        <f>IF(B204&lt;='Input sheet(dashboard)'!$D$27*12,'Input sheet(dashboard)'!$D$9*(1+'Input sheet(dashboard)'!$E$22)^B204,0)</f>
        <v>4536.7620354866012</v>
      </c>
      <c r="M204" s="3">
        <f>IF(B204=1,'Input sheet(dashboard)'!$D$3*'Input sheet(dashboard)'!$D$10,0)</f>
        <v>0</v>
      </c>
      <c r="N204" s="3">
        <f>IF(B204='Input sheet(dashboard)'!$D$27*12,J204*'Input sheet(dashboard)'!$D$11,0)</f>
        <v>0</v>
      </c>
      <c r="O204" s="3">
        <f>IF(SUM(F204:F215)&gt;=150000,150000/12*'Input sheet(dashboard)'!$D$28,SUM(F204:F215)/12*'Input sheet(dashboard)'!$D$28)</f>
        <v>1875</v>
      </c>
      <c r="P204" s="3">
        <f t="shared" si="24"/>
        <v>0</v>
      </c>
      <c r="Q204" s="3">
        <f>IF(B204&lt;='Input sheet(dashboard)'!$D$27*12,'Input sheet(dashboard)'!$D$12/12,0)</f>
        <v>192.5</v>
      </c>
      <c r="R204" s="3">
        <f>IF(B204&lt;='Input sheet(dashboard)'!$D$27*12,('Input sheet(dashboard)'!$D$15/12)*(1+'Input sheet(dashboard)'!$E$22)^Calculations!B204,0)</f>
        <v>504.08467060962232</v>
      </c>
      <c r="S204" s="3">
        <f>IF(B204&lt;='Input sheet(dashboard)'!$D$27*12,(E204+G204+K204+L204-O204+M204+Q204+R204),0)</f>
        <v>67177.41181399388</v>
      </c>
      <c r="T204" s="3">
        <f>IF(B204&lt;='Input sheet(dashboard)'!$D$27*12,IF(D204=12,SUM(S193:S204),0),0)</f>
        <v>0</v>
      </c>
      <c r="U204" s="3">
        <f>IF(B204&lt;='Input sheet(dashboard)'!$D$27*12,IF(S204&lt;AD204,AD204-S204,0),0)</f>
        <v>0</v>
      </c>
      <c r="V204" s="3">
        <f>IF(B204&lt;='Input sheet(dashboard)'!$D$27*12,V203*(1+'Input sheet(dashboard)'!$E$25)+U204,0)</f>
        <v>0</v>
      </c>
      <c r="W204" s="17">
        <f>IF(B204&lt;='Input sheet(dashboard)'!$D$27*12,J204-I204+V204-N204,0)</f>
        <v>15279192.033076197</v>
      </c>
      <c r="X204" s="3">
        <f>IF(B204&lt;='Input sheet(dashboard)'!$D$27*12,'Input sheet(dashboard)'!$D$17*(1+'Input sheet(dashboard)'!$E$23)^(B204-1),0)</f>
        <v>58416.910021896641</v>
      </c>
      <c r="Y204" s="3"/>
      <c r="Z204" s="18"/>
      <c r="AA204" s="18"/>
      <c r="AB204" s="3">
        <f>IF(B204=1,'Input sheet(dashboard)'!$D$18*Calculations!X204,IF(Calculations!B204=12*'Input sheet(dashboard)'!$D$27,'Input sheet(dashboard)'!$D$18*-Calculations!X204,0))</f>
        <v>0</v>
      </c>
      <c r="AC204" s="3">
        <f>IF(B204&lt;='Input sheet(dashboard)'!$D$27*12,IF(MOD(B203,'Input sheet(dashboard)'!$D$19*12),0,'Input sheet(dashboard)'!$D$20*(1+'Input sheet(dashboard)'!$E$22)^Calculations!B204),0)</f>
        <v>0</v>
      </c>
      <c r="AD204" s="17">
        <f t="shared" si="30"/>
        <v>58416.910021896641</v>
      </c>
      <c r="AE204" s="17">
        <f>IF(B204&lt;='Input sheet(dashboard)'!$D$27*12,IF(D204=12,SUM(AD193:AD204),0),0)</f>
        <v>0</v>
      </c>
      <c r="AF204" s="17">
        <f t="shared" si="31"/>
        <v>8760.5017920972386</v>
      </c>
      <c r="AG204" s="17">
        <f t="shared" si="32"/>
        <v>8760.5017920972386</v>
      </c>
      <c r="AH204" s="3">
        <f>IF(B204&lt;='Input sheet(dashboard)'!$D$27*12,AH203*(1+'Input sheet(dashboard)'!$E$25)+AG204," ")</f>
        <v>12155927.447873354</v>
      </c>
    </row>
    <row r="205" spans="2:34">
      <c r="B205">
        <f t="shared" si="27"/>
        <v>202</v>
      </c>
      <c r="C205">
        <f t="shared" si="25"/>
        <v>17</v>
      </c>
      <c r="D205">
        <f t="shared" si="26"/>
        <v>10</v>
      </c>
      <c r="E205" s="15">
        <f>IF(C205&lt;='Input sheet(dashboard)'!$D$6, -PMT('Input sheet(dashboard)'!$E$5,'Input sheet(dashboard)'!$D$6*12,'Input sheet(dashboard)'!$D$3*'Input sheet(dashboard)'!$D$4),0)</f>
        <v>39834.137922259193</v>
      </c>
      <c r="F205" s="3">
        <f>I204*'Input sheet(dashboard)'!$E$5</f>
        <v>17489.792431611822</v>
      </c>
      <c r="G205" s="3">
        <f>IF(C205&lt;='Input sheet(dashboard)'!$D$6,E205*'Input sheet(dashboard)'!$D$7,0)</f>
        <v>3186.7310337807357</v>
      </c>
      <c r="H205" s="3">
        <f t="shared" si="28"/>
        <v>22344.345490647371</v>
      </c>
      <c r="I205" s="3">
        <f t="shared" si="29"/>
        <v>4778865.4349171454</v>
      </c>
      <c r="J205" s="3">
        <f>IF(B205&lt;='Input sheet(dashboard)'!$D$27*12,'Input sheet(dashboard)'!$D$3*(1+'Input sheet(dashboard)'!$E$24)^B205,0)</f>
        <v>20162211.856097519</v>
      </c>
      <c r="K205" s="3">
        <f>IF(B205&lt;='Input sheet(dashboard)'!$D$27*12,J205*'Input sheet(dashboard)'!$E$8,0)</f>
        <v>20882.930577456984</v>
      </c>
      <c r="L205" s="3">
        <f>IF(B205&lt;='Input sheet(dashboard)'!$D$27*12,'Input sheet(dashboard)'!$D$9*(1+'Input sheet(dashboard)'!$E$22)^B205,0)</f>
        <v>4546.1070224749419</v>
      </c>
      <c r="M205" s="3">
        <f>IF(B205=1,'Input sheet(dashboard)'!$D$3*'Input sheet(dashboard)'!$D$10,0)</f>
        <v>0</v>
      </c>
      <c r="N205" s="3">
        <f>IF(B205='Input sheet(dashboard)'!$D$27*12,J205*'Input sheet(dashboard)'!$D$11,0)</f>
        <v>0</v>
      </c>
      <c r="O205" s="3">
        <f>IF(SUM(F205:F216)&gt;=150000,150000/12*'Input sheet(dashboard)'!$D$28,SUM(F205:F216)/12*'Input sheet(dashboard)'!$D$28)</f>
        <v>1875</v>
      </c>
      <c r="P205" s="3">
        <f t="shared" si="24"/>
        <v>0</v>
      </c>
      <c r="Q205" s="3">
        <f>IF(B205&lt;='Input sheet(dashboard)'!$D$27*12,'Input sheet(dashboard)'!$D$12/12,0)</f>
        <v>192.5</v>
      </c>
      <c r="R205" s="3">
        <f>IF(B205&lt;='Input sheet(dashboard)'!$D$27*12,('Input sheet(dashboard)'!$D$15/12)*(1+'Input sheet(dashboard)'!$E$22)^Calculations!B205,0)</f>
        <v>505.12300249721574</v>
      </c>
      <c r="S205" s="3">
        <f>IF(B205&lt;='Input sheet(dashboard)'!$D$27*12,(E205+G205+K205+L205-O205+M205+Q205+R205),0)</f>
        <v>67272.529558469076</v>
      </c>
      <c r="T205" s="3">
        <f>IF(B205&lt;='Input sheet(dashboard)'!$D$27*12,IF(D205=12,SUM(S194:S205),0),0)</f>
        <v>0</v>
      </c>
      <c r="U205" s="3">
        <f>IF(B205&lt;='Input sheet(dashboard)'!$D$27*12,IF(S205&lt;AD205,AD205-S205,0),0)</f>
        <v>0</v>
      </c>
      <c r="V205" s="3">
        <f>IF(B205&lt;='Input sheet(dashboard)'!$D$27*12,V204*(1+'Input sheet(dashboard)'!$E$25)+U205,0)</f>
        <v>0</v>
      </c>
      <c r="W205" s="17">
        <f>IF(B205&lt;='Input sheet(dashboard)'!$D$27*12,J205-I205+V205-N205,0)</f>
        <v>15383346.421180375</v>
      </c>
      <c r="X205" s="3">
        <f>IF(B205&lt;='Input sheet(dashboard)'!$D$27*12,'Input sheet(dashboard)'!$D$17*(1+'Input sheet(dashboard)'!$E$23)^(B205-1),0)</f>
        <v>58654.907744384102</v>
      </c>
      <c r="Y205" s="3"/>
      <c r="Z205" s="18"/>
      <c r="AA205" s="18"/>
      <c r="AB205" s="3">
        <f>IF(B205=1,'Input sheet(dashboard)'!$D$18*Calculations!X205,IF(Calculations!B205=12*'Input sheet(dashboard)'!$D$27,'Input sheet(dashboard)'!$D$18*-Calculations!X205,0))</f>
        <v>0</v>
      </c>
      <c r="AC205" s="3">
        <f>IF(B205&lt;='Input sheet(dashboard)'!$D$27*12,IF(MOD(B204,'Input sheet(dashboard)'!$D$19*12),0,'Input sheet(dashboard)'!$D$20*(1+'Input sheet(dashboard)'!$E$22)^Calculations!B205),0)</f>
        <v>0</v>
      </c>
      <c r="AD205" s="17">
        <f t="shared" si="30"/>
        <v>58654.907744384102</v>
      </c>
      <c r="AE205" s="17">
        <f>IF(B205&lt;='Input sheet(dashboard)'!$D$27*12,IF(D205=12,SUM(AD194:AD205),0),0)</f>
        <v>0</v>
      </c>
      <c r="AF205" s="17">
        <f t="shared" si="31"/>
        <v>8617.6218140849742</v>
      </c>
      <c r="AG205" s="17">
        <f t="shared" si="32"/>
        <v>8617.6218140849742</v>
      </c>
      <c r="AH205" s="3">
        <f>IF(B205&lt;='Input sheet(dashboard)'!$D$27*12,AH204*(1+'Input sheet(dashboard)'!$E$25)+AG205," ")</f>
        <v>12242756.672902074</v>
      </c>
    </row>
    <row r="206" spans="2:34">
      <c r="B206">
        <f t="shared" si="27"/>
        <v>203</v>
      </c>
      <c r="C206">
        <f t="shared" si="25"/>
        <v>17</v>
      </c>
      <c r="D206">
        <f t="shared" si="26"/>
        <v>11</v>
      </c>
      <c r="E206" s="15">
        <f>IF(C206&lt;='Input sheet(dashboard)'!$D$6, -PMT('Input sheet(dashboard)'!$E$5,'Input sheet(dashboard)'!$D$6*12,'Input sheet(dashboard)'!$D$3*'Input sheet(dashboard)'!$D$4),0)</f>
        <v>39834.137922259193</v>
      </c>
      <c r="F206" s="3">
        <f>I205*'Input sheet(dashboard)'!$E$5</f>
        <v>17408.396703758735</v>
      </c>
      <c r="G206" s="3">
        <f>IF(C206&lt;='Input sheet(dashboard)'!$D$6,E206*'Input sheet(dashboard)'!$D$7,0)</f>
        <v>3186.7310337807357</v>
      </c>
      <c r="H206" s="3">
        <f t="shared" si="28"/>
        <v>22425.741218500458</v>
      </c>
      <c r="I206" s="3">
        <f t="shared" si="29"/>
        <v>4756439.6936986446</v>
      </c>
      <c r="J206" s="3">
        <f>IF(B206&lt;='Input sheet(dashboard)'!$D$27*12,'Input sheet(dashboard)'!$D$3*(1+'Input sheet(dashboard)'!$E$24)^B206,0)</f>
        <v>20244355.202951401</v>
      </c>
      <c r="K206" s="3">
        <f>IF(B206&lt;='Input sheet(dashboard)'!$D$27*12,J206*'Input sheet(dashboard)'!$E$8,0)</f>
        <v>20968.010221594875</v>
      </c>
      <c r="L206" s="3">
        <f>IF(B206&lt;='Input sheet(dashboard)'!$D$27*12,'Input sheet(dashboard)'!$D$9*(1+'Input sheet(dashboard)'!$E$22)^B206,0)</f>
        <v>4555.4712586064225</v>
      </c>
      <c r="M206" s="3">
        <f>IF(B206=1,'Input sheet(dashboard)'!$D$3*'Input sheet(dashboard)'!$D$10,0)</f>
        <v>0</v>
      </c>
      <c r="N206" s="3">
        <f>IF(B206='Input sheet(dashboard)'!$D$27*12,J206*'Input sheet(dashboard)'!$D$11,0)</f>
        <v>0</v>
      </c>
      <c r="O206" s="3">
        <f>IF(SUM(F206:F217)&gt;=150000,150000/12*'Input sheet(dashboard)'!$D$28,SUM(F206:F217)/12*'Input sheet(dashboard)'!$D$28)</f>
        <v>1875</v>
      </c>
      <c r="P206" s="3">
        <f t="shared" si="24"/>
        <v>0</v>
      </c>
      <c r="Q206" s="3">
        <f>IF(B206&lt;='Input sheet(dashboard)'!$D$27*12,'Input sheet(dashboard)'!$D$12/12,0)</f>
        <v>192.5</v>
      </c>
      <c r="R206" s="3">
        <f>IF(B206&lt;='Input sheet(dashboard)'!$D$27*12,('Input sheet(dashboard)'!$D$15/12)*(1+'Input sheet(dashboard)'!$E$22)^Calculations!B206,0)</f>
        <v>506.1634731784913</v>
      </c>
      <c r="S206" s="3">
        <f>IF(B206&lt;='Input sheet(dashboard)'!$D$27*12,(E206+G206+K206+L206-O206+M206+Q206+R206),0)</f>
        <v>67368.013909419722</v>
      </c>
      <c r="T206" s="3">
        <f>IF(B206&lt;='Input sheet(dashboard)'!$D$27*12,IF(D206=12,SUM(S195:S206),0),0)</f>
        <v>0</v>
      </c>
      <c r="U206" s="3">
        <f>IF(B206&lt;='Input sheet(dashboard)'!$D$27*12,IF(S206&lt;AD206,AD206-S206,0),0)</f>
        <v>0</v>
      </c>
      <c r="V206" s="3">
        <f>IF(B206&lt;='Input sheet(dashboard)'!$D$27*12,V205*(1+'Input sheet(dashboard)'!$E$25)+U206,0)</f>
        <v>0</v>
      </c>
      <c r="W206" s="17">
        <f>IF(B206&lt;='Input sheet(dashboard)'!$D$27*12,J206-I206+V206-N206,0)</f>
        <v>15487915.509252757</v>
      </c>
      <c r="X206" s="3">
        <f>IF(B206&lt;='Input sheet(dashboard)'!$D$27*12,'Input sheet(dashboard)'!$D$17*(1+'Input sheet(dashboard)'!$E$23)^(B206-1),0)</f>
        <v>58893.875099053192</v>
      </c>
      <c r="Y206" s="3"/>
      <c r="Z206" s="18"/>
      <c r="AA206" s="18"/>
      <c r="AB206" s="3">
        <f>IF(B206=1,'Input sheet(dashboard)'!$D$18*Calculations!X206,IF(Calculations!B206=12*'Input sheet(dashboard)'!$D$27,'Input sheet(dashboard)'!$D$18*-Calculations!X206,0))</f>
        <v>0</v>
      </c>
      <c r="AC206" s="3">
        <f>IF(B206&lt;='Input sheet(dashboard)'!$D$27*12,IF(MOD(B205,'Input sheet(dashboard)'!$D$19*12),0,'Input sheet(dashboard)'!$D$20*(1+'Input sheet(dashboard)'!$E$22)^Calculations!B206),0)</f>
        <v>0</v>
      </c>
      <c r="AD206" s="17">
        <f t="shared" si="30"/>
        <v>58893.875099053192</v>
      </c>
      <c r="AE206" s="17">
        <f>IF(B206&lt;='Input sheet(dashboard)'!$D$27*12,IF(D206=12,SUM(AD195:AD206),0),0)</f>
        <v>0</v>
      </c>
      <c r="AF206" s="17">
        <f t="shared" si="31"/>
        <v>8474.1388103665304</v>
      </c>
      <c r="AG206" s="17">
        <f t="shared" si="32"/>
        <v>8474.1388103665304</v>
      </c>
      <c r="AH206" s="3">
        <f>IF(B206&lt;='Input sheet(dashboard)'!$D$27*12,AH205*(1+'Input sheet(dashboard)'!$E$25)+AG206," ")</f>
        <v>12330001.076775337</v>
      </c>
    </row>
    <row r="207" spans="2:34">
      <c r="B207">
        <f t="shared" si="27"/>
        <v>204</v>
      </c>
      <c r="C207">
        <f t="shared" si="25"/>
        <v>17</v>
      </c>
      <c r="D207">
        <f t="shared" si="26"/>
        <v>12</v>
      </c>
      <c r="E207" s="15">
        <f>IF(C207&lt;='Input sheet(dashboard)'!$D$6, -PMT('Input sheet(dashboard)'!$E$5,'Input sheet(dashboard)'!$D$6*12,'Input sheet(dashboard)'!$D$3*'Input sheet(dashboard)'!$D$4),0)</f>
        <v>39834.137922259193</v>
      </c>
      <c r="F207" s="3">
        <f>I206*'Input sheet(dashboard)'!$E$5</f>
        <v>17326.70446847313</v>
      </c>
      <c r="G207" s="3">
        <f>IF(C207&lt;='Input sheet(dashboard)'!$D$6,E207*'Input sheet(dashboard)'!$D$7,0)</f>
        <v>3186.7310337807357</v>
      </c>
      <c r="H207" s="3">
        <f t="shared" si="28"/>
        <v>22507.433453786063</v>
      </c>
      <c r="I207" s="3">
        <f t="shared" si="29"/>
        <v>4733932.2602448585</v>
      </c>
      <c r="J207" s="3">
        <f>IF(B207&lt;='Input sheet(dashboard)'!$D$27*12,'Input sheet(dashboard)'!$D$3*(1+'Input sheet(dashboard)'!$E$24)^B207,0)</f>
        <v>20326833.211968374</v>
      </c>
      <c r="K207" s="3">
        <f>IF(B207&lt;='Input sheet(dashboard)'!$D$27*12,J207*'Input sheet(dashboard)'!$E$8,0)</f>
        <v>21053.436490734461</v>
      </c>
      <c r="L207" s="3">
        <f>IF(B207&lt;='Input sheet(dashboard)'!$D$27*12,'Input sheet(dashboard)'!$D$9*(1+'Input sheet(dashboard)'!$E$22)^B207,0)</f>
        <v>4564.8547835311265</v>
      </c>
      <c r="M207" s="3">
        <f>IF(B207=1,'Input sheet(dashboard)'!$D$3*'Input sheet(dashboard)'!$D$10,0)</f>
        <v>0</v>
      </c>
      <c r="N207" s="3">
        <f>IF(B207='Input sheet(dashboard)'!$D$27*12,J207*'Input sheet(dashboard)'!$D$11,0)</f>
        <v>0</v>
      </c>
      <c r="O207" s="3">
        <f>IF(SUM(F207:F218)&gt;=150000,150000/12*'Input sheet(dashboard)'!$D$28,SUM(F207:F218)/12*'Input sheet(dashboard)'!$D$28)</f>
        <v>1875</v>
      </c>
      <c r="P207" s="3">
        <f t="shared" ref="P207:P270" si="33">IF(D207=12,IF(SUM(F196:F208)&gt;=150000,150000*0.15,SUM(F196:F208)*0.15),0)</f>
        <v>22500</v>
      </c>
      <c r="Q207" s="3">
        <f>IF(B207&lt;='Input sheet(dashboard)'!$D$27*12,'Input sheet(dashboard)'!$D$12/12,0)</f>
        <v>192.5</v>
      </c>
      <c r="R207" s="3">
        <f>IF(B207&lt;='Input sheet(dashboard)'!$D$27*12,('Input sheet(dashboard)'!$D$15/12)*(1+'Input sheet(dashboard)'!$E$22)^Calculations!B207,0)</f>
        <v>507.20608705901401</v>
      </c>
      <c r="S207" s="3">
        <f>IF(B207&lt;='Input sheet(dashboard)'!$D$27*12,(E207+G207+K207+L207-O207+M207+Q207+R207),0)</f>
        <v>67463.866317364547</v>
      </c>
      <c r="T207" s="3">
        <f>IF(B207&lt;='Input sheet(dashboard)'!$D$27*12,IF(D207=12,SUM(S196:S207),0),0)</f>
        <v>803320.39598603069</v>
      </c>
      <c r="U207" s="3">
        <f>IF(B207&lt;='Input sheet(dashboard)'!$D$27*12,IF(S207&lt;AD207,AD207-S207,0),0)</f>
        <v>0</v>
      </c>
      <c r="V207" s="3">
        <f>IF(B207&lt;='Input sheet(dashboard)'!$D$27*12,V206*(1+'Input sheet(dashboard)'!$E$25)+U207,0)</f>
        <v>0</v>
      </c>
      <c r="W207" s="17">
        <f>IF(B207&lt;='Input sheet(dashboard)'!$D$27*12,J207-I207+V207-N207,0)</f>
        <v>15592900.951723516</v>
      </c>
      <c r="X207" s="3">
        <f>IF(B207&lt;='Input sheet(dashboard)'!$D$27*12,'Input sheet(dashboard)'!$D$17*(1+'Input sheet(dashboard)'!$E$23)^(B207-1),0)</f>
        <v>59133.816036305463</v>
      </c>
      <c r="Y207" s="3"/>
      <c r="Z207" s="18"/>
      <c r="AA207" s="18"/>
      <c r="AB207" s="3">
        <f>IF(B207=1,'Input sheet(dashboard)'!$D$18*Calculations!X207,IF(Calculations!B207=12*'Input sheet(dashboard)'!$D$27,'Input sheet(dashboard)'!$D$18*-Calculations!X207,0))</f>
        <v>0</v>
      </c>
      <c r="AC207" s="3">
        <f>IF(B207&lt;='Input sheet(dashboard)'!$D$27*12,IF(MOD(B206,'Input sheet(dashboard)'!$D$19*12),0,'Input sheet(dashboard)'!$D$20*(1+'Input sheet(dashboard)'!$E$22)^Calculations!B207),0)</f>
        <v>0</v>
      </c>
      <c r="AD207" s="17">
        <f t="shared" si="30"/>
        <v>59133.816036305463</v>
      </c>
      <c r="AE207" s="17">
        <f>IF(B207&lt;='Input sheet(dashboard)'!$D$27*12,IF(D207=12,SUM(AD196:AD207),0),0)</f>
        <v>693981.9359317302</v>
      </c>
      <c r="AF207" s="17">
        <f t="shared" si="31"/>
        <v>8330.0502810590842</v>
      </c>
      <c r="AG207" s="17">
        <f t="shared" si="32"/>
        <v>8330.0502810590842</v>
      </c>
      <c r="AH207" s="3">
        <f>IF(B207&lt;='Input sheet(dashboard)'!$D$27*12,AH206*(1+'Input sheet(dashboard)'!$E$25)+AG207," ")</f>
        <v>12417662.725240743</v>
      </c>
    </row>
    <row r="208" spans="2:34">
      <c r="B208">
        <f t="shared" si="27"/>
        <v>205</v>
      </c>
      <c r="C208">
        <f t="shared" ref="C208:C271" si="34">C196+1</f>
        <v>18</v>
      </c>
      <c r="D208">
        <f t="shared" ref="D208:D271" si="35">D196</f>
        <v>1</v>
      </c>
      <c r="E208" s="15">
        <f>IF(C208&lt;='Input sheet(dashboard)'!$D$6, -PMT('Input sheet(dashboard)'!$E$5,'Input sheet(dashboard)'!$D$6*12,'Input sheet(dashboard)'!$D$3*'Input sheet(dashboard)'!$D$4),0)</f>
        <v>39834.137922259193</v>
      </c>
      <c r="F208" s="3">
        <f>I207*'Input sheet(dashboard)'!$E$5</f>
        <v>17244.714645641103</v>
      </c>
      <c r="G208" s="3">
        <f>IF(C208&lt;='Input sheet(dashboard)'!$D$6,E208*'Input sheet(dashboard)'!$D$7,0)</f>
        <v>3186.7310337807357</v>
      </c>
      <c r="H208" s="3">
        <f t="shared" si="28"/>
        <v>22589.42327661809</v>
      </c>
      <c r="I208" s="3">
        <f t="shared" si="29"/>
        <v>4711342.8369682403</v>
      </c>
      <c r="J208" s="3">
        <f>IF(B208&lt;='Input sheet(dashboard)'!$D$27*12,'Input sheet(dashboard)'!$D$3*(1+'Input sheet(dashboard)'!$E$24)^B208,0)</f>
        <v>20409647.246603508</v>
      </c>
      <c r="K208" s="3">
        <f>IF(B208&lt;='Input sheet(dashboard)'!$D$27*12,J208*'Input sheet(dashboard)'!$E$8,0)</f>
        <v>21139.210797068892</v>
      </c>
      <c r="L208" s="3">
        <f>IF(B208&lt;='Input sheet(dashboard)'!$D$27*12,'Input sheet(dashboard)'!$D$9*(1+'Input sheet(dashboard)'!$E$22)^B208,0)</f>
        <v>4574.2576369808075</v>
      </c>
      <c r="M208" s="3">
        <f>IF(B208=1,'Input sheet(dashboard)'!$D$3*'Input sheet(dashboard)'!$D$10,0)</f>
        <v>0</v>
      </c>
      <c r="N208" s="3">
        <f>IF(B208='Input sheet(dashboard)'!$D$27*12,J208*'Input sheet(dashboard)'!$D$11,0)</f>
        <v>0</v>
      </c>
      <c r="O208" s="3">
        <f>IF(SUM(F208:F219)&gt;=150000,150000/12*'Input sheet(dashboard)'!$D$28,SUM(F208:F219)/12*'Input sheet(dashboard)'!$D$28)</f>
        <v>1875</v>
      </c>
      <c r="P208" s="3">
        <f t="shared" si="33"/>
        <v>0</v>
      </c>
      <c r="Q208" s="3">
        <f>IF(B208&lt;='Input sheet(dashboard)'!$D$27*12,'Input sheet(dashboard)'!$D$12/12,0)</f>
        <v>192.5</v>
      </c>
      <c r="R208" s="3">
        <f>IF(B208&lt;='Input sheet(dashboard)'!$D$27*12,('Input sheet(dashboard)'!$D$15/12)*(1+'Input sheet(dashboard)'!$E$22)^Calculations!B208,0)</f>
        <v>508.25084855342305</v>
      </c>
      <c r="S208" s="3">
        <f>IF(B208&lt;='Input sheet(dashboard)'!$D$27*12,(E208+G208+K208+L208-O208+M208+Q208+R208),0)</f>
        <v>67560.088238643046</v>
      </c>
      <c r="T208" s="3">
        <f>IF(B208&lt;='Input sheet(dashboard)'!$D$27*12,IF(D208=12,SUM(S197:S208),0),0)</f>
        <v>0</v>
      </c>
      <c r="U208" s="3">
        <f>IF(B208&lt;='Input sheet(dashboard)'!$D$27*12,IF(S208&lt;AD208,AD208-S208,0),0)</f>
        <v>0</v>
      </c>
      <c r="V208" s="3">
        <f>IF(B208&lt;='Input sheet(dashboard)'!$D$27*12,V207*(1+'Input sheet(dashboard)'!$E$25)+U208,0)</f>
        <v>0</v>
      </c>
      <c r="W208" s="17">
        <f>IF(B208&lt;='Input sheet(dashboard)'!$D$27*12,J208-I208+V208-N208,0)</f>
        <v>15698304.409635268</v>
      </c>
      <c r="X208" s="3">
        <f>IF(B208&lt;='Input sheet(dashboard)'!$D$27*12,'Input sheet(dashboard)'!$D$17*(1+'Input sheet(dashboard)'!$E$23)^(B208-1),0)</f>
        <v>59374.734522636871</v>
      </c>
      <c r="Y208" s="3"/>
      <c r="Z208" s="18"/>
      <c r="AA208" s="18"/>
      <c r="AB208" s="3">
        <f>IF(B208=1,'Input sheet(dashboard)'!$D$18*Calculations!X208,IF(Calculations!B208=12*'Input sheet(dashboard)'!$D$27,'Input sheet(dashboard)'!$D$18*-Calculations!X208,0))</f>
        <v>0</v>
      </c>
      <c r="AC208" s="3">
        <f>IF(B208&lt;='Input sheet(dashboard)'!$D$27*12,IF(MOD(B207,'Input sheet(dashboard)'!$D$19*12),0,'Input sheet(dashboard)'!$D$20*(1+'Input sheet(dashboard)'!$E$22)^Calculations!B208),0)</f>
        <v>0</v>
      </c>
      <c r="AD208" s="17">
        <f t="shared" si="30"/>
        <v>59374.734522636871</v>
      </c>
      <c r="AE208" s="17">
        <f>IF(B208&lt;='Input sheet(dashboard)'!$D$27*12,IF(D208=12,SUM(AD197:AD208),0),0)</f>
        <v>0</v>
      </c>
      <c r="AF208" s="17">
        <f t="shared" si="31"/>
        <v>8185.3537160061751</v>
      </c>
      <c r="AG208" s="17">
        <f t="shared" si="32"/>
        <v>8185.3537160061751</v>
      </c>
      <c r="AH208" s="3">
        <f>IF(B208&lt;='Input sheet(dashboard)'!$D$27*12,AH207*(1+'Input sheet(dashboard)'!$E$25)+AG208," ")</f>
        <v>12505743.694826815</v>
      </c>
    </row>
    <row r="209" spans="2:34">
      <c r="B209">
        <f t="shared" si="27"/>
        <v>206</v>
      </c>
      <c r="C209">
        <f t="shared" si="34"/>
        <v>18</v>
      </c>
      <c r="D209">
        <f t="shared" si="35"/>
        <v>2</v>
      </c>
      <c r="E209" s="15">
        <f>IF(C209&lt;='Input sheet(dashboard)'!$D$6, -PMT('Input sheet(dashboard)'!$E$5,'Input sheet(dashboard)'!$D$6*12,'Input sheet(dashboard)'!$D$3*'Input sheet(dashboard)'!$D$4),0)</f>
        <v>39834.137922259193</v>
      </c>
      <c r="F209" s="3">
        <f>I208*'Input sheet(dashboard)'!$E$5</f>
        <v>17162.426151214117</v>
      </c>
      <c r="G209" s="3">
        <f>IF(C209&lt;='Input sheet(dashboard)'!$D$6,E209*'Input sheet(dashboard)'!$D$7,0)</f>
        <v>3186.7310337807357</v>
      </c>
      <c r="H209" s="3">
        <f t="shared" si="28"/>
        <v>22671.711771045077</v>
      </c>
      <c r="I209" s="3">
        <f t="shared" si="29"/>
        <v>4688671.1251971954</v>
      </c>
      <c r="J209" s="3">
        <f>IF(B209&lt;='Input sheet(dashboard)'!$D$27*12,'Input sheet(dashboard)'!$D$3*(1+'Input sheet(dashboard)'!$E$24)^B209,0)</f>
        <v>20492798.675866768</v>
      </c>
      <c r="K209" s="3">
        <f>IF(B209&lt;='Input sheet(dashboard)'!$D$27*12,J209*'Input sheet(dashboard)'!$E$8,0)</f>
        <v>21225.334558544786</v>
      </c>
      <c r="L209" s="3">
        <f>IF(B209&lt;='Input sheet(dashboard)'!$D$27*12,'Input sheet(dashboard)'!$D$9*(1+'Input sheet(dashboard)'!$E$22)^B209,0)</f>
        <v>4583.6798587690664</v>
      </c>
      <c r="M209" s="3">
        <f>IF(B209=1,'Input sheet(dashboard)'!$D$3*'Input sheet(dashboard)'!$D$10,0)</f>
        <v>0</v>
      </c>
      <c r="N209" s="3">
        <f>IF(B209='Input sheet(dashboard)'!$D$27*12,J209*'Input sheet(dashboard)'!$D$11,0)</f>
        <v>0</v>
      </c>
      <c r="O209" s="3">
        <f>IF(SUM(F209:F220)&gt;=150000,150000/12*'Input sheet(dashboard)'!$D$28,SUM(F209:F220)/12*'Input sheet(dashboard)'!$D$28)</f>
        <v>1875</v>
      </c>
      <c r="P209" s="3">
        <f t="shared" si="33"/>
        <v>0</v>
      </c>
      <c r="Q209" s="3">
        <f>IF(B209&lt;='Input sheet(dashboard)'!$D$27*12,'Input sheet(dashboard)'!$D$12/12,0)</f>
        <v>192.5</v>
      </c>
      <c r="R209" s="3">
        <f>IF(B209&lt;='Input sheet(dashboard)'!$D$27*12,('Input sheet(dashboard)'!$D$15/12)*(1+'Input sheet(dashboard)'!$E$22)^Calculations!B209,0)</f>
        <v>509.29776208545178</v>
      </c>
      <c r="S209" s="3">
        <f>IF(B209&lt;='Input sheet(dashboard)'!$D$27*12,(E209+G209+K209+L209-O209+M209+Q209+R209),0)</f>
        <v>67656.681135439241</v>
      </c>
      <c r="T209" s="3">
        <f>IF(B209&lt;='Input sheet(dashboard)'!$D$27*12,IF(D209=12,SUM(S198:S209),0),0)</f>
        <v>0</v>
      </c>
      <c r="U209" s="3">
        <f>IF(B209&lt;='Input sheet(dashboard)'!$D$27*12,IF(S209&lt;AD209,AD209-S209,0),0)</f>
        <v>0</v>
      </c>
      <c r="V209" s="3">
        <f>IF(B209&lt;='Input sheet(dashboard)'!$D$27*12,V208*(1+'Input sheet(dashboard)'!$E$25)+U209,0)</f>
        <v>0</v>
      </c>
      <c r="W209" s="17">
        <f>IF(B209&lt;='Input sheet(dashboard)'!$D$27*12,J209-I209+V209-N209,0)</f>
        <v>15804127.550669573</v>
      </c>
      <c r="X209" s="3">
        <f>IF(B209&lt;='Input sheet(dashboard)'!$D$27*12,'Input sheet(dashboard)'!$D$17*(1+'Input sheet(dashboard)'!$E$23)^(B209-1),0)</f>
        <v>59616.634540703351</v>
      </c>
      <c r="Y209" s="3"/>
      <c r="Z209" s="18"/>
      <c r="AA209" s="18"/>
      <c r="AB209" s="3">
        <f>IF(B209=1,'Input sheet(dashboard)'!$D$18*Calculations!X209,IF(Calculations!B209=12*'Input sheet(dashboard)'!$D$27,'Input sheet(dashboard)'!$D$18*-Calculations!X209,0))</f>
        <v>0</v>
      </c>
      <c r="AC209" s="3">
        <f>IF(B209&lt;='Input sheet(dashboard)'!$D$27*12,IF(MOD(B208,'Input sheet(dashboard)'!$D$19*12),0,'Input sheet(dashboard)'!$D$20*(1+'Input sheet(dashboard)'!$E$22)^Calculations!B209),0)</f>
        <v>0</v>
      </c>
      <c r="AD209" s="17">
        <f t="shared" si="30"/>
        <v>59616.634540703351</v>
      </c>
      <c r="AE209" s="17">
        <f>IF(B209&lt;='Input sheet(dashboard)'!$D$27*12,IF(D209=12,SUM(AD198:AD209),0),0)</f>
        <v>0</v>
      </c>
      <c r="AF209" s="17">
        <f t="shared" si="31"/>
        <v>8040.0465947358898</v>
      </c>
      <c r="AG209" s="17">
        <f t="shared" si="32"/>
        <v>8040.0465947358898</v>
      </c>
      <c r="AH209" s="3">
        <f>IF(B209&lt;='Input sheet(dashboard)'!$D$27*12,AH208*(1+'Input sheet(dashboard)'!$E$25)+AG209," ")</f>
        <v>12594246.072902052</v>
      </c>
    </row>
    <row r="210" spans="2:34">
      <c r="B210">
        <f t="shared" si="27"/>
        <v>207</v>
      </c>
      <c r="C210">
        <f t="shared" si="34"/>
        <v>18</v>
      </c>
      <c r="D210">
        <f t="shared" si="35"/>
        <v>3</v>
      </c>
      <c r="E210" s="15">
        <f>IF(C210&lt;='Input sheet(dashboard)'!$D$6, -PMT('Input sheet(dashboard)'!$E$5,'Input sheet(dashboard)'!$D$6*12,'Input sheet(dashboard)'!$D$3*'Input sheet(dashboard)'!$D$4),0)</f>
        <v>39834.137922259193</v>
      </c>
      <c r="F210" s="3">
        <f>I209*'Input sheet(dashboard)'!$E$5</f>
        <v>17079.837897194684</v>
      </c>
      <c r="G210" s="3">
        <f>IF(C210&lt;='Input sheet(dashboard)'!$D$6,E210*'Input sheet(dashboard)'!$D$7,0)</f>
        <v>3186.7310337807357</v>
      </c>
      <c r="H210" s="3">
        <f t="shared" si="28"/>
        <v>22754.300025064509</v>
      </c>
      <c r="I210" s="3">
        <f t="shared" si="29"/>
        <v>4665916.8251721309</v>
      </c>
      <c r="J210" s="3">
        <f>IF(B210&lt;='Input sheet(dashboard)'!$D$27*12,'Input sheet(dashboard)'!$D$3*(1+'Input sheet(dashboard)'!$E$24)^B210,0)</f>
        <v>20576288.874345638</v>
      </c>
      <c r="K210" s="3">
        <f>IF(B210&lt;='Input sheet(dashboard)'!$D$27*12,J210*'Input sheet(dashboard)'!$E$8,0)</f>
        <v>21311.80919888565</v>
      </c>
      <c r="L210" s="3">
        <f>IF(B210&lt;='Input sheet(dashboard)'!$D$27*12,'Input sheet(dashboard)'!$D$9*(1+'Input sheet(dashboard)'!$E$22)^B210,0)</f>
        <v>4593.1214887915075</v>
      </c>
      <c r="M210" s="3">
        <f>IF(B210=1,'Input sheet(dashboard)'!$D$3*'Input sheet(dashboard)'!$D$10,0)</f>
        <v>0</v>
      </c>
      <c r="N210" s="3">
        <f>IF(B210='Input sheet(dashboard)'!$D$27*12,J210*'Input sheet(dashboard)'!$D$11,0)</f>
        <v>0</v>
      </c>
      <c r="O210" s="3">
        <f>IF(SUM(F210:F221)&gt;=150000,150000/12*'Input sheet(dashboard)'!$D$28,SUM(F210:F221)/12*'Input sheet(dashboard)'!$D$28)</f>
        <v>1875</v>
      </c>
      <c r="P210" s="3">
        <f t="shared" si="33"/>
        <v>0</v>
      </c>
      <c r="Q210" s="3">
        <f>IF(B210&lt;='Input sheet(dashboard)'!$D$27*12,'Input sheet(dashboard)'!$D$12/12,0)</f>
        <v>192.5</v>
      </c>
      <c r="R210" s="3">
        <f>IF(B210&lt;='Input sheet(dashboard)'!$D$27*12,('Input sheet(dashboard)'!$D$15/12)*(1+'Input sheet(dashboard)'!$E$22)^Calculations!B210,0)</f>
        <v>510.34683208794524</v>
      </c>
      <c r="S210" s="3">
        <f>IF(B210&lt;='Input sheet(dashboard)'!$D$27*12,(E210+G210+K210+L210-O210+M210+Q210+R210),0)</f>
        <v>67753.646475805042</v>
      </c>
      <c r="T210" s="3">
        <f>IF(B210&lt;='Input sheet(dashboard)'!$D$27*12,IF(D210=12,SUM(S199:S210),0),0)</f>
        <v>0</v>
      </c>
      <c r="U210" s="3">
        <f>IF(B210&lt;='Input sheet(dashboard)'!$D$27*12,IF(S210&lt;AD210,AD210-S210,0),0)</f>
        <v>0</v>
      </c>
      <c r="V210" s="3">
        <f>IF(B210&lt;='Input sheet(dashboard)'!$D$27*12,V209*(1+'Input sheet(dashboard)'!$E$25)+U210,0)</f>
        <v>0</v>
      </c>
      <c r="W210" s="17">
        <f>IF(B210&lt;='Input sheet(dashboard)'!$D$27*12,J210-I210+V210-N210,0)</f>
        <v>15910372.049173508</v>
      </c>
      <c r="X210" s="3">
        <f>IF(B210&lt;='Input sheet(dashboard)'!$D$27*12,'Input sheet(dashboard)'!$D$17*(1+'Input sheet(dashboard)'!$E$23)^(B210-1),0)</f>
        <v>59859.5200893867</v>
      </c>
      <c r="Y210" s="3"/>
      <c r="Z210" s="18"/>
      <c r="AA210" s="18"/>
      <c r="AB210" s="3">
        <f>IF(B210=1,'Input sheet(dashboard)'!$D$18*Calculations!X210,IF(Calculations!B210=12*'Input sheet(dashboard)'!$D$27,'Input sheet(dashboard)'!$D$18*-Calculations!X210,0))</f>
        <v>0</v>
      </c>
      <c r="AC210" s="3">
        <f>IF(B210&lt;='Input sheet(dashboard)'!$D$27*12,IF(MOD(B209,'Input sheet(dashboard)'!$D$19*12),0,'Input sheet(dashboard)'!$D$20*(1+'Input sheet(dashboard)'!$E$22)^Calculations!B210),0)</f>
        <v>0</v>
      </c>
      <c r="AD210" s="17">
        <f t="shared" si="30"/>
        <v>59859.5200893867</v>
      </c>
      <c r="AE210" s="17">
        <f>IF(B210&lt;='Input sheet(dashboard)'!$D$27*12,IF(D210=12,SUM(AD199:AD210),0),0)</f>
        <v>0</v>
      </c>
      <c r="AF210" s="17">
        <f t="shared" si="31"/>
        <v>7894.126386418342</v>
      </c>
      <c r="AG210" s="17">
        <f t="shared" si="32"/>
        <v>7894.126386418342</v>
      </c>
      <c r="AH210" s="3">
        <f>IF(B210&lt;='Input sheet(dashboard)'!$D$27*12,AH209*(1+'Input sheet(dashboard)'!$E$25)+AG210," ")</f>
        <v>12683171.957734315</v>
      </c>
    </row>
    <row r="211" spans="2:34">
      <c r="B211">
        <f t="shared" si="27"/>
        <v>208</v>
      </c>
      <c r="C211">
        <f t="shared" si="34"/>
        <v>18</v>
      </c>
      <c r="D211">
        <f t="shared" si="35"/>
        <v>4</v>
      </c>
      <c r="E211" s="15">
        <f>IF(C211&lt;='Input sheet(dashboard)'!$D$6, -PMT('Input sheet(dashboard)'!$E$5,'Input sheet(dashboard)'!$D$6*12,'Input sheet(dashboard)'!$D$3*'Input sheet(dashboard)'!$D$4),0)</f>
        <v>39834.137922259193</v>
      </c>
      <c r="F211" s="3">
        <f>I210*'Input sheet(dashboard)'!$E$5</f>
        <v>16996.948791621966</v>
      </c>
      <c r="G211" s="3">
        <f>IF(C211&lt;='Input sheet(dashboard)'!$D$6,E211*'Input sheet(dashboard)'!$D$7,0)</f>
        <v>3186.7310337807357</v>
      </c>
      <c r="H211" s="3">
        <f t="shared" si="28"/>
        <v>22837.189130637227</v>
      </c>
      <c r="I211" s="3">
        <f t="shared" si="29"/>
        <v>4643079.6360414941</v>
      </c>
      <c r="J211" s="3">
        <f>IF(B211&lt;='Input sheet(dashboard)'!$D$27*12,'Input sheet(dashboard)'!$D$3*(1+'Input sheet(dashboard)'!$E$24)^B211,0)</f>
        <v>20660119.222227827</v>
      </c>
      <c r="K211" s="3">
        <f>IF(B211&lt;='Input sheet(dashboard)'!$D$27*12,J211*'Input sheet(dashboard)'!$E$8,0)</f>
        <v>21398.636147615405</v>
      </c>
      <c r="L211" s="3">
        <f>IF(B211&lt;='Input sheet(dashboard)'!$D$27*12,'Input sheet(dashboard)'!$D$9*(1+'Input sheet(dashboard)'!$E$22)^B211,0)</f>
        <v>4602.5825670259137</v>
      </c>
      <c r="M211" s="3">
        <f>IF(B211=1,'Input sheet(dashboard)'!$D$3*'Input sheet(dashboard)'!$D$10,0)</f>
        <v>0</v>
      </c>
      <c r="N211" s="3">
        <f>IF(B211='Input sheet(dashboard)'!$D$27*12,J211*'Input sheet(dashboard)'!$D$11,0)</f>
        <v>0</v>
      </c>
      <c r="O211" s="3">
        <f>IF(SUM(F211:F222)&gt;=150000,150000/12*'Input sheet(dashboard)'!$D$28,SUM(F211:F222)/12*'Input sheet(dashboard)'!$D$28)</f>
        <v>1875</v>
      </c>
      <c r="P211" s="3">
        <f t="shared" si="33"/>
        <v>0</v>
      </c>
      <c r="Q211" s="3">
        <f>IF(B211&lt;='Input sheet(dashboard)'!$D$27*12,'Input sheet(dashboard)'!$D$12/12,0)</f>
        <v>192.5</v>
      </c>
      <c r="R211" s="3">
        <f>IF(B211&lt;='Input sheet(dashboard)'!$D$27*12,('Input sheet(dashboard)'!$D$15/12)*(1+'Input sheet(dashboard)'!$E$22)^Calculations!B211,0)</f>
        <v>511.39806300287927</v>
      </c>
      <c r="S211" s="3">
        <f>IF(B211&lt;='Input sheet(dashboard)'!$D$27*12,(E211+G211+K211+L211-O211+M211+Q211+R211),0)</f>
        <v>67850.985733684123</v>
      </c>
      <c r="T211" s="3">
        <f>IF(B211&lt;='Input sheet(dashboard)'!$D$27*12,IF(D211=12,SUM(S200:S211),0),0)</f>
        <v>0</v>
      </c>
      <c r="U211" s="3">
        <f>IF(B211&lt;='Input sheet(dashboard)'!$D$27*12,IF(S211&lt;AD211,AD211-S211,0),0)</f>
        <v>0</v>
      </c>
      <c r="V211" s="3">
        <f>IF(B211&lt;='Input sheet(dashboard)'!$D$27*12,V210*(1+'Input sheet(dashboard)'!$E$25)+U211,0)</f>
        <v>0</v>
      </c>
      <c r="W211" s="17">
        <f>IF(B211&lt;='Input sheet(dashboard)'!$D$27*12,J211-I211+V211-N211,0)</f>
        <v>16017039.586186333</v>
      </c>
      <c r="X211" s="3">
        <f>IF(B211&lt;='Input sheet(dashboard)'!$D$27*12,'Input sheet(dashboard)'!$D$17*(1+'Input sheet(dashboard)'!$E$23)^(B211-1),0)</f>
        <v>60103.395183860652</v>
      </c>
      <c r="Y211" s="3"/>
      <c r="Z211" s="18"/>
      <c r="AA211" s="18"/>
      <c r="AB211" s="3">
        <f>IF(B211=1,'Input sheet(dashboard)'!$D$18*Calculations!X211,IF(Calculations!B211=12*'Input sheet(dashboard)'!$D$27,'Input sheet(dashboard)'!$D$18*-Calculations!X211,0))</f>
        <v>0</v>
      </c>
      <c r="AC211" s="3">
        <f>IF(B211&lt;='Input sheet(dashboard)'!$D$27*12,IF(MOD(B210,'Input sheet(dashboard)'!$D$19*12),0,'Input sheet(dashboard)'!$D$20*(1+'Input sheet(dashboard)'!$E$22)^Calculations!B211),0)</f>
        <v>0</v>
      </c>
      <c r="AD211" s="17">
        <f t="shared" si="30"/>
        <v>60103.395183860652</v>
      </c>
      <c r="AE211" s="17">
        <f>IF(B211&lt;='Input sheet(dashboard)'!$D$27*12,IF(D211=12,SUM(AD200:AD211),0),0)</f>
        <v>0</v>
      </c>
      <c r="AF211" s="17">
        <f t="shared" si="31"/>
        <v>7747.5905498234715</v>
      </c>
      <c r="AG211" s="17">
        <f t="shared" si="32"/>
        <v>7747.5905498234715</v>
      </c>
      <c r="AH211" s="3">
        <f>IF(B211&lt;='Input sheet(dashboard)'!$D$27*12,AH210*(1+'Input sheet(dashboard)'!$E$25)+AG211," ")</f>
        <v>12772523.458550552</v>
      </c>
    </row>
    <row r="212" spans="2:34">
      <c r="B212">
        <f t="shared" si="27"/>
        <v>209</v>
      </c>
      <c r="C212">
        <f t="shared" si="34"/>
        <v>18</v>
      </c>
      <c r="D212">
        <f t="shared" si="35"/>
        <v>5</v>
      </c>
      <c r="E212" s="15">
        <f>IF(C212&lt;='Input sheet(dashboard)'!$D$6, -PMT('Input sheet(dashboard)'!$E$5,'Input sheet(dashboard)'!$D$6*12,'Input sheet(dashboard)'!$D$3*'Input sheet(dashboard)'!$D$4),0)</f>
        <v>39834.137922259193</v>
      </c>
      <c r="F212" s="3">
        <f>I211*'Input sheet(dashboard)'!$E$5</f>
        <v>16913.757738557339</v>
      </c>
      <c r="G212" s="3">
        <f>IF(C212&lt;='Input sheet(dashboard)'!$D$6,E212*'Input sheet(dashboard)'!$D$7,0)</f>
        <v>3186.7310337807357</v>
      </c>
      <c r="H212" s="3">
        <f t="shared" si="28"/>
        <v>22920.380183701855</v>
      </c>
      <c r="I212" s="3">
        <f t="shared" si="29"/>
        <v>4620159.2558577927</v>
      </c>
      <c r="J212" s="3">
        <f>IF(B212&lt;='Input sheet(dashboard)'!$D$27*12,'Input sheet(dashboard)'!$D$3*(1+'Input sheet(dashboard)'!$E$24)^B212,0)</f>
        <v>20744291.105324119</v>
      </c>
      <c r="K212" s="3">
        <f>IF(B212&lt;='Input sheet(dashboard)'!$D$27*12,J212*'Input sheet(dashboard)'!$E$8,0)</f>
        <v>21485.816840082047</v>
      </c>
      <c r="L212" s="3">
        <f>IF(B212&lt;='Input sheet(dashboard)'!$D$27*12,'Input sheet(dashboard)'!$D$9*(1+'Input sheet(dashboard)'!$E$22)^B212,0)</f>
        <v>4612.0631335324197</v>
      </c>
      <c r="M212" s="3">
        <f>IF(B212=1,'Input sheet(dashboard)'!$D$3*'Input sheet(dashboard)'!$D$10,0)</f>
        <v>0</v>
      </c>
      <c r="N212" s="3">
        <f>IF(B212='Input sheet(dashboard)'!$D$27*12,J212*'Input sheet(dashboard)'!$D$11,0)</f>
        <v>0</v>
      </c>
      <c r="O212" s="3">
        <f>IF(SUM(F212:F223)&gt;=150000,150000/12*'Input sheet(dashboard)'!$D$28,SUM(F212:F223)/12*'Input sheet(dashboard)'!$D$28)</f>
        <v>1875</v>
      </c>
      <c r="P212" s="3">
        <f t="shared" si="33"/>
        <v>0</v>
      </c>
      <c r="Q212" s="3">
        <f>IF(B212&lt;='Input sheet(dashboard)'!$D$27*12,'Input sheet(dashboard)'!$D$12/12,0)</f>
        <v>192.5</v>
      </c>
      <c r="R212" s="3">
        <f>IF(B212&lt;='Input sheet(dashboard)'!$D$27*12,('Input sheet(dashboard)'!$D$15/12)*(1+'Input sheet(dashboard)'!$E$22)^Calculations!B212,0)</f>
        <v>512.45145928137993</v>
      </c>
      <c r="S212" s="3">
        <f>IF(B212&lt;='Input sheet(dashboard)'!$D$27*12,(E212+G212+K212+L212-O212+M212+Q212+R212),0)</f>
        <v>67948.700388935773</v>
      </c>
      <c r="T212" s="3">
        <f>IF(B212&lt;='Input sheet(dashboard)'!$D$27*12,IF(D212=12,SUM(S201:S212),0),0)</f>
        <v>0</v>
      </c>
      <c r="U212" s="3">
        <f>IF(B212&lt;='Input sheet(dashboard)'!$D$27*12,IF(S212&lt;AD212,AD212-S212,0),0)</f>
        <v>4698.3984894745809</v>
      </c>
      <c r="V212" s="3">
        <f>IF(B212&lt;='Input sheet(dashboard)'!$D$27*12,V211*(1+'Input sheet(dashboard)'!$E$25)+U212,0)</f>
        <v>4698.3984894745809</v>
      </c>
      <c r="W212" s="17">
        <f>IF(B212&lt;='Input sheet(dashboard)'!$D$27*12,J212-I212+V212-N212,0)</f>
        <v>16128830.247955803</v>
      </c>
      <c r="X212" s="3">
        <f>IF(B212&lt;='Input sheet(dashboard)'!$D$27*12,'Input sheet(dashboard)'!$D$17*(1+'Input sheet(dashboard)'!$E$23)^(B212-1),0)</f>
        <v>60348.263855657235</v>
      </c>
      <c r="Y212" s="3"/>
      <c r="Z212" s="18"/>
      <c r="AA212" s="18"/>
      <c r="AB212" s="3">
        <f>IF(B212=1,'Input sheet(dashboard)'!$D$18*Calculations!X212,IF(Calculations!B212=12*'Input sheet(dashboard)'!$D$27,'Input sheet(dashboard)'!$D$18*-Calculations!X212,0))</f>
        <v>0</v>
      </c>
      <c r="AC212" s="3">
        <f>IF(B212&lt;='Input sheet(dashboard)'!$D$27*12,IF(MOD(B211,'Input sheet(dashboard)'!$D$19*12),0,'Input sheet(dashboard)'!$D$20*(1+'Input sheet(dashboard)'!$E$22)^Calculations!B212),0)</f>
        <v>12298.835022753119</v>
      </c>
      <c r="AD212" s="17">
        <f t="shared" si="30"/>
        <v>72647.098878410354</v>
      </c>
      <c r="AE212" s="17">
        <f>IF(B212&lt;='Input sheet(dashboard)'!$D$27*12,IF(D212=12,SUM(AD201:AD212),0),0)</f>
        <v>0</v>
      </c>
      <c r="AF212" s="17">
        <f t="shared" si="31"/>
        <v>-4698.3984894745809</v>
      </c>
      <c r="AG212" s="17">
        <f t="shared" si="32"/>
        <v>0</v>
      </c>
      <c r="AH212" s="3">
        <f>IF(B212&lt;='Input sheet(dashboard)'!$D$27*12,AH211*(1+'Input sheet(dashboard)'!$E$25)+AG212," ")</f>
        <v>12854702.259063592</v>
      </c>
    </row>
    <row r="213" spans="2:34">
      <c r="B213">
        <f t="shared" si="27"/>
        <v>210</v>
      </c>
      <c r="C213">
        <f t="shared" si="34"/>
        <v>18</v>
      </c>
      <c r="D213">
        <f t="shared" si="35"/>
        <v>6</v>
      </c>
      <c r="E213" s="15">
        <f>IF(C213&lt;='Input sheet(dashboard)'!$D$6, -PMT('Input sheet(dashboard)'!$E$5,'Input sheet(dashboard)'!$D$6*12,'Input sheet(dashboard)'!$D$3*'Input sheet(dashboard)'!$D$4),0)</f>
        <v>39834.137922259193</v>
      </c>
      <c r="F213" s="3">
        <f>I212*'Input sheet(dashboard)'!$E$5</f>
        <v>16830.263638069915</v>
      </c>
      <c r="G213" s="3">
        <f>IF(C213&lt;='Input sheet(dashboard)'!$D$6,E213*'Input sheet(dashboard)'!$D$7,0)</f>
        <v>3186.7310337807357</v>
      </c>
      <c r="H213" s="3">
        <f t="shared" si="28"/>
        <v>23003.874284189278</v>
      </c>
      <c r="I213" s="3">
        <f t="shared" si="29"/>
        <v>4597155.3815736035</v>
      </c>
      <c r="J213" s="3">
        <f>IF(B213&lt;='Input sheet(dashboard)'!$D$27*12,'Input sheet(dashboard)'!$D$3*(1+'Input sheet(dashboard)'!$E$24)^B213,0)</f>
        <v>20828805.915091246</v>
      </c>
      <c r="K213" s="3">
        <f>IF(B213&lt;='Input sheet(dashboard)'!$D$27*12,J213*'Input sheet(dashboard)'!$E$8,0)</f>
        <v>21573.352717481339</v>
      </c>
      <c r="L213" s="3">
        <f>IF(B213&lt;='Input sheet(dashboard)'!$D$27*12,'Input sheet(dashboard)'!$D$9*(1+'Input sheet(dashboard)'!$E$22)^B213,0)</f>
        <v>4621.5632284536741</v>
      </c>
      <c r="M213" s="3">
        <f>IF(B213=1,'Input sheet(dashboard)'!$D$3*'Input sheet(dashboard)'!$D$10,0)</f>
        <v>0</v>
      </c>
      <c r="N213" s="3">
        <f>IF(B213='Input sheet(dashboard)'!$D$27*12,J213*'Input sheet(dashboard)'!$D$11,0)</f>
        <v>0</v>
      </c>
      <c r="O213" s="3">
        <f>IF(SUM(F213:F224)&gt;=150000,150000/12*'Input sheet(dashboard)'!$D$28,SUM(F213:F224)/12*'Input sheet(dashboard)'!$D$28)</f>
        <v>1875</v>
      </c>
      <c r="P213" s="3">
        <f t="shared" si="33"/>
        <v>0</v>
      </c>
      <c r="Q213" s="3">
        <f>IF(B213&lt;='Input sheet(dashboard)'!$D$27*12,'Input sheet(dashboard)'!$D$12/12,0)</f>
        <v>192.5</v>
      </c>
      <c r="R213" s="3">
        <f>IF(B213&lt;='Input sheet(dashboard)'!$D$27*12,('Input sheet(dashboard)'!$D$15/12)*(1+'Input sheet(dashboard)'!$E$22)^Calculations!B213,0)</f>
        <v>513.50702538374151</v>
      </c>
      <c r="S213" s="3">
        <f>IF(B213&lt;='Input sheet(dashboard)'!$D$27*12,(E213+G213+K213+L213-O213+M213+Q213+R213),0)</f>
        <v>68046.791927358689</v>
      </c>
      <c r="T213" s="3">
        <f>IF(B213&lt;='Input sheet(dashboard)'!$D$27*12,IF(D213=12,SUM(S202:S213),0),0)</f>
        <v>0</v>
      </c>
      <c r="U213" s="3">
        <f>IF(B213&lt;='Input sheet(dashboard)'!$D$27*12,IF(S213&lt;AD213,AD213-S213,0),0)</f>
        <v>0</v>
      </c>
      <c r="V213" s="3">
        <f>IF(B213&lt;='Input sheet(dashboard)'!$D$27*12,V212*(1+'Input sheet(dashboard)'!$E$25)+U213,0)</f>
        <v>4728.6281268246548</v>
      </c>
      <c r="W213" s="17">
        <f>IF(B213&lt;='Input sheet(dashboard)'!$D$27*12,J213-I213+V213-N213,0)</f>
        <v>16236379.161644468</v>
      </c>
      <c r="X213" s="3">
        <f>IF(B213&lt;='Input sheet(dashboard)'!$D$27*12,'Input sheet(dashboard)'!$D$17*(1+'Input sheet(dashboard)'!$E$23)^(B213-1),0)</f>
        <v>60594.130152733465</v>
      </c>
      <c r="Y213" s="3"/>
      <c r="Z213" s="18"/>
      <c r="AA213" s="18"/>
      <c r="AB213" s="3">
        <f>IF(B213=1,'Input sheet(dashboard)'!$D$18*Calculations!X213,IF(Calculations!B213=12*'Input sheet(dashboard)'!$D$27,'Input sheet(dashboard)'!$D$18*-Calculations!X213,0))</f>
        <v>0</v>
      </c>
      <c r="AC213" s="3">
        <f>IF(B213&lt;='Input sheet(dashboard)'!$D$27*12,IF(MOD(B212,'Input sheet(dashboard)'!$D$19*12),0,'Input sheet(dashboard)'!$D$20*(1+'Input sheet(dashboard)'!$E$22)^Calculations!B213),0)</f>
        <v>0</v>
      </c>
      <c r="AD213" s="17">
        <f t="shared" si="30"/>
        <v>60594.130152733465</v>
      </c>
      <c r="AE213" s="17">
        <f>IF(B213&lt;='Input sheet(dashboard)'!$D$27*12,IF(D213=12,SUM(AD202:AD213),0),0)</f>
        <v>0</v>
      </c>
      <c r="AF213" s="17">
        <f t="shared" si="31"/>
        <v>7452.6617746252232</v>
      </c>
      <c r="AG213" s="17">
        <f t="shared" si="32"/>
        <v>7452.6617746252232</v>
      </c>
      <c r="AH213" s="3">
        <f>IF(B213&lt;='Input sheet(dashboard)'!$D$27*12,AH212*(1+'Input sheet(dashboard)'!$E$25)+AG213," ")</f>
        <v>12944862.462228162</v>
      </c>
    </row>
    <row r="214" spans="2:34">
      <c r="B214">
        <f t="shared" si="27"/>
        <v>211</v>
      </c>
      <c r="C214">
        <f t="shared" si="34"/>
        <v>18</v>
      </c>
      <c r="D214">
        <f t="shared" si="35"/>
        <v>7</v>
      </c>
      <c r="E214" s="15">
        <f>IF(C214&lt;='Input sheet(dashboard)'!$D$6, -PMT('Input sheet(dashboard)'!$E$5,'Input sheet(dashboard)'!$D$6*12,'Input sheet(dashboard)'!$D$3*'Input sheet(dashboard)'!$D$4),0)</f>
        <v>39834.137922259193</v>
      </c>
      <c r="F214" s="3">
        <f>I213*'Input sheet(dashboard)'!$E$5</f>
        <v>16746.465386221986</v>
      </c>
      <c r="G214" s="3">
        <f>IF(C214&lt;='Input sheet(dashboard)'!$D$6,E214*'Input sheet(dashboard)'!$D$7,0)</f>
        <v>3186.7310337807357</v>
      </c>
      <c r="H214" s="3">
        <f t="shared" si="28"/>
        <v>23087.672536037207</v>
      </c>
      <c r="I214" s="3">
        <f t="shared" si="29"/>
        <v>4574067.7090375666</v>
      </c>
      <c r="J214" s="3">
        <f>IF(B214&lt;='Input sheet(dashboard)'!$D$27*12,'Input sheet(dashboard)'!$D$3*(1+'Input sheet(dashboard)'!$E$24)^B214,0)</f>
        <v>20913665.048654914</v>
      </c>
      <c r="K214" s="3">
        <f>IF(B214&lt;='Input sheet(dashboard)'!$D$27*12,J214*'Input sheet(dashboard)'!$E$8,0)</f>
        <v>21661.245226880663</v>
      </c>
      <c r="L214" s="3">
        <f>IF(B214&lt;='Input sheet(dashboard)'!$D$27*12,'Input sheet(dashboard)'!$D$9*(1+'Input sheet(dashboard)'!$E$22)^B214,0)</f>
        <v>4631.0828920150143</v>
      </c>
      <c r="M214" s="3">
        <f>IF(B214=1,'Input sheet(dashboard)'!$D$3*'Input sheet(dashboard)'!$D$10,0)</f>
        <v>0</v>
      </c>
      <c r="N214" s="3">
        <f>IF(B214='Input sheet(dashboard)'!$D$27*12,J214*'Input sheet(dashboard)'!$D$11,0)</f>
        <v>0</v>
      </c>
      <c r="O214" s="3">
        <f>IF(SUM(F214:F225)&gt;=150000,150000/12*'Input sheet(dashboard)'!$D$28,SUM(F214:F225)/12*'Input sheet(dashboard)'!$D$28)</f>
        <v>1875</v>
      </c>
      <c r="P214" s="3">
        <f t="shared" si="33"/>
        <v>0</v>
      </c>
      <c r="Q214" s="3">
        <f>IF(B214&lt;='Input sheet(dashboard)'!$D$27*12,'Input sheet(dashboard)'!$D$12/12,0)</f>
        <v>192.5</v>
      </c>
      <c r="R214" s="3">
        <f>IF(B214&lt;='Input sheet(dashboard)'!$D$27*12,('Input sheet(dashboard)'!$D$15/12)*(1+'Input sheet(dashboard)'!$E$22)^Calculations!B214,0)</f>
        <v>514.56476577944602</v>
      </c>
      <c r="S214" s="3">
        <f>IF(B214&lt;='Input sheet(dashboard)'!$D$27*12,(E214+G214+K214+L214-O214+M214+Q214+R214),0)</f>
        <v>68145.261840715044</v>
      </c>
      <c r="T214" s="3">
        <f>IF(B214&lt;='Input sheet(dashboard)'!$D$27*12,IF(D214=12,SUM(S203:S214),0),0)</f>
        <v>0</v>
      </c>
      <c r="U214" s="3">
        <f>IF(B214&lt;='Input sheet(dashboard)'!$D$27*12,IF(S214&lt;AD214,AD214-S214,0),0)</f>
        <v>0</v>
      </c>
      <c r="V214" s="3">
        <f>IF(B214&lt;='Input sheet(dashboard)'!$D$27*12,V213*(1+'Input sheet(dashboard)'!$E$25)+U214,0)</f>
        <v>4759.052262571654</v>
      </c>
      <c r="W214" s="17">
        <f>IF(B214&lt;='Input sheet(dashboard)'!$D$27*12,J214-I214+V214-N214,0)</f>
        <v>16344356.39187992</v>
      </c>
      <c r="X214" s="3">
        <f>IF(B214&lt;='Input sheet(dashboard)'!$D$27*12,'Input sheet(dashboard)'!$D$17*(1+'Input sheet(dashboard)'!$E$23)^(B214-1),0)</f>
        <v>60840.998139538206</v>
      </c>
      <c r="Y214" s="3"/>
      <c r="Z214" s="18"/>
      <c r="AA214" s="18"/>
      <c r="AB214" s="3">
        <f>IF(B214=1,'Input sheet(dashboard)'!$D$18*Calculations!X214,IF(Calculations!B214=12*'Input sheet(dashboard)'!$D$27,'Input sheet(dashboard)'!$D$18*-Calculations!X214,0))</f>
        <v>0</v>
      </c>
      <c r="AC214" s="3">
        <f>IF(B214&lt;='Input sheet(dashboard)'!$D$27*12,IF(MOD(B213,'Input sheet(dashboard)'!$D$19*12),0,'Input sheet(dashboard)'!$D$20*(1+'Input sheet(dashboard)'!$E$22)^Calculations!B214),0)</f>
        <v>0</v>
      </c>
      <c r="AD214" s="17">
        <f t="shared" si="30"/>
        <v>60840.998139538206</v>
      </c>
      <c r="AE214" s="17">
        <f>IF(B214&lt;='Input sheet(dashboard)'!$D$27*12,IF(D214=12,SUM(AD203:AD214),0),0)</f>
        <v>0</v>
      </c>
      <c r="AF214" s="17">
        <f t="shared" si="31"/>
        <v>7304.2637011768384</v>
      </c>
      <c r="AG214" s="17">
        <f t="shared" si="32"/>
        <v>7304.2637011768384</v>
      </c>
      <c r="AH214" s="3">
        <f>IF(B214&lt;='Input sheet(dashboard)'!$D$27*12,AH213*(1+'Input sheet(dashboard)'!$E$25)+AG214," ")</f>
        <v>13035454.360781167</v>
      </c>
    </row>
    <row r="215" spans="2:34">
      <c r="B215">
        <f t="shared" si="27"/>
        <v>212</v>
      </c>
      <c r="C215">
        <f t="shared" si="34"/>
        <v>18</v>
      </c>
      <c r="D215">
        <f t="shared" si="35"/>
        <v>8</v>
      </c>
      <c r="E215" s="15">
        <f>IF(C215&lt;='Input sheet(dashboard)'!$D$6, -PMT('Input sheet(dashboard)'!$E$5,'Input sheet(dashboard)'!$D$6*12,'Input sheet(dashboard)'!$D$3*'Input sheet(dashboard)'!$D$4),0)</f>
        <v>39834.137922259193</v>
      </c>
      <c r="F215" s="3">
        <f>I214*'Input sheet(dashboard)'!$E$5</f>
        <v>16662.36187505443</v>
      </c>
      <c r="G215" s="3">
        <f>IF(C215&lt;='Input sheet(dashboard)'!$D$6,E215*'Input sheet(dashboard)'!$D$7,0)</f>
        <v>3186.7310337807357</v>
      </c>
      <c r="H215" s="3">
        <f t="shared" si="28"/>
        <v>23171.776047204763</v>
      </c>
      <c r="I215" s="3">
        <f t="shared" si="29"/>
        <v>4550895.9329903619</v>
      </c>
      <c r="J215" s="3">
        <f>IF(B215&lt;='Input sheet(dashboard)'!$D$27*12,'Input sheet(dashboard)'!$D$3*(1+'Input sheet(dashboard)'!$E$24)^B215,0)</f>
        <v>20998869.908832897</v>
      </c>
      <c r="K215" s="3">
        <f>IF(B215&lt;='Input sheet(dashboard)'!$D$27*12,J215*'Input sheet(dashboard)'!$E$8,0)</f>
        <v>21749.495821242937</v>
      </c>
      <c r="L215" s="3">
        <f>IF(B215&lt;='Input sheet(dashboard)'!$D$27*12,'Input sheet(dashboard)'!$D$9*(1+'Input sheet(dashboard)'!$E$22)^B215,0)</f>
        <v>4640.622164524636</v>
      </c>
      <c r="M215" s="3">
        <f>IF(B215=1,'Input sheet(dashboard)'!$D$3*'Input sheet(dashboard)'!$D$10,0)</f>
        <v>0</v>
      </c>
      <c r="N215" s="3">
        <f>IF(B215='Input sheet(dashboard)'!$D$27*12,J215*'Input sheet(dashboard)'!$D$11,0)</f>
        <v>0</v>
      </c>
      <c r="O215" s="3">
        <f>IF(SUM(F215:F226)&gt;=150000,150000/12*'Input sheet(dashboard)'!$D$28,SUM(F215:F226)/12*'Input sheet(dashboard)'!$D$28)</f>
        <v>1875</v>
      </c>
      <c r="P215" s="3">
        <f t="shared" si="33"/>
        <v>0</v>
      </c>
      <c r="Q215" s="3">
        <f>IF(B215&lt;='Input sheet(dashboard)'!$D$27*12,'Input sheet(dashboard)'!$D$12/12,0)</f>
        <v>192.5</v>
      </c>
      <c r="R215" s="3">
        <f>IF(B215&lt;='Input sheet(dashboard)'!$D$27*12,('Input sheet(dashboard)'!$D$15/12)*(1+'Input sheet(dashboard)'!$E$22)^Calculations!B215,0)</f>
        <v>515.62468494718178</v>
      </c>
      <c r="S215" s="3">
        <f>IF(B215&lt;='Input sheet(dashboard)'!$D$27*12,(E215+G215+K215+L215-O215+M215+Q215+R215),0)</f>
        <v>68244.111626754689</v>
      </c>
      <c r="T215" s="3">
        <f>IF(B215&lt;='Input sheet(dashboard)'!$D$27*12,IF(D215=12,SUM(S204:S215),0),0)</f>
        <v>0</v>
      </c>
      <c r="U215" s="3">
        <f>IF(B215&lt;='Input sheet(dashboard)'!$D$27*12,IF(S215&lt;AD215,AD215-S215,0),0)</f>
        <v>0</v>
      </c>
      <c r="V215" s="3">
        <f>IF(B215&lt;='Input sheet(dashboard)'!$D$27*12,V214*(1+'Input sheet(dashboard)'!$E$25)+U215,0)</f>
        <v>4789.6721481241202</v>
      </c>
      <c r="W215" s="17">
        <f>IF(B215&lt;='Input sheet(dashboard)'!$D$27*12,J215-I215+V215-N215,0)</f>
        <v>16452763.647990659</v>
      </c>
      <c r="X215" s="3">
        <f>IF(B215&lt;='Input sheet(dashboard)'!$D$27*12,'Input sheet(dashboard)'!$D$17*(1+'Input sheet(dashboard)'!$E$23)^(B215-1),0)</f>
        <v>61088.8718970794</v>
      </c>
      <c r="Y215" s="3"/>
      <c r="Z215" s="18"/>
      <c r="AA215" s="18"/>
      <c r="AB215" s="3">
        <f>IF(B215=1,'Input sheet(dashboard)'!$D$18*Calculations!X215,IF(Calculations!B215=12*'Input sheet(dashboard)'!$D$27,'Input sheet(dashboard)'!$D$18*-Calculations!X215,0))</f>
        <v>0</v>
      </c>
      <c r="AC215" s="3">
        <f>IF(B215&lt;='Input sheet(dashboard)'!$D$27*12,IF(MOD(B214,'Input sheet(dashboard)'!$D$19*12),0,'Input sheet(dashboard)'!$D$20*(1+'Input sheet(dashboard)'!$E$22)^Calculations!B215),0)</f>
        <v>0</v>
      </c>
      <c r="AD215" s="17">
        <f t="shared" si="30"/>
        <v>61088.8718970794</v>
      </c>
      <c r="AE215" s="17">
        <f>IF(B215&lt;='Input sheet(dashboard)'!$D$27*12,IF(D215=12,SUM(AD204:AD215),0),0)</f>
        <v>0</v>
      </c>
      <c r="AF215" s="17">
        <f t="shared" si="31"/>
        <v>7155.2397296752897</v>
      </c>
      <c r="AG215" s="17">
        <f t="shared" si="32"/>
        <v>7155.2397296752897</v>
      </c>
      <c r="AH215" s="3">
        <f>IF(B215&lt;='Input sheet(dashboard)'!$D$27*12,AH214*(1+'Input sheet(dashboard)'!$E$25)+AG215," ")</f>
        <v>13126480.106365683</v>
      </c>
    </row>
    <row r="216" spans="2:34">
      <c r="B216">
        <f t="shared" si="27"/>
        <v>213</v>
      </c>
      <c r="C216">
        <f t="shared" si="34"/>
        <v>18</v>
      </c>
      <c r="D216">
        <f t="shared" si="35"/>
        <v>9</v>
      </c>
      <c r="E216" s="15">
        <f>IF(C216&lt;='Input sheet(dashboard)'!$D$6, -PMT('Input sheet(dashboard)'!$E$5,'Input sheet(dashboard)'!$D$6*12,'Input sheet(dashboard)'!$D$3*'Input sheet(dashboard)'!$D$4),0)</f>
        <v>39834.137922259193</v>
      </c>
      <c r="F216" s="3">
        <f>I215*'Input sheet(dashboard)'!$E$5</f>
        <v>16577.951992572063</v>
      </c>
      <c r="G216" s="3">
        <f>IF(C216&lt;='Input sheet(dashboard)'!$D$6,E216*'Input sheet(dashboard)'!$D$7,0)</f>
        <v>3186.7310337807357</v>
      </c>
      <c r="H216" s="3">
        <f t="shared" si="28"/>
        <v>23256.18592968713</v>
      </c>
      <c r="I216" s="3">
        <f t="shared" si="29"/>
        <v>4527639.7470606752</v>
      </c>
      <c r="J216" s="3">
        <f>IF(B216&lt;='Input sheet(dashboard)'!$D$27*12,'Input sheet(dashboard)'!$D$3*(1+'Input sheet(dashboard)'!$E$24)^B216,0)</f>
        <v>21084421.904158212</v>
      </c>
      <c r="K216" s="3">
        <f>IF(B216&lt;='Input sheet(dashboard)'!$D$27*12,J216*'Input sheet(dashboard)'!$E$8,0)</f>
        <v>21838.105959450626</v>
      </c>
      <c r="L216" s="3">
        <f>IF(B216&lt;='Input sheet(dashboard)'!$D$27*12,'Input sheet(dashboard)'!$D$9*(1+'Input sheet(dashboard)'!$E$22)^B216,0)</f>
        <v>4650.1810863737592</v>
      </c>
      <c r="M216" s="3">
        <f>IF(B216=1,'Input sheet(dashboard)'!$D$3*'Input sheet(dashboard)'!$D$10,0)</f>
        <v>0</v>
      </c>
      <c r="N216" s="3">
        <f>IF(B216='Input sheet(dashboard)'!$D$27*12,J216*'Input sheet(dashboard)'!$D$11,0)</f>
        <v>0</v>
      </c>
      <c r="O216" s="3">
        <f>IF(SUM(F216:F227)&gt;=150000,150000/12*'Input sheet(dashboard)'!$D$28,SUM(F216:F227)/12*'Input sheet(dashboard)'!$D$28)</f>
        <v>1875</v>
      </c>
      <c r="P216" s="3">
        <f t="shared" si="33"/>
        <v>0</v>
      </c>
      <c r="Q216" s="3">
        <f>IF(B216&lt;='Input sheet(dashboard)'!$D$27*12,'Input sheet(dashboard)'!$D$12/12,0)</f>
        <v>192.5</v>
      </c>
      <c r="R216" s="3">
        <f>IF(B216&lt;='Input sheet(dashboard)'!$D$27*12,('Input sheet(dashboard)'!$D$15/12)*(1+'Input sheet(dashboard)'!$E$22)^Calculations!B216,0)</f>
        <v>516.68678737486209</v>
      </c>
      <c r="S216" s="3">
        <f>IF(B216&lt;='Input sheet(dashboard)'!$D$27*12,(E216+G216+K216+L216-O216+M216+Q216+R216),0)</f>
        <v>68343.342789239177</v>
      </c>
      <c r="T216" s="3">
        <f>IF(B216&lt;='Input sheet(dashboard)'!$D$27*12,IF(D216=12,SUM(S205:S216),0),0)</f>
        <v>0</v>
      </c>
      <c r="U216" s="3">
        <f>IF(B216&lt;='Input sheet(dashboard)'!$D$27*12,IF(S216&lt;AD216,AD216-S216,0),0)</f>
        <v>0</v>
      </c>
      <c r="V216" s="3">
        <f>IF(B216&lt;='Input sheet(dashboard)'!$D$27*12,V215*(1+'Input sheet(dashboard)'!$E$25)+U216,0)</f>
        <v>4820.4890429421957</v>
      </c>
      <c r="W216" s="17">
        <f>IF(B216&lt;='Input sheet(dashboard)'!$D$27*12,J216-I216+V216-N216,0)</f>
        <v>16561602.646140479</v>
      </c>
      <c r="X216" s="3">
        <f>IF(B216&lt;='Input sheet(dashboard)'!$D$27*12,'Input sheet(dashboard)'!$D$17*(1+'Input sheet(dashboard)'!$E$23)^(B216-1),0)</f>
        <v>61337.755522991545</v>
      </c>
      <c r="Y216" s="3"/>
      <c r="Z216" s="18"/>
      <c r="AA216" s="18"/>
      <c r="AB216" s="3">
        <f>IF(B216=1,'Input sheet(dashboard)'!$D$18*Calculations!X216,IF(Calculations!B216=12*'Input sheet(dashboard)'!$D$27,'Input sheet(dashboard)'!$D$18*-Calculations!X216,0))</f>
        <v>0</v>
      </c>
      <c r="AC216" s="3">
        <f>IF(B216&lt;='Input sheet(dashboard)'!$D$27*12,IF(MOD(B215,'Input sheet(dashboard)'!$D$19*12),0,'Input sheet(dashboard)'!$D$20*(1+'Input sheet(dashboard)'!$E$22)^Calculations!B216),0)</f>
        <v>0</v>
      </c>
      <c r="AD216" s="17">
        <f t="shared" si="30"/>
        <v>61337.755522991545</v>
      </c>
      <c r="AE216" s="17">
        <f>IF(B216&lt;='Input sheet(dashboard)'!$D$27*12,IF(D216=12,SUM(AD205:AD216),0),0)</f>
        <v>0</v>
      </c>
      <c r="AF216" s="17">
        <f t="shared" si="31"/>
        <v>7005.5872662476322</v>
      </c>
      <c r="AG216" s="17">
        <f t="shared" si="32"/>
        <v>7005.5872662476322</v>
      </c>
      <c r="AH216" s="3">
        <f>IF(B216&lt;='Input sheet(dashboard)'!$D$27*12,AH215*(1+'Input sheet(dashboard)'!$E$25)+AG216," ")</f>
        <v>13217941.861874647</v>
      </c>
    </row>
    <row r="217" spans="2:34">
      <c r="B217">
        <f t="shared" si="27"/>
        <v>214</v>
      </c>
      <c r="C217">
        <f t="shared" si="34"/>
        <v>18</v>
      </c>
      <c r="D217">
        <f t="shared" si="35"/>
        <v>10</v>
      </c>
      <c r="E217" s="15">
        <f>IF(C217&lt;='Input sheet(dashboard)'!$D$6, -PMT('Input sheet(dashboard)'!$E$5,'Input sheet(dashboard)'!$D$6*12,'Input sheet(dashboard)'!$D$3*'Input sheet(dashboard)'!$D$4),0)</f>
        <v>39834.137922259193</v>
      </c>
      <c r="F217" s="3">
        <f>I216*'Input sheet(dashboard)'!$E$5</f>
        <v>16493.234622728949</v>
      </c>
      <c r="G217" s="3">
        <f>IF(C217&lt;='Input sheet(dashboard)'!$D$6,E217*'Input sheet(dashboard)'!$D$7,0)</f>
        <v>3186.7310337807357</v>
      </c>
      <c r="H217" s="3">
        <f t="shared" si="28"/>
        <v>23340.903299530244</v>
      </c>
      <c r="I217" s="3">
        <f t="shared" si="29"/>
        <v>4504298.8437611451</v>
      </c>
      <c r="J217" s="3">
        <f>IF(B217&lt;='Input sheet(dashboard)'!$D$27*12,'Input sheet(dashboard)'!$D$3*(1+'Input sheet(dashboard)'!$E$24)^B217,0)</f>
        <v>21170322.448902417</v>
      </c>
      <c r="K217" s="3">
        <f>IF(B217&lt;='Input sheet(dashboard)'!$D$27*12,J217*'Input sheet(dashboard)'!$E$8,0)</f>
        <v>21927.077106329856</v>
      </c>
      <c r="L217" s="3">
        <f>IF(B217&lt;='Input sheet(dashboard)'!$D$27*12,'Input sheet(dashboard)'!$D$9*(1+'Input sheet(dashboard)'!$E$22)^B217,0)</f>
        <v>4659.759698036808</v>
      </c>
      <c r="M217" s="3">
        <f>IF(B217=1,'Input sheet(dashboard)'!$D$3*'Input sheet(dashboard)'!$D$10,0)</f>
        <v>0</v>
      </c>
      <c r="N217" s="3">
        <f>IF(B217='Input sheet(dashboard)'!$D$27*12,J217*'Input sheet(dashboard)'!$D$11,0)</f>
        <v>0</v>
      </c>
      <c r="O217" s="3">
        <f>IF(SUM(F217:F228)&gt;=150000,150000/12*'Input sheet(dashboard)'!$D$28,SUM(F217:F228)/12*'Input sheet(dashboard)'!$D$28)</f>
        <v>1875</v>
      </c>
      <c r="P217" s="3">
        <f t="shared" si="33"/>
        <v>0</v>
      </c>
      <c r="Q217" s="3">
        <f>IF(B217&lt;='Input sheet(dashboard)'!$D$27*12,'Input sheet(dashboard)'!$D$12/12,0)</f>
        <v>192.5</v>
      </c>
      <c r="R217" s="3">
        <f>IF(B217&lt;='Input sheet(dashboard)'!$D$27*12,('Input sheet(dashboard)'!$D$15/12)*(1+'Input sheet(dashboard)'!$E$22)^Calculations!B217,0)</f>
        <v>517.7510775596453</v>
      </c>
      <c r="S217" s="3">
        <f>IF(B217&lt;='Input sheet(dashboard)'!$D$27*12,(E217+G217+K217+L217-O217+M217+Q217+R217),0)</f>
        <v>68442.956837966238</v>
      </c>
      <c r="T217" s="3">
        <f>IF(B217&lt;='Input sheet(dashboard)'!$D$27*12,IF(D217=12,SUM(S206:S217),0),0)</f>
        <v>0</v>
      </c>
      <c r="U217" s="3">
        <f>IF(B217&lt;='Input sheet(dashboard)'!$D$27*12,IF(S217&lt;AD217,AD217-S217,0),0)</f>
        <v>0</v>
      </c>
      <c r="V217" s="3">
        <f>IF(B217&lt;='Input sheet(dashboard)'!$D$27*12,V216*(1+'Input sheet(dashboard)'!$E$25)+U217,0)</f>
        <v>4851.5042145894276</v>
      </c>
      <c r="W217" s="17">
        <f>IF(B217&lt;='Input sheet(dashboard)'!$D$27*12,J217-I217+V217-N217,0)</f>
        <v>16670875.109355859</v>
      </c>
      <c r="X217" s="3">
        <f>IF(B217&lt;='Input sheet(dashboard)'!$D$27*12,'Input sheet(dashboard)'!$D$17*(1+'Input sheet(dashboard)'!$E$23)^(B217-1),0)</f>
        <v>61587.653131603372</v>
      </c>
      <c r="Y217" s="3"/>
      <c r="Z217" s="18"/>
      <c r="AA217" s="18"/>
      <c r="AB217" s="3">
        <f>IF(B217=1,'Input sheet(dashboard)'!$D$18*Calculations!X217,IF(Calculations!B217=12*'Input sheet(dashboard)'!$D$27,'Input sheet(dashboard)'!$D$18*-Calculations!X217,0))</f>
        <v>0</v>
      </c>
      <c r="AC217" s="3">
        <f>IF(B217&lt;='Input sheet(dashboard)'!$D$27*12,IF(MOD(B216,'Input sheet(dashboard)'!$D$19*12),0,'Input sheet(dashboard)'!$D$20*(1+'Input sheet(dashboard)'!$E$22)^Calculations!B217),0)</f>
        <v>0</v>
      </c>
      <c r="AD217" s="17">
        <f t="shared" si="30"/>
        <v>61587.653131603372</v>
      </c>
      <c r="AE217" s="17">
        <f>IF(B217&lt;='Input sheet(dashboard)'!$D$27*12,IF(D217=12,SUM(AD206:AD217),0),0)</f>
        <v>0</v>
      </c>
      <c r="AF217" s="17">
        <f t="shared" si="31"/>
        <v>6855.3037063628653</v>
      </c>
      <c r="AG217" s="17">
        <f t="shared" si="32"/>
        <v>6855.3037063628653</v>
      </c>
      <c r="AH217" s="3">
        <f>IF(B217&lt;='Input sheet(dashboard)'!$D$27*12,AH216*(1+'Input sheet(dashboard)'!$E$25)+AG217," ")</f>
        <v>13309841.801512586</v>
      </c>
    </row>
    <row r="218" spans="2:34">
      <c r="B218">
        <f t="shared" si="27"/>
        <v>215</v>
      </c>
      <c r="C218">
        <f t="shared" si="34"/>
        <v>18</v>
      </c>
      <c r="D218">
        <f t="shared" si="35"/>
        <v>11</v>
      </c>
      <c r="E218" s="15">
        <f>IF(C218&lt;='Input sheet(dashboard)'!$D$6, -PMT('Input sheet(dashboard)'!$E$5,'Input sheet(dashboard)'!$D$6*12,'Input sheet(dashboard)'!$D$3*'Input sheet(dashboard)'!$D$4),0)</f>
        <v>39834.137922259193</v>
      </c>
      <c r="F218" s="3">
        <f>I217*'Input sheet(dashboard)'!$E$5</f>
        <v>16408.208645413615</v>
      </c>
      <c r="G218" s="3">
        <f>IF(C218&lt;='Input sheet(dashboard)'!$D$6,E218*'Input sheet(dashboard)'!$D$7,0)</f>
        <v>3186.7310337807357</v>
      </c>
      <c r="H218" s="3">
        <f t="shared" si="28"/>
        <v>23425.929276845578</v>
      </c>
      <c r="I218" s="3">
        <f t="shared" si="29"/>
        <v>4480872.9144842997</v>
      </c>
      <c r="J218" s="3">
        <f>IF(B218&lt;='Input sheet(dashboard)'!$D$27*12,'Input sheet(dashboard)'!$D$3*(1+'Input sheet(dashboard)'!$E$24)^B218,0)</f>
        <v>21256572.963098995</v>
      </c>
      <c r="K218" s="3">
        <f>IF(B218&lt;='Input sheet(dashboard)'!$D$27*12,J218*'Input sheet(dashboard)'!$E$8,0)</f>
        <v>22016.410732674645</v>
      </c>
      <c r="L218" s="3">
        <f>IF(B218&lt;='Input sheet(dashboard)'!$D$27*12,'Input sheet(dashboard)'!$D$9*(1+'Input sheet(dashboard)'!$E$22)^B218,0)</f>
        <v>4669.3580400715764</v>
      </c>
      <c r="M218" s="3">
        <f>IF(B218=1,'Input sheet(dashboard)'!$D$3*'Input sheet(dashboard)'!$D$10,0)</f>
        <v>0</v>
      </c>
      <c r="N218" s="3">
        <f>IF(B218='Input sheet(dashboard)'!$D$27*12,J218*'Input sheet(dashboard)'!$D$11,0)</f>
        <v>0</v>
      </c>
      <c r="O218" s="3">
        <f>IF(SUM(F218:F229)&gt;=150000,150000/12*'Input sheet(dashboard)'!$D$28,SUM(F218:F229)/12*'Input sheet(dashboard)'!$D$28)</f>
        <v>1875</v>
      </c>
      <c r="P218" s="3">
        <f t="shared" si="33"/>
        <v>0</v>
      </c>
      <c r="Q218" s="3">
        <f>IF(B218&lt;='Input sheet(dashboard)'!$D$27*12,'Input sheet(dashboard)'!$D$12/12,0)</f>
        <v>192.5</v>
      </c>
      <c r="R218" s="3">
        <f>IF(B218&lt;='Input sheet(dashboard)'!$D$27*12,('Input sheet(dashboard)'!$D$15/12)*(1+'Input sheet(dashboard)'!$E$22)^Calculations!B218,0)</f>
        <v>518.81756000795292</v>
      </c>
      <c r="S218" s="3">
        <f>IF(B218&lt;='Input sheet(dashboard)'!$D$27*12,(E218+G218+K218+L218-O218+M218+Q218+R218),0)</f>
        <v>68542.95528879411</v>
      </c>
      <c r="T218" s="3">
        <f>IF(B218&lt;='Input sheet(dashboard)'!$D$27*12,IF(D218=12,SUM(S207:S218),0),0)</f>
        <v>0</v>
      </c>
      <c r="U218" s="3">
        <f>IF(B218&lt;='Input sheet(dashboard)'!$D$27*12,IF(S218&lt;AD218,AD218-S218,0),0)</f>
        <v>0</v>
      </c>
      <c r="V218" s="3">
        <f>IF(B218&lt;='Input sheet(dashboard)'!$D$27*12,V217*(1+'Input sheet(dashboard)'!$E$25)+U218,0)</f>
        <v>4882.7189387849048</v>
      </c>
      <c r="W218" s="17">
        <f>IF(B218&lt;='Input sheet(dashboard)'!$D$27*12,J218-I218+V218-N218,0)</f>
        <v>16780582.767553482</v>
      </c>
      <c r="X218" s="3">
        <f>IF(B218&lt;='Input sheet(dashboard)'!$D$27*12,'Input sheet(dashboard)'!$D$17*(1+'Input sheet(dashboard)'!$E$23)^(B218-1),0)</f>
        <v>61838.56885400592</v>
      </c>
      <c r="Y218" s="3"/>
      <c r="Z218" s="18"/>
      <c r="AA218" s="18"/>
      <c r="AB218" s="3">
        <f>IF(B218=1,'Input sheet(dashboard)'!$D$18*Calculations!X218,IF(Calculations!B218=12*'Input sheet(dashboard)'!$D$27,'Input sheet(dashboard)'!$D$18*-Calculations!X218,0))</f>
        <v>0</v>
      </c>
      <c r="AC218" s="3">
        <f>IF(B218&lt;='Input sheet(dashboard)'!$D$27*12,IF(MOD(B217,'Input sheet(dashboard)'!$D$19*12),0,'Input sheet(dashboard)'!$D$20*(1+'Input sheet(dashboard)'!$E$22)^Calculations!B218),0)</f>
        <v>0</v>
      </c>
      <c r="AD218" s="17">
        <f t="shared" si="30"/>
        <v>61838.56885400592</v>
      </c>
      <c r="AE218" s="17">
        <f>IF(B218&lt;='Input sheet(dashboard)'!$D$27*12,IF(D218=12,SUM(AD207:AD218),0),0)</f>
        <v>0</v>
      </c>
      <c r="AF218" s="17">
        <f t="shared" si="31"/>
        <v>6704.3864347881899</v>
      </c>
      <c r="AG218" s="17">
        <f t="shared" si="32"/>
        <v>6704.3864347881899</v>
      </c>
      <c r="AH218" s="3">
        <f>IF(B218&lt;='Input sheet(dashboard)'!$D$27*12,AH217*(1+'Input sheet(dashboard)'!$E$25)+AG218," ")</f>
        <v>13402182.110857688</v>
      </c>
    </row>
    <row r="219" spans="2:34">
      <c r="B219">
        <f t="shared" si="27"/>
        <v>216</v>
      </c>
      <c r="C219">
        <f t="shared" si="34"/>
        <v>18</v>
      </c>
      <c r="D219">
        <f t="shared" si="35"/>
        <v>12</v>
      </c>
      <c r="E219" s="15">
        <f>IF(C219&lt;='Input sheet(dashboard)'!$D$6, -PMT('Input sheet(dashboard)'!$E$5,'Input sheet(dashboard)'!$D$6*12,'Input sheet(dashboard)'!$D$3*'Input sheet(dashboard)'!$D$4),0)</f>
        <v>39834.137922259193</v>
      </c>
      <c r="F219" s="3">
        <f>I218*'Input sheet(dashboard)'!$E$5</f>
        <v>16322.872936434274</v>
      </c>
      <c r="G219" s="3">
        <f>IF(C219&lt;='Input sheet(dashboard)'!$D$6,E219*'Input sheet(dashboard)'!$D$7,0)</f>
        <v>3186.7310337807357</v>
      </c>
      <c r="H219" s="3">
        <f t="shared" si="28"/>
        <v>23511.264985824921</v>
      </c>
      <c r="I219" s="3">
        <f t="shared" si="29"/>
        <v>4457361.6494984748</v>
      </c>
      <c r="J219" s="3">
        <f>IF(B219&lt;='Input sheet(dashboard)'!$D$27*12,'Input sheet(dashboard)'!$D$3*(1+'Input sheet(dashboard)'!$E$24)^B219,0)</f>
        <v>21343174.872566819</v>
      </c>
      <c r="K219" s="3">
        <f>IF(B219&lt;='Input sheet(dashboard)'!$D$27*12,J219*'Input sheet(dashboard)'!$E$8,0)</f>
        <v>22106.108315271213</v>
      </c>
      <c r="L219" s="3">
        <f>IF(B219&lt;='Input sheet(dashboard)'!$D$27*12,'Input sheet(dashboard)'!$D$9*(1+'Input sheet(dashboard)'!$E$22)^B219,0)</f>
        <v>4678.9761531193972</v>
      </c>
      <c r="M219" s="3">
        <f>IF(B219=1,'Input sheet(dashboard)'!$D$3*'Input sheet(dashboard)'!$D$10,0)</f>
        <v>0</v>
      </c>
      <c r="N219" s="3">
        <f>IF(B219='Input sheet(dashboard)'!$D$27*12,J219*'Input sheet(dashboard)'!$D$11,0)</f>
        <v>0</v>
      </c>
      <c r="O219" s="3">
        <f>IF(SUM(F219:F230)&gt;=150000,150000/12*'Input sheet(dashboard)'!$D$28,SUM(F219:F230)/12*'Input sheet(dashboard)'!$D$28)</f>
        <v>1875</v>
      </c>
      <c r="P219" s="3">
        <f t="shared" si="33"/>
        <v>22500</v>
      </c>
      <c r="Q219" s="3">
        <f>IF(B219&lt;='Input sheet(dashboard)'!$D$27*12,'Input sheet(dashboard)'!$D$12/12,0)</f>
        <v>192.5</v>
      </c>
      <c r="R219" s="3">
        <f>IF(B219&lt;='Input sheet(dashboard)'!$D$27*12,('Input sheet(dashboard)'!$D$15/12)*(1+'Input sheet(dashboard)'!$E$22)^Calculations!B219,0)</f>
        <v>519.88623923548857</v>
      </c>
      <c r="S219" s="3">
        <f>IF(B219&lt;='Input sheet(dashboard)'!$D$27*12,(E219+G219+K219+L219-O219+M219+Q219+R219),0)</f>
        <v>68643.339663666033</v>
      </c>
      <c r="T219" s="3">
        <f>IF(B219&lt;='Input sheet(dashboard)'!$D$27*12,IF(D219=12,SUM(S208:S219),0),0)</f>
        <v>817178.86194700119</v>
      </c>
      <c r="U219" s="3">
        <f>IF(B219&lt;='Input sheet(dashboard)'!$D$27*12,IF(S219&lt;AD219,AD219-S219,0),0)</f>
        <v>0</v>
      </c>
      <c r="V219" s="3">
        <f>IF(B219&lt;='Input sheet(dashboard)'!$D$27*12,V218*(1+'Input sheet(dashboard)'!$E$25)+U219,0)</f>
        <v>4914.1344994557312</v>
      </c>
      <c r="W219" s="17">
        <f>IF(B219&lt;='Input sheet(dashboard)'!$D$27*12,J219-I219+V219-N219,0)</f>
        <v>16890727.357567802</v>
      </c>
      <c r="X219" s="3">
        <f>IF(B219&lt;='Input sheet(dashboard)'!$D$27*12,'Input sheet(dashboard)'!$D$17*(1+'Input sheet(dashboard)'!$E$23)^(B219-1),0)</f>
        <v>62090.506838120804</v>
      </c>
      <c r="Y219" s="3"/>
      <c r="Z219" s="18"/>
      <c r="AA219" s="18"/>
      <c r="AB219" s="3">
        <f>IF(B219=1,'Input sheet(dashboard)'!$D$18*Calculations!X219,IF(Calculations!B219=12*'Input sheet(dashboard)'!$D$27,'Input sheet(dashboard)'!$D$18*-Calculations!X219,0))</f>
        <v>0</v>
      </c>
      <c r="AC219" s="3">
        <f>IF(B219&lt;='Input sheet(dashboard)'!$D$27*12,IF(MOD(B218,'Input sheet(dashboard)'!$D$19*12),0,'Input sheet(dashboard)'!$D$20*(1+'Input sheet(dashboard)'!$E$22)^Calculations!B219),0)</f>
        <v>0</v>
      </c>
      <c r="AD219" s="17">
        <f t="shared" si="30"/>
        <v>62090.506838120804</v>
      </c>
      <c r="AE219" s="17">
        <f>IF(B219&lt;='Input sheet(dashboard)'!$D$27*12,IF(D219=12,SUM(AD208:AD219),0),0)</f>
        <v>740979.86775107065</v>
      </c>
      <c r="AF219" s="17">
        <f t="shared" si="31"/>
        <v>6552.8328255452288</v>
      </c>
      <c r="AG219" s="17">
        <f t="shared" si="32"/>
        <v>6552.8328255452288</v>
      </c>
      <c r="AH219" s="3">
        <f>IF(B219&lt;='Input sheet(dashboard)'!$D$27*12,AH218*(1+'Input sheet(dashboard)'!$E$25)+AG219," ")</f>
        <v>13494964.98692424</v>
      </c>
    </row>
    <row r="220" spans="2:34">
      <c r="B220">
        <f t="shared" si="27"/>
        <v>217</v>
      </c>
      <c r="C220">
        <f t="shared" si="34"/>
        <v>19</v>
      </c>
      <c r="D220">
        <f t="shared" si="35"/>
        <v>1</v>
      </c>
      <c r="E220" s="15">
        <f>IF(C220&lt;='Input sheet(dashboard)'!$D$6, -PMT('Input sheet(dashboard)'!$E$5,'Input sheet(dashboard)'!$D$6*12,'Input sheet(dashboard)'!$D$3*'Input sheet(dashboard)'!$D$4),0)</f>
        <v>39834.137922259193</v>
      </c>
      <c r="F220" s="3">
        <f>I219*'Input sheet(dashboard)'!$E$5</f>
        <v>16237.226367503938</v>
      </c>
      <c r="G220" s="3">
        <f>IF(C220&lt;='Input sheet(dashboard)'!$D$6,E220*'Input sheet(dashboard)'!$D$7,0)</f>
        <v>3186.7310337807357</v>
      </c>
      <c r="H220" s="3">
        <f t="shared" si="28"/>
        <v>23596.911554755257</v>
      </c>
      <c r="I220" s="3">
        <f t="shared" si="29"/>
        <v>4433764.7379437191</v>
      </c>
      <c r="J220" s="3">
        <f>IF(B220&lt;='Input sheet(dashboard)'!$D$27*12,'Input sheet(dashboard)'!$D$3*(1+'Input sheet(dashboard)'!$E$24)^B220,0)</f>
        <v>21430129.608933713</v>
      </c>
      <c r="K220" s="3">
        <f>IF(B220&lt;='Input sheet(dashboard)'!$D$27*12,J220*'Input sheet(dashboard)'!$E$8,0)</f>
        <v>22196.171336922369</v>
      </c>
      <c r="L220" s="3">
        <f>IF(B220&lt;='Input sheet(dashboard)'!$D$27*12,'Input sheet(dashboard)'!$D$9*(1+'Input sheet(dashboard)'!$E$22)^B220,0)</f>
        <v>4688.614077905323</v>
      </c>
      <c r="M220" s="3">
        <f>IF(B220=1,'Input sheet(dashboard)'!$D$3*'Input sheet(dashboard)'!$D$10,0)</f>
        <v>0</v>
      </c>
      <c r="N220" s="3">
        <f>IF(B220='Input sheet(dashboard)'!$D$27*12,J220*'Input sheet(dashboard)'!$D$11,0)</f>
        <v>0</v>
      </c>
      <c r="O220" s="3">
        <f>IF(SUM(F220:F231)&gt;=150000,150000/12*'Input sheet(dashboard)'!$D$28,SUM(F220:F231)/12*'Input sheet(dashboard)'!$D$28)</f>
        <v>1875</v>
      </c>
      <c r="P220" s="3">
        <f t="shared" si="33"/>
        <v>0</v>
      </c>
      <c r="Q220" s="3">
        <f>IF(B220&lt;='Input sheet(dashboard)'!$D$27*12,'Input sheet(dashboard)'!$D$12/12,0)</f>
        <v>192.5</v>
      </c>
      <c r="R220" s="3">
        <f>IF(B220&lt;='Input sheet(dashboard)'!$D$27*12,('Input sheet(dashboard)'!$D$15/12)*(1+'Input sheet(dashboard)'!$E$22)^Calculations!B220,0)</f>
        <v>520.95711976725806</v>
      </c>
      <c r="S220" s="3">
        <f>IF(B220&lt;='Input sheet(dashboard)'!$D$27*12,(E220+G220+K220+L220-O220+M220+Q220+R220),0)</f>
        <v>68744.111490634881</v>
      </c>
      <c r="T220" s="3">
        <f>IF(B220&lt;='Input sheet(dashboard)'!$D$27*12,IF(D220=12,SUM(S209:S220),0),0)</f>
        <v>0</v>
      </c>
      <c r="U220" s="3">
        <f>IF(B220&lt;='Input sheet(dashboard)'!$D$27*12,IF(S220&lt;AD220,AD220-S220,0),0)</f>
        <v>0</v>
      </c>
      <c r="V220" s="3">
        <f>IF(B220&lt;='Input sheet(dashboard)'!$D$27*12,V219*(1+'Input sheet(dashboard)'!$E$25)+U220,0)</f>
        <v>4945.7521887898356</v>
      </c>
      <c r="W220" s="17">
        <f>IF(B220&lt;='Input sheet(dashboard)'!$D$27*12,J220-I220+V220-N220,0)</f>
        <v>17001310.623178784</v>
      </c>
      <c r="X220" s="3">
        <f>IF(B220&lt;='Input sheet(dashboard)'!$D$27*12,'Input sheet(dashboard)'!$D$17*(1+'Input sheet(dashboard)'!$E$23)^(B220-1),0)</f>
        <v>62343.471248768779</v>
      </c>
      <c r="Y220" s="3"/>
      <c r="Z220" s="18"/>
      <c r="AA220" s="18"/>
      <c r="AB220" s="3">
        <f>IF(B220=1,'Input sheet(dashboard)'!$D$18*Calculations!X220,IF(Calculations!B220=12*'Input sheet(dashboard)'!$D$27,'Input sheet(dashboard)'!$D$18*-Calculations!X220,0))</f>
        <v>0</v>
      </c>
      <c r="AC220" s="3">
        <f>IF(B220&lt;='Input sheet(dashboard)'!$D$27*12,IF(MOD(B219,'Input sheet(dashboard)'!$D$19*12),0,'Input sheet(dashboard)'!$D$20*(1+'Input sheet(dashboard)'!$E$22)^Calculations!B220),0)</f>
        <v>0</v>
      </c>
      <c r="AD220" s="17">
        <f t="shared" si="30"/>
        <v>62343.471248768779</v>
      </c>
      <c r="AE220" s="17">
        <f>IF(B220&lt;='Input sheet(dashboard)'!$D$27*12,IF(D220=12,SUM(AD209:AD220),0),0)</f>
        <v>0</v>
      </c>
      <c r="AF220" s="17">
        <f t="shared" si="31"/>
        <v>6400.6402418661019</v>
      </c>
      <c r="AG220" s="17">
        <f t="shared" si="32"/>
        <v>6400.6402418661019</v>
      </c>
      <c r="AH220" s="3">
        <f>IF(B220&lt;='Input sheet(dashboard)'!$D$27*12,AH219*(1+'Input sheet(dashboard)'!$E$25)+AG220," ")</f>
        <v>13588192.638225419</v>
      </c>
    </row>
    <row r="221" spans="2:34">
      <c r="B221">
        <f t="shared" si="27"/>
        <v>218</v>
      </c>
      <c r="C221">
        <f t="shared" si="34"/>
        <v>19</v>
      </c>
      <c r="D221">
        <f t="shared" si="35"/>
        <v>2</v>
      </c>
      <c r="E221" s="15">
        <f>IF(C221&lt;='Input sheet(dashboard)'!$D$6, -PMT('Input sheet(dashboard)'!$E$5,'Input sheet(dashboard)'!$D$6*12,'Input sheet(dashboard)'!$D$3*'Input sheet(dashboard)'!$D$4),0)</f>
        <v>39834.137922259193</v>
      </c>
      <c r="F221" s="3">
        <f>I220*'Input sheet(dashboard)'!$E$5</f>
        <v>16151.267806225509</v>
      </c>
      <c r="G221" s="3">
        <f>IF(C221&lt;='Input sheet(dashboard)'!$D$6,E221*'Input sheet(dashboard)'!$D$7,0)</f>
        <v>3186.7310337807357</v>
      </c>
      <c r="H221" s="3">
        <f t="shared" si="28"/>
        <v>23682.870116033686</v>
      </c>
      <c r="I221" s="3">
        <f t="shared" si="29"/>
        <v>4410081.8678276855</v>
      </c>
      <c r="J221" s="3">
        <f>IF(B221&lt;='Input sheet(dashboard)'!$D$27*12,'Input sheet(dashboard)'!$D$3*(1+'Input sheet(dashboard)'!$E$24)^B221,0)</f>
        <v>21517438.609660134</v>
      </c>
      <c r="K221" s="3">
        <f>IF(B221&lt;='Input sheet(dashboard)'!$D$27*12,J221*'Input sheet(dashboard)'!$E$8,0)</f>
        <v>22286.601286472054</v>
      </c>
      <c r="L221" s="3">
        <f>IF(B221&lt;='Input sheet(dashboard)'!$D$27*12,'Input sheet(dashboard)'!$D$9*(1+'Input sheet(dashboard)'!$E$22)^B221,0)</f>
        <v>4698.2718552382867</v>
      </c>
      <c r="M221" s="3">
        <f>IF(B221=1,'Input sheet(dashboard)'!$D$3*'Input sheet(dashboard)'!$D$10,0)</f>
        <v>0</v>
      </c>
      <c r="N221" s="3">
        <f>IF(B221='Input sheet(dashboard)'!$D$27*12,J221*'Input sheet(dashboard)'!$D$11,0)</f>
        <v>0</v>
      </c>
      <c r="O221" s="3">
        <f>IF(SUM(F221:F232)&gt;=150000,150000/12*'Input sheet(dashboard)'!$D$28,SUM(F221:F232)/12*'Input sheet(dashboard)'!$D$28)</f>
        <v>1875</v>
      </c>
      <c r="P221" s="3">
        <f t="shared" si="33"/>
        <v>0</v>
      </c>
      <c r="Q221" s="3">
        <f>IF(B221&lt;='Input sheet(dashboard)'!$D$27*12,'Input sheet(dashboard)'!$D$12/12,0)</f>
        <v>192.5</v>
      </c>
      <c r="R221" s="3">
        <f>IF(B221&lt;='Input sheet(dashboard)'!$D$27*12,('Input sheet(dashboard)'!$D$15/12)*(1+'Input sheet(dashboard)'!$E$22)^Calculations!B221,0)</f>
        <v>522.03020613758736</v>
      </c>
      <c r="S221" s="3">
        <f>IF(B221&lt;='Input sheet(dashboard)'!$D$27*12,(E221+G221+K221+L221-O221+M221+Q221+R221),0)</f>
        <v>68845.272303887861</v>
      </c>
      <c r="T221" s="3">
        <f>IF(B221&lt;='Input sheet(dashboard)'!$D$27*12,IF(D221=12,SUM(S210:S221),0),0)</f>
        <v>0</v>
      </c>
      <c r="U221" s="3">
        <f>IF(B221&lt;='Input sheet(dashboard)'!$D$27*12,IF(S221&lt;AD221,AD221-S221,0),0)</f>
        <v>0</v>
      </c>
      <c r="V221" s="3">
        <f>IF(B221&lt;='Input sheet(dashboard)'!$D$27*12,V220*(1+'Input sheet(dashboard)'!$E$25)+U221,0)</f>
        <v>4977.5733072891244</v>
      </c>
      <c r="W221" s="17">
        <f>IF(B221&lt;='Input sheet(dashboard)'!$D$27*12,J221-I221+V221-N221,0)</f>
        <v>17112334.315139741</v>
      </c>
      <c r="X221" s="3">
        <f>IF(B221&lt;='Input sheet(dashboard)'!$D$27*12,'Input sheet(dashboard)'!$D$17*(1+'Input sheet(dashboard)'!$E$23)^(B221-1),0)</f>
        <v>62597.4662677386</v>
      </c>
      <c r="Y221" s="3"/>
      <c r="Z221" s="18"/>
      <c r="AA221" s="18"/>
      <c r="AB221" s="3">
        <f>IF(B221=1,'Input sheet(dashboard)'!$D$18*Calculations!X221,IF(Calculations!B221=12*'Input sheet(dashboard)'!$D$27,'Input sheet(dashboard)'!$D$18*-Calculations!X221,0))</f>
        <v>0</v>
      </c>
      <c r="AC221" s="3">
        <f>IF(B221&lt;='Input sheet(dashboard)'!$D$27*12,IF(MOD(B220,'Input sheet(dashboard)'!$D$19*12),0,'Input sheet(dashboard)'!$D$20*(1+'Input sheet(dashboard)'!$E$22)^Calculations!B221),0)</f>
        <v>0</v>
      </c>
      <c r="AD221" s="17">
        <f t="shared" si="30"/>
        <v>62597.4662677386</v>
      </c>
      <c r="AE221" s="17">
        <f>IF(B221&lt;='Input sheet(dashboard)'!$D$27*12,IF(D221=12,SUM(AD210:AD221),0),0)</f>
        <v>0</v>
      </c>
      <c r="AF221" s="17">
        <f t="shared" si="31"/>
        <v>6247.8060361492608</v>
      </c>
      <c r="AG221" s="17">
        <f t="shared" si="32"/>
        <v>6247.8060361492608</v>
      </c>
      <c r="AH221" s="3">
        <f>IF(B221&lt;='Input sheet(dashboard)'!$D$27*12,AH220*(1+'Input sheet(dashboard)'!$E$25)+AG221," ")</f>
        <v>13681867.284836439</v>
      </c>
    </row>
    <row r="222" spans="2:34">
      <c r="B222">
        <f t="shared" si="27"/>
        <v>219</v>
      </c>
      <c r="C222">
        <f t="shared" si="34"/>
        <v>19</v>
      </c>
      <c r="D222">
        <f t="shared" si="35"/>
        <v>3</v>
      </c>
      <c r="E222" s="15">
        <f>IF(C222&lt;='Input sheet(dashboard)'!$D$6, -PMT('Input sheet(dashboard)'!$E$5,'Input sheet(dashboard)'!$D$6*12,'Input sheet(dashboard)'!$D$3*'Input sheet(dashboard)'!$D$4),0)</f>
        <v>39834.137922259193</v>
      </c>
      <c r="F222" s="3">
        <f>I221*'Input sheet(dashboard)'!$E$5</f>
        <v>16064.996116076809</v>
      </c>
      <c r="G222" s="3">
        <f>IF(C222&lt;='Input sheet(dashboard)'!$D$6,E222*'Input sheet(dashboard)'!$D$7,0)</f>
        <v>3186.7310337807357</v>
      </c>
      <c r="H222" s="3">
        <f t="shared" si="28"/>
        <v>23769.141806182386</v>
      </c>
      <c r="I222" s="3">
        <f t="shared" si="29"/>
        <v>4386312.7260215031</v>
      </c>
      <c r="J222" s="3">
        <f>IF(B222&lt;='Input sheet(dashboard)'!$D$27*12,'Input sheet(dashboard)'!$D$3*(1+'Input sheet(dashboard)'!$E$24)^B222,0)</f>
        <v>21605103.318062942</v>
      </c>
      <c r="K222" s="3">
        <f>IF(B222&lt;='Input sheet(dashboard)'!$D$27*12,J222*'Input sheet(dashboard)'!$E$8,0)</f>
        <v>22377.399658829956</v>
      </c>
      <c r="L222" s="3">
        <f>IF(B222&lt;='Input sheet(dashboard)'!$D$27*12,'Input sheet(dashboard)'!$D$9*(1+'Input sheet(dashboard)'!$E$22)^B222,0)</f>
        <v>4707.9495260112881</v>
      </c>
      <c r="M222" s="3">
        <f>IF(B222=1,'Input sheet(dashboard)'!$D$3*'Input sheet(dashboard)'!$D$10,0)</f>
        <v>0</v>
      </c>
      <c r="N222" s="3">
        <f>IF(B222='Input sheet(dashboard)'!$D$27*12,J222*'Input sheet(dashboard)'!$D$11,0)</f>
        <v>0</v>
      </c>
      <c r="O222" s="3">
        <f>IF(SUM(F222:F233)&gt;=150000,150000/12*'Input sheet(dashboard)'!$D$28,SUM(F222:F233)/12*'Input sheet(dashboard)'!$D$28)</f>
        <v>1875</v>
      </c>
      <c r="P222" s="3">
        <f t="shared" si="33"/>
        <v>0</v>
      </c>
      <c r="Q222" s="3">
        <f>IF(B222&lt;='Input sheet(dashboard)'!$D$27*12,'Input sheet(dashboard)'!$D$12/12,0)</f>
        <v>192.5</v>
      </c>
      <c r="R222" s="3">
        <f>IF(B222&lt;='Input sheet(dashboard)'!$D$27*12,('Input sheet(dashboard)'!$D$15/12)*(1+'Input sheet(dashboard)'!$E$22)^Calculations!B222,0)</f>
        <v>523.10550289014316</v>
      </c>
      <c r="S222" s="3">
        <f>IF(B222&lt;='Input sheet(dashboard)'!$D$27*12,(E222+G222+K222+L222-O222+M222+Q222+R222),0)</f>
        <v>68946.82364377132</v>
      </c>
      <c r="T222" s="3">
        <f>IF(B222&lt;='Input sheet(dashboard)'!$D$27*12,IF(D222=12,SUM(S211:S222),0),0)</f>
        <v>0</v>
      </c>
      <c r="U222" s="3">
        <f>IF(B222&lt;='Input sheet(dashboard)'!$D$27*12,IF(S222&lt;AD222,AD222-S222,0),0)</f>
        <v>0</v>
      </c>
      <c r="V222" s="3">
        <f>IF(B222&lt;='Input sheet(dashboard)'!$D$27*12,V221*(1+'Input sheet(dashboard)'!$E$25)+U222,0)</f>
        <v>5009.5991638229716</v>
      </c>
      <c r="W222" s="17">
        <f>IF(B222&lt;='Input sheet(dashboard)'!$D$27*12,J222-I222+V222-N222,0)</f>
        <v>17223800.191205263</v>
      </c>
      <c r="X222" s="3">
        <f>IF(B222&lt;='Input sheet(dashboard)'!$D$27*12,'Input sheet(dashboard)'!$D$17*(1+'Input sheet(dashboard)'!$E$23)^(B222-1),0)</f>
        <v>62852.496093856113</v>
      </c>
      <c r="Y222" s="3"/>
      <c r="Z222" s="18"/>
      <c r="AA222" s="18"/>
      <c r="AB222" s="3">
        <f>IF(B222=1,'Input sheet(dashboard)'!$D$18*Calculations!X222,IF(Calculations!B222=12*'Input sheet(dashboard)'!$D$27,'Input sheet(dashboard)'!$D$18*-Calculations!X222,0))</f>
        <v>0</v>
      </c>
      <c r="AC222" s="3">
        <f>IF(B222&lt;='Input sheet(dashboard)'!$D$27*12,IF(MOD(B221,'Input sheet(dashboard)'!$D$19*12),0,'Input sheet(dashboard)'!$D$20*(1+'Input sheet(dashboard)'!$E$22)^Calculations!B222),0)</f>
        <v>0</v>
      </c>
      <c r="AD222" s="17">
        <f t="shared" si="30"/>
        <v>62852.496093856113</v>
      </c>
      <c r="AE222" s="17">
        <f>IF(B222&lt;='Input sheet(dashboard)'!$D$27*12,IF(D222=12,SUM(AD211:AD222),0),0)</f>
        <v>0</v>
      </c>
      <c r="AF222" s="17">
        <f t="shared" si="31"/>
        <v>6094.3275499152078</v>
      </c>
      <c r="AG222" s="17">
        <f t="shared" si="32"/>
        <v>6094.3275499152078</v>
      </c>
      <c r="AH222" s="3">
        <f>IF(B222&lt;='Input sheet(dashboard)'!$D$27*12,AH221*(1+'Input sheet(dashboard)'!$E$25)+AG222," ")</f>
        <v>13775991.158458063</v>
      </c>
    </row>
    <row r="223" spans="2:34">
      <c r="B223">
        <f t="shared" si="27"/>
        <v>220</v>
      </c>
      <c r="C223">
        <f t="shared" si="34"/>
        <v>19</v>
      </c>
      <c r="D223">
        <f t="shared" si="35"/>
        <v>4</v>
      </c>
      <c r="E223" s="15">
        <f>IF(C223&lt;='Input sheet(dashboard)'!$D$6, -PMT('Input sheet(dashboard)'!$E$5,'Input sheet(dashboard)'!$D$6*12,'Input sheet(dashboard)'!$D$3*'Input sheet(dashboard)'!$D$4),0)</f>
        <v>39834.137922259193</v>
      </c>
      <c r="F223" s="3">
        <f>I222*'Input sheet(dashboard)'!$E$5</f>
        <v>15978.410156395545</v>
      </c>
      <c r="G223" s="3">
        <f>IF(C223&lt;='Input sheet(dashboard)'!$D$6,E223*'Input sheet(dashboard)'!$D$7,0)</f>
        <v>3186.7310337807357</v>
      </c>
      <c r="H223" s="3">
        <f t="shared" si="28"/>
        <v>23855.727765863649</v>
      </c>
      <c r="I223" s="3">
        <f t="shared" si="29"/>
        <v>4362456.9982556393</v>
      </c>
      <c r="J223" s="3">
        <f>IF(B223&lt;='Input sheet(dashboard)'!$D$27*12,'Input sheet(dashboard)'!$D$3*(1+'Input sheet(dashboard)'!$E$24)^B223,0)</f>
        <v>21693125.183339246</v>
      </c>
      <c r="K223" s="3">
        <f>IF(B223&lt;='Input sheet(dashboard)'!$D$27*12,J223*'Input sheet(dashboard)'!$E$8,0)</f>
        <v>22468.567954996204</v>
      </c>
      <c r="L223" s="3">
        <f>IF(B223&lt;='Input sheet(dashboard)'!$D$27*12,'Input sheet(dashboard)'!$D$9*(1+'Input sheet(dashboard)'!$E$22)^B223,0)</f>
        <v>4717.6471312015556</v>
      </c>
      <c r="M223" s="3">
        <f>IF(B223=1,'Input sheet(dashboard)'!$D$3*'Input sheet(dashboard)'!$D$10,0)</f>
        <v>0</v>
      </c>
      <c r="N223" s="3">
        <f>IF(B223='Input sheet(dashboard)'!$D$27*12,J223*'Input sheet(dashboard)'!$D$11,0)</f>
        <v>0</v>
      </c>
      <c r="O223" s="3">
        <f>IF(SUM(F223:F234)&gt;=150000,150000/12*'Input sheet(dashboard)'!$D$28,SUM(F223:F234)/12*'Input sheet(dashboard)'!$D$28)</f>
        <v>1875</v>
      </c>
      <c r="P223" s="3">
        <f t="shared" si="33"/>
        <v>0</v>
      </c>
      <c r="Q223" s="3">
        <f>IF(B223&lt;='Input sheet(dashboard)'!$D$27*12,'Input sheet(dashboard)'!$D$12/12,0)</f>
        <v>192.5</v>
      </c>
      <c r="R223" s="3">
        <f>IF(B223&lt;='Input sheet(dashboard)'!$D$27*12,('Input sheet(dashboard)'!$D$15/12)*(1+'Input sheet(dashboard)'!$E$22)^Calculations!B223,0)</f>
        <v>524.18301457795053</v>
      </c>
      <c r="S223" s="3">
        <f>IF(B223&lt;='Input sheet(dashboard)'!$D$27*12,(E223+G223+K223+L223-O223+M223+Q223+R223),0)</f>
        <v>69048.767056815632</v>
      </c>
      <c r="T223" s="3">
        <f>IF(B223&lt;='Input sheet(dashboard)'!$D$27*12,IF(D223=12,SUM(S212:S223),0),0)</f>
        <v>0</v>
      </c>
      <c r="U223" s="3">
        <f>IF(B223&lt;='Input sheet(dashboard)'!$D$27*12,IF(S223&lt;AD223,AD223-S223,0),0)</f>
        <v>0</v>
      </c>
      <c r="V223" s="3">
        <f>IF(B223&lt;='Input sheet(dashboard)'!$D$27*12,V222*(1+'Input sheet(dashboard)'!$E$25)+U223,0)</f>
        <v>5041.8310756820565</v>
      </c>
      <c r="W223" s="17">
        <f>IF(B223&lt;='Input sheet(dashboard)'!$D$27*12,J223-I223+V223-N223,0)</f>
        <v>17335710.016159289</v>
      </c>
      <c r="X223" s="3">
        <f>IF(B223&lt;='Input sheet(dashboard)'!$D$27*12,'Input sheet(dashboard)'!$D$17*(1+'Input sheet(dashboard)'!$E$23)^(B223-1),0)</f>
        <v>63108.564943053752</v>
      </c>
      <c r="Y223" s="3"/>
      <c r="Z223" s="18"/>
      <c r="AA223" s="18"/>
      <c r="AB223" s="3">
        <f>IF(B223=1,'Input sheet(dashboard)'!$D$18*Calculations!X223,IF(Calculations!B223=12*'Input sheet(dashboard)'!$D$27,'Input sheet(dashboard)'!$D$18*-Calculations!X223,0))</f>
        <v>0</v>
      </c>
      <c r="AC223" s="3">
        <f>IF(B223&lt;='Input sheet(dashboard)'!$D$27*12,IF(MOD(B222,'Input sheet(dashboard)'!$D$19*12),0,'Input sheet(dashboard)'!$D$20*(1+'Input sheet(dashboard)'!$E$22)^Calculations!B223),0)</f>
        <v>0</v>
      </c>
      <c r="AD223" s="17">
        <f t="shared" si="30"/>
        <v>63108.564943053752</v>
      </c>
      <c r="AE223" s="17">
        <f>IF(B223&lt;='Input sheet(dashboard)'!$D$27*12,IF(D223=12,SUM(AD212:AD223),0),0)</f>
        <v>0</v>
      </c>
      <c r="AF223" s="17">
        <f t="shared" si="31"/>
        <v>5940.2021137618794</v>
      </c>
      <c r="AG223" s="17">
        <f t="shared" si="32"/>
        <v>5940.2021137618794</v>
      </c>
      <c r="AH223" s="3">
        <f>IF(B223&lt;='Input sheet(dashboard)'!$D$27*12,AH222*(1+'Input sheet(dashboard)'!$E$25)+AG223," ")</f>
        <v>13870566.502480486</v>
      </c>
    </row>
    <row r="224" spans="2:34">
      <c r="B224">
        <f t="shared" si="27"/>
        <v>221</v>
      </c>
      <c r="C224">
        <f t="shared" si="34"/>
        <v>19</v>
      </c>
      <c r="D224">
        <f t="shared" si="35"/>
        <v>5</v>
      </c>
      <c r="E224" s="15">
        <f>IF(C224&lt;='Input sheet(dashboard)'!$D$6, -PMT('Input sheet(dashboard)'!$E$5,'Input sheet(dashboard)'!$D$6*12,'Input sheet(dashboard)'!$D$3*'Input sheet(dashboard)'!$D$4),0)</f>
        <v>39834.137922259193</v>
      </c>
      <c r="F224" s="3">
        <f>I223*'Input sheet(dashboard)'!$E$5</f>
        <v>15891.508782364235</v>
      </c>
      <c r="G224" s="3">
        <f>IF(C224&lt;='Input sheet(dashboard)'!$D$6,E224*'Input sheet(dashboard)'!$D$7,0)</f>
        <v>3186.7310337807357</v>
      </c>
      <c r="H224" s="3">
        <f t="shared" si="28"/>
        <v>23942.629139894958</v>
      </c>
      <c r="I224" s="3">
        <f t="shared" si="29"/>
        <v>4338514.3691157447</v>
      </c>
      <c r="J224" s="3">
        <f>IF(B224&lt;='Input sheet(dashboard)'!$D$27*12,'Input sheet(dashboard)'!$D$3*(1+'Input sheet(dashboard)'!$E$24)^B224,0)</f>
        <v>21781505.660590351</v>
      </c>
      <c r="K224" s="3">
        <f>IF(B224&lt;='Input sheet(dashboard)'!$D$27*12,J224*'Input sheet(dashboard)'!$E$8,0)</f>
        <v>22560.107682086174</v>
      </c>
      <c r="L224" s="3">
        <f>IF(B224&lt;='Input sheet(dashboard)'!$D$27*12,'Input sheet(dashboard)'!$D$9*(1+'Input sheet(dashboard)'!$E$22)^B224,0)</f>
        <v>4727.3647118707231</v>
      </c>
      <c r="M224" s="3">
        <f>IF(B224=1,'Input sheet(dashboard)'!$D$3*'Input sheet(dashboard)'!$D$10,0)</f>
        <v>0</v>
      </c>
      <c r="N224" s="3">
        <f>IF(B224='Input sheet(dashboard)'!$D$27*12,J224*'Input sheet(dashboard)'!$D$11,0)</f>
        <v>0</v>
      </c>
      <c r="O224" s="3">
        <f>IF(SUM(F224:F235)&gt;=150000,150000/12*'Input sheet(dashboard)'!$D$28,SUM(F224:F235)/12*'Input sheet(dashboard)'!$D$28)</f>
        <v>1875</v>
      </c>
      <c r="P224" s="3">
        <f t="shared" si="33"/>
        <v>0</v>
      </c>
      <c r="Q224" s="3">
        <f>IF(B224&lt;='Input sheet(dashboard)'!$D$27*12,'Input sheet(dashboard)'!$D$12/12,0)</f>
        <v>192.5</v>
      </c>
      <c r="R224" s="3">
        <f>IF(B224&lt;='Input sheet(dashboard)'!$D$27*12,('Input sheet(dashboard)'!$D$15/12)*(1+'Input sheet(dashboard)'!$E$22)^Calculations!B224,0)</f>
        <v>525.26274576341359</v>
      </c>
      <c r="S224" s="3">
        <f>IF(B224&lt;='Input sheet(dashboard)'!$D$27*12,(E224+G224+K224+L224-O224+M224+Q224+R224),0)</f>
        <v>69151.104095760238</v>
      </c>
      <c r="T224" s="3">
        <f>IF(B224&lt;='Input sheet(dashboard)'!$D$27*12,IF(D224=12,SUM(S213:S224),0),0)</f>
        <v>0</v>
      </c>
      <c r="U224" s="3">
        <f>IF(B224&lt;='Input sheet(dashboard)'!$D$27*12,IF(S224&lt;AD224,AD224-S224,0),0)</f>
        <v>0</v>
      </c>
      <c r="V224" s="3">
        <f>IF(B224&lt;='Input sheet(dashboard)'!$D$27*12,V223*(1+'Input sheet(dashboard)'!$E$25)+U224,0)</f>
        <v>5074.2703686325458</v>
      </c>
      <c r="W224" s="17">
        <f>IF(B224&lt;='Input sheet(dashboard)'!$D$27*12,J224-I224+V224-N224,0)</f>
        <v>17448065.561843239</v>
      </c>
      <c r="X224" s="3">
        <f>IF(B224&lt;='Input sheet(dashboard)'!$D$27*12,'Input sheet(dashboard)'!$D$17*(1+'Input sheet(dashboard)'!$E$23)^(B224-1),0)</f>
        <v>63365.677048440171</v>
      </c>
      <c r="Y224" s="3"/>
      <c r="Z224" s="18"/>
      <c r="AA224" s="18"/>
      <c r="AB224" s="3">
        <f>IF(B224=1,'Input sheet(dashboard)'!$D$18*Calculations!X224,IF(Calculations!B224=12*'Input sheet(dashboard)'!$D$27,'Input sheet(dashboard)'!$D$18*-Calculations!X224,0))</f>
        <v>0</v>
      </c>
      <c r="AC224" s="3">
        <f>IF(B224&lt;='Input sheet(dashboard)'!$D$27*12,IF(MOD(B223,'Input sheet(dashboard)'!$D$19*12),0,'Input sheet(dashboard)'!$D$20*(1+'Input sheet(dashboard)'!$E$22)^Calculations!B224),0)</f>
        <v>0</v>
      </c>
      <c r="AD224" s="17">
        <f t="shared" si="30"/>
        <v>63365.677048440171</v>
      </c>
      <c r="AE224" s="17">
        <f>IF(B224&lt;='Input sheet(dashboard)'!$D$27*12,IF(D224=12,SUM(AD213:AD224),0),0)</f>
        <v>0</v>
      </c>
      <c r="AF224" s="17">
        <f t="shared" si="31"/>
        <v>5785.4270473200668</v>
      </c>
      <c r="AG224" s="17">
        <f t="shared" si="32"/>
        <v>5785.4270473200668</v>
      </c>
      <c r="AH224" s="3">
        <f>IF(B224&lt;='Input sheet(dashboard)'!$D$27*12,AH223*(1+'Input sheet(dashboard)'!$E$25)+AG224," ")</f>
        <v>13965595.572047571</v>
      </c>
    </row>
    <row r="225" spans="2:34">
      <c r="B225">
        <f t="shared" si="27"/>
        <v>222</v>
      </c>
      <c r="C225">
        <f t="shared" si="34"/>
        <v>19</v>
      </c>
      <c r="D225">
        <f t="shared" si="35"/>
        <v>6</v>
      </c>
      <c r="E225" s="15">
        <f>IF(C225&lt;='Input sheet(dashboard)'!$D$6, -PMT('Input sheet(dashboard)'!$E$5,'Input sheet(dashboard)'!$D$6*12,'Input sheet(dashboard)'!$D$3*'Input sheet(dashboard)'!$D$4),0)</f>
        <v>39834.137922259193</v>
      </c>
      <c r="F225" s="3">
        <f>I224*'Input sheet(dashboard)'!$E$5</f>
        <v>15804.290844995074</v>
      </c>
      <c r="G225" s="3">
        <f>IF(C225&lt;='Input sheet(dashboard)'!$D$6,E225*'Input sheet(dashboard)'!$D$7,0)</f>
        <v>3186.7310337807357</v>
      </c>
      <c r="H225" s="3">
        <f t="shared" si="28"/>
        <v>24029.847077264119</v>
      </c>
      <c r="I225" s="3">
        <f t="shared" si="29"/>
        <v>4314484.5220384803</v>
      </c>
      <c r="J225" s="3">
        <f>IF(B225&lt;='Input sheet(dashboard)'!$D$27*12,'Input sheet(dashboard)'!$D$3*(1+'Input sheet(dashboard)'!$E$24)^B225,0)</f>
        <v>21870246.210845832</v>
      </c>
      <c r="K225" s="3">
        <f>IF(B225&lt;='Input sheet(dashboard)'!$D$27*12,J225*'Input sheet(dashboard)'!$E$8,0)</f>
        <v>22652.02035335543</v>
      </c>
      <c r="L225" s="3">
        <f>IF(B225&lt;='Input sheet(dashboard)'!$D$27*12,'Input sheet(dashboard)'!$D$9*(1+'Input sheet(dashboard)'!$E$22)^B225,0)</f>
        <v>4737.1023091650095</v>
      </c>
      <c r="M225" s="3">
        <f>IF(B225=1,'Input sheet(dashboard)'!$D$3*'Input sheet(dashboard)'!$D$10,0)</f>
        <v>0</v>
      </c>
      <c r="N225" s="3">
        <f>IF(B225='Input sheet(dashboard)'!$D$27*12,J225*'Input sheet(dashboard)'!$D$11,0)</f>
        <v>0</v>
      </c>
      <c r="O225" s="3">
        <f>IF(SUM(F225:F236)&gt;=150000,150000/12*'Input sheet(dashboard)'!$D$28,SUM(F225:F236)/12*'Input sheet(dashboard)'!$D$28)</f>
        <v>1875</v>
      </c>
      <c r="P225" s="3">
        <f t="shared" si="33"/>
        <v>0</v>
      </c>
      <c r="Q225" s="3">
        <f>IF(B225&lt;='Input sheet(dashboard)'!$D$27*12,'Input sheet(dashboard)'!$D$12/12,0)</f>
        <v>192.5</v>
      </c>
      <c r="R225" s="3">
        <f>IF(B225&lt;='Input sheet(dashboard)'!$D$27*12,('Input sheet(dashboard)'!$D$15/12)*(1+'Input sheet(dashboard)'!$E$22)^Calculations!B225,0)</f>
        <v>526.34470101833426</v>
      </c>
      <c r="S225" s="3">
        <f>IF(B225&lt;='Input sheet(dashboard)'!$D$27*12,(E225+G225+K225+L225-O225+M225+Q225+R225),0)</f>
        <v>69253.83631957871</v>
      </c>
      <c r="T225" s="3">
        <f>IF(B225&lt;='Input sheet(dashboard)'!$D$27*12,IF(D225=12,SUM(S214:S225),0),0)</f>
        <v>0</v>
      </c>
      <c r="U225" s="3">
        <f>IF(B225&lt;='Input sheet(dashboard)'!$D$27*12,IF(S225&lt;AD225,AD225-S225,0),0)</f>
        <v>0</v>
      </c>
      <c r="V225" s="3">
        <f>IF(B225&lt;='Input sheet(dashboard)'!$D$27*12,V224*(1+'Input sheet(dashboard)'!$E$25)+U225,0)</f>
        <v>5106.918376970626</v>
      </c>
      <c r="W225" s="17">
        <f>IF(B225&lt;='Input sheet(dashboard)'!$D$27*12,J225-I225+V225-N225,0)</f>
        <v>17560868.607184324</v>
      </c>
      <c r="X225" s="3">
        <f>IF(B225&lt;='Input sheet(dashboard)'!$D$27*12,'Input sheet(dashboard)'!$D$17*(1+'Input sheet(dashboard)'!$E$23)^(B225-1),0)</f>
        <v>63623.836660370209</v>
      </c>
      <c r="Y225" s="3"/>
      <c r="Z225" s="18"/>
      <c r="AA225" s="18"/>
      <c r="AB225" s="3">
        <f>IF(B225=1,'Input sheet(dashboard)'!$D$18*Calculations!X225,IF(Calculations!B225=12*'Input sheet(dashboard)'!$D$27,'Input sheet(dashboard)'!$D$18*-Calculations!X225,0))</f>
        <v>0</v>
      </c>
      <c r="AC225" s="3">
        <f>IF(B225&lt;='Input sheet(dashboard)'!$D$27*12,IF(MOD(B224,'Input sheet(dashboard)'!$D$19*12),0,'Input sheet(dashboard)'!$D$20*(1+'Input sheet(dashboard)'!$E$22)^Calculations!B225),0)</f>
        <v>0</v>
      </c>
      <c r="AD225" s="17">
        <f t="shared" si="30"/>
        <v>63623.836660370209</v>
      </c>
      <c r="AE225" s="17">
        <f>IF(B225&lt;='Input sheet(dashboard)'!$D$27*12,IF(D225=12,SUM(AD214:AD225),0),0)</f>
        <v>0</v>
      </c>
      <c r="AF225" s="17">
        <f t="shared" si="31"/>
        <v>5629.9996592085008</v>
      </c>
      <c r="AG225" s="17">
        <f t="shared" si="32"/>
        <v>5629.9996592085008</v>
      </c>
      <c r="AH225" s="3">
        <f>IF(B225&lt;='Input sheet(dashboard)'!$D$27*12,AH224*(1+'Input sheet(dashboard)'!$E$25)+AG225," ")</f>
        <v>14061080.634121465</v>
      </c>
    </row>
    <row r="226" spans="2:34">
      <c r="B226">
        <f t="shared" si="27"/>
        <v>223</v>
      </c>
      <c r="C226">
        <f t="shared" si="34"/>
        <v>19</v>
      </c>
      <c r="D226">
        <f t="shared" si="35"/>
        <v>7</v>
      </c>
      <c r="E226" s="15">
        <f>IF(C226&lt;='Input sheet(dashboard)'!$D$6, -PMT('Input sheet(dashboard)'!$E$5,'Input sheet(dashboard)'!$D$6*12,'Input sheet(dashboard)'!$D$3*'Input sheet(dashboard)'!$D$4),0)</f>
        <v>39834.137922259193</v>
      </c>
      <c r="F226" s="3">
        <f>I225*'Input sheet(dashboard)'!$E$5</f>
        <v>15716.755191114724</v>
      </c>
      <c r="G226" s="3">
        <f>IF(C226&lt;='Input sheet(dashboard)'!$D$6,E226*'Input sheet(dashboard)'!$D$7,0)</f>
        <v>3186.7310337807357</v>
      </c>
      <c r="H226" s="3">
        <f t="shared" si="28"/>
        <v>24117.382731144469</v>
      </c>
      <c r="I226" s="3">
        <f t="shared" si="29"/>
        <v>4290367.139307336</v>
      </c>
      <c r="J226" s="3">
        <f>IF(B226&lt;='Input sheet(dashboard)'!$D$27*12,'Input sheet(dashboard)'!$D$3*(1+'Input sheet(dashboard)'!$E$24)^B226,0)</f>
        <v>21959348.301087689</v>
      </c>
      <c r="K226" s="3">
        <f>IF(B226&lt;='Input sheet(dashboard)'!$D$27*12,J226*'Input sheet(dashboard)'!$E$8,0)</f>
        <v>22744.307488224724</v>
      </c>
      <c r="L226" s="3">
        <f>IF(B226&lt;='Input sheet(dashboard)'!$D$27*12,'Input sheet(dashboard)'!$D$9*(1+'Input sheet(dashboard)'!$E$22)^B226,0)</f>
        <v>4746.8599643153839</v>
      </c>
      <c r="M226" s="3">
        <f>IF(B226=1,'Input sheet(dashboard)'!$D$3*'Input sheet(dashboard)'!$D$10,0)</f>
        <v>0</v>
      </c>
      <c r="N226" s="3">
        <f>IF(B226='Input sheet(dashboard)'!$D$27*12,J226*'Input sheet(dashboard)'!$D$11,0)</f>
        <v>0</v>
      </c>
      <c r="O226" s="3">
        <f>IF(SUM(F226:F237)&gt;=150000,150000/12*'Input sheet(dashboard)'!$D$28,SUM(F226:F237)/12*'Input sheet(dashboard)'!$D$28)</f>
        <v>1875</v>
      </c>
      <c r="P226" s="3">
        <f t="shared" si="33"/>
        <v>0</v>
      </c>
      <c r="Q226" s="3">
        <f>IF(B226&lt;='Input sheet(dashboard)'!$D$27*12,'Input sheet(dashboard)'!$D$12/12,0)</f>
        <v>192.5</v>
      </c>
      <c r="R226" s="3">
        <f>IF(B226&lt;='Input sheet(dashboard)'!$D$27*12,('Input sheet(dashboard)'!$D$15/12)*(1+'Input sheet(dashboard)'!$E$22)^Calculations!B226,0)</f>
        <v>527.42888492393149</v>
      </c>
      <c r="S226" s="3">
        <f>IF(B226&lt;='Input sheet(dashboard)'!$D$27*12,(E226+G226+K226+L226-O226+M226+Q226+R226),0)</f>
        <v>69356.965293503978</v>
      </c>
      <c r="T226" s="3">
        <f>IF(B226&lt;='Input sheet(dashboard)'!$D$27*12,IF(D226=12,SUM(S215:S226),0),0)</f>
        <v>0</v>
      </c>
      <c r="U226" s="3">
        <f>IF(B226&lt;='Input sheet(dashboard)'!$D$27*12,IF(S226&lt;AD226,AD226-S226,0),0)</f>
        <v>0</v>
      </c>
      <c r="V226" s="3">
        <f>IF(B226&lt;='Input sheet(dashboard)'!$D$27*12,V225*(1+'Input sheet(dashboard)'!$E$25)+U226,0)</f>
        <v>5139.7764435773852</v>
      </c>
      <c r="W226" s="17">
        <f>IF(B226&lt;='Input sheet(dashboard)'!$D$27*12,J226-I226+V226-N226,0)</f>
        <v>17674120.938223932</v>
      </c>
      <c r="X226" s="3">
        <f>IF(B226&lt;='Input sheet(dashboard)'!$D$27*12,'Input sheet(dashboard)'!$D$17*(1+'Input sheet(dashboard)'!$E$23)^(B226-1),0)</f>
        <v>63883.048046515178</v>
      </c>
      <c r="Y226" s="3"/>
      <c r="Z226" s="18"/>
      <c r="AA226" s="18"/>
      <c r="AB226" s="3">
        <f>IF(B226=1,'Input sheet(dashboard)'!$D$18*Calculations!X226,IF(Calculations!B226=12*'Input sheet(dashboard)'!$D$27,'Input sheet(dashboard)'!$D$18*-Calculations!X226,0))</f>
        <v>0</v>
      </c>
      <c r="AC226" s="3">
        <f>IF(B226&lt;='Input sheet(dashboard)'!$D$27*12,IF(MOD(B225,'Input sheet(dashboard)'!$D$19*12),0,'Input sheet(dashboard)'!$D$20*(1+'Input sheet(dashboard)'!$E$22)^Calculations!B226),0)</f>
        <v>0</v>
      </c>
      <c r="AD226" s="17">
        <f t="shared" si="30"/>
        <v>63883.048046515178</v>
      </c>
      <c r="AE226" s="17">
        <f>IF(B226&lt;='Input sheet(dashboard)'!$D$27*12,IF(D226=12,SUM(AD215:AD226),0),0)</f>
        <v>0</v>
      </c>
      <c r="AF226" s="17">
        <f t="shared" si="31"/>
        <v>5473.9172469887999</v>
      </c>
      <c r="AG226" s="17">
        <f t="shared" si="32"/>
        <v>5473.9172469887999</v>
      </c>
      <c r="AH226" s="3">
        <f>IF(B226&lt;='Input sheet(dashboard)'!$D$27*12,AH225*(1+'Input sheet(dashboard)'!$E$25)+AG226," ")</f>
        <v>14157023.967547577</v>
      </c>
    </row>
    <row r="227" spans="2:34">
      <c r="B227">
        <f t="shared" si="27"/>
        <v>224</v>
      </c>
      <c r="C227">
        <f t="shared" si="34"/>
        <v>19</v>
      </c>
      <c r="D227">
        <f t="shared" si="35"/>
        <v>8</v>
      </c>
      <c r="E227" s="15">
        <f>IF(C227&lt;='Input sheet(dashboard)'!$D$6, -PMT('Input sheet(dashboard)'!$E$5,'Input sheet(dashboard)'!$D$6*12,'Input sheet(dashboard)'!$D$3*'Input sheet(dashboard)'!$D$4),0)</f>
        <v>39834.137922259193</v>
      </c>
      <c r="F227" s="3">
        <f>I226*'Input sheet(dashboard)'!$E$5</f>
        <v>15628.900663349092</v>
      </c>
      <c r="G227" s="3">
        <f>IF(C227&lt;='Input sheet(dashboard)'!$D$6,E227*'Input sheet(dashboard)'!$D$7,0)</f>
        <v>3186.7310337807357</v>
      </c>
      <c r="H227" s="3">
        <f t="shared" si="28"/>
        <v>24205.2372589101</v>
      </c>
      <c r="I227" s="3">
        <f t="shared" si="29"/>
        <v>4266161.9020484257</v>
      </c>
      <c r="J227" s="3">
        <f>IF(B227&lt;='Input sheet(dashboard)'!$D$27*12,'Input sheet(dashboard)'!$D$3*(1+'Input sheet(dashboard)'!$E$24)^B227,0)</f>
        <v>22048813.404274568</v>
      </c>
      <c r="K227" s="3">
        <f>IF(B227&lt;='Input sheet(dashboard)'!$D$27*12,J227*'Input sheet(dashboard)'!$E$8,0)</f>
        <v>22836.970612305115</v>
      </c>
      <c r="L227" s="3">
        <f>IF(B227&lt;='Input sheet(dashboard)'!$D$27*12,'Input sheet(dashboard)'!$D$9*(1+'Input sheet(dashboard)'!$E$22)^B227,0)</f>
        <v>4756.637718637744</v>
      </c>
      <c r="M227" s="3">
        <f>IF(B227=1,'Input sheet(dashboard)'!$D$3*'Input sheet(dashboard)'!$D$10,0)</f>
        <v>0</v>
      </c>
      <c r="N227" s="3">
        <f>IF(B227='Input sheet(dashboard)'!$D$27*12,J227*'Input sheet(dashboard)'!$D$11,0)</f>
        <v>0</v>
      </c>
      <c r="O227" s="3">
        <f>IF(SUM(F227:F238)&gt;=150000,150000/12*'Input sheet(dashboard)'!$D$28,SUM(F227:F238)/12*'Input sheet(dashboard)'!$D$28)</f>
        <v>1875</v>
      </c>
      <c r="P227" s="3">
        <f t="shared" si="33"/>
        <v>0</v>
      </c>
      <c r="Q227" s="3">
        <f>IF(B227&lt;='Input sheet(dashboard)'!$D$27*12,'Input sheet(dashboard)'!$D$12/12,0)</f>
        <v>192.5</v>
      </c>
      <c r="R227" s="3">
        <f>IF(B227&lt;='Input sheet(dashboard)'!$D$27*12,('Input sheet(dashboard)'!$D$15/12)*(1+'Input sheet(dashboard)'!$E$22)^Calculations!B227,0)</f>
        <v>528.51530207086046</v>
      </c>
      <c r="S227" s="3">
        <f>IF(B227&lt;='Input sheet(dashboard)'!$D$27*12,(E227+G227+K227+L227-O227+M227+Q227+R227),0)</f>
        <v>69460.492589053669</v>
      </c>
      <c r="T227" s="3">
        <f>IF(B227&lt;='Input sheet(dashboard)'!$D$27*12,IF(D227=12,SUM(S216:S227),0),0)</f>
        <v>0</v>
      </c>
      <c r="U227" s="3">
        <f>IF(B227&lt;='Input sheet(dashboard)'!$D$27*12,IF(S227&lt;AD227,AD227-S227,0),0)</f>
        <v>0</v>
      </c>
      <c r="V227" s="3">
        <f>IF(B227&lt;='Input sheet(dashboard)'!$D$27*12,V226*(1+'Input sheet(dashboard)'!$E$25)+U227,0)</f>
        <v>5172.8459199740482</v>
      </c>
      <c r="W227" s="17">
        <f>IF(B227&lt;='Input sheet(dashboard)'!$D$27*12,J227-I227+V227-N227,0)</f>
        <v>17787824.348146118</v>
      </c>
      <c r="X227" s="3">
        <f>IF(B227&lt;='Input sheet(dashboard)'!$D$27*12,'Input sheet(dashboard)'!$D$17*(1+'Input sheet(dashboard)'!$E$23)^(B227-1),0)</f>
        <v>64143.315491933448</v>
      </c>
      <c r="Y227" s="3"/>
      <c r="Z227" s="18"/>
      <c r="AA227" s="18"/>
      <c r="AB227" s="3">
        <f>IF(B227=1,'Input sheet(dashboard)'!$D$18*Calculations!X227,IF(Calculations!B227=12*'Input sheet(dashboard)'!$D$27,'Input sheet(dashboard)'!$D$18*-Calculations!X227,0))</f>
        <v>0</v>
      </c>
      <c r="AC227" s="3">
        <f>IF(B227&lt;='Input sheet(dashboard)'!$D$27*12,IF(MOD(B226,'Input sheet(dashboard)'!$D$19*12),0,'Input sheet(dashboard)'!$D$20*(1+'Input sheet(dashboard)'!$E$22)^Calculations!B227),0)</f>
        <v>0</v>
      </c>
      <c r="AD227" s="17">
        <f t="shared" si="30"/>
        <v>64143.315491933448</v>
      </c>
      <c r="AE227" s="17">
        <f>IF(B227&lt;='Input sheet(dashboard)'!$D$27*12,IF(D227=12,SUM(AD216:AD227),0),0)</f>
        <v>0</v>
      </c>
      <c r="AF227" s="17">
        <f t="shared" si="31"/>
        <v>5317.1770971202204</v>
      </c>
      <c r="AG227" s="17">
        <f t="shared" si="32"/>
        <v>5317.1770971202204</v>
      </c>
      <c r="AH227" s="3">
        <f>IF(B227&lt;='Input sheet(dashboard)'!$D$27*12,AH226*(1+'Input sheet(dashboard)'!$E$25)+AG227," ")</f>
        <v>14253427.863119937</v>
      </c>
    </row>
    <row r="228" spans="2:34">
      <c r="B228">
        <f t="shared" si="27"/>
        <v>225</v>
      </c>
      <c r="C228">
        <f t="shared" si="34"/>
        <v>19</v>
      </c>
      <c r="D228">
        <f t="shared" si="35"/>
        <v>9</v>
      </c>
      <c r="E228" s="15">
        <f>IF(C228&lt;='Input sheet(dashboard)'!$D$6, -PMT('Input sheet(dashboard)'!$E$5,'Input sheet(dashboard)'!$D$6*12,'Input sheet(dashboard)'!$D$3*'Input sheet(dashboard)'!$D$4),0)</f>
        <v>39834.137922259193</v>
      </c>
      <c r="F228" s="3">
        <f>I227*'Input sheet(dashboard)'!$E$5</f>
        <v>15540.726100108013</v>
      </c>
      <c r="G228" s="3">
        <f>IF(C228&lt;='Input sheet(dashboard)'!$D$6,E228*'Input sheet(dashboard)'!$D$7,0)</f>
        <v>3186.7310337807357</v>
      </c>
      <c r="H228" s="3">
        <f t="shared" si="28"/>
        <v>24293.411822151182</v>
      </c>
      <c r="I228" s="3">
        <f t="shared" si="29"/>
        <v>4241868.4902262744</v>
      </c>
      <c r="J228" s="3">
        <f>IF(B228&lt;='Input sheet(dashboard)'!$D$27*12,'Input sheet(dashboard)'!$D$3*(1+'Input sheet(dashboard)'!$E$24)^B228,0)</f>
        <v>22138642.999366146</v>
      </c>
      <c r="K228" s="3">
        <f>IF(B228&lt;='Input sheet(dashboard)'!$D$27*12,J228*'Input sheet(dashboard)'!$E$8,0)</f>
        <v>22930.011257423183</v>
      </c>
      <c r="L228" s="3">
        <f>IF(B228&lt;='Input sheet(dashboard)'!$D$27*12,'Input sheet(dashboard)'!$D$9*(1+'Input sheet(dashboard)'!$E$22)^B228,0)</f>
        <v>4766.4356135330954</v>
      </c>
      <c r="M228" s="3">
        <f>IF(B228=1,'Input sheet(dashboard)'!$D$3*'Input sheet(dashboard)'!$D$10,0)</f>
        <v>0</v>
      </c>
      <c r="N228" s="3">
        <f>IF(B228='Input sheet(dashboard)'!$D$27*12,J228*'Input sheet(dashboard)'!$D$11,0)</f>
        <v>0</v>
      </c>
      <c r="O228" s="3">
        <f>IF(SUM(F228:F239)&gt;=150000,150000/12*'Input sheet(dashboard)'!$D$28,SUM(F228:F239)/12*'Input sheet(dashboard)'!$D$28)</f>
        <v>1875</v>
      </c>
      <c r="P228" s="3">
        <f t="shared" si="33"/>
        <v>0</v>
      </c>
      <c r="Q228" s="3">
        <f>IF(B228&lt;='Input sheet(dashboard)'!$D$27*12,'Input sheet(dashboard)'!$D$12/12,0)</f>
        <v>192.5</v>
      </c>
      <c r="R228" s="3">
        <f>IF(B228&lt;='Input sheet(dashboard)'!$D$27*12,('Input sheet(dashboard)'!$D$15/12)*(1+'Input sheet(dashboard)'!$E$22)^Calculations!B228,0)</f>
        <v>529.60395705923281</v>
      </c>
      <c r="S228" s="3">
        <f>IF(B228&lt;='Input sheet(dashboard)'!$D$27*12,(E228+G228+K228+L228-O228+M228+Q228+R228),0)</f>
        <v>69564.419784055426</v>
      </c>
      <c r="T228" s="3">
        <f>IF(B228&lt;='Input sheet(dashboard)'!$D$27*12,IF(D228=12,SUM(S217:S228),0),0)</f>
        <v>0</v>
      </c>
      <c r="U228" s="3">
        <f>IF(B228&lt;='Input sheet(dashboard)'!$D$27*12,IF(S228&lt;AD228,AD228-S228,0),0)</f>
        <v>0</v>
      </c>
      <c r="V228" s="3">
        <f>IF(B228&lt;='Input sheet(dashboard)'!$D$27*12,V227*(1+'Input sheet(dashboard)'!$E$25)+U228,0)</f>
        <v>5206.1281663775699</v>
      </c>
      <c r="W228" s="17">
        <f>IF(B228&lt;='Input sheet(dashboard)'!$D$27*12,J228-I228+V228-N228,0)</f>
        <v>17901980.637306251</v>
      </c>
      <c r="X228" s="3">
        <f>IF(B228&lt;='Input sheet(dashboard)'!$D$27*12,'Input sheet(dashboard)'!$D$17*(1+'Input sheet(dashboard)'!$E$23)^(B228-1),0)</f>
        <v>64404.643299141193</v>
      </c>
      <c r="Y228" s="3"/>
      <c r="Z228" s="18"/>
      <c r="AA228" s="18"/>
      <c r="AB228" s="3">
        <f>IF(B228=1,'Input sheet(dashboard)'!$D$18*Calculations!X228,IF(Calculations!B228=12*'Input sheet(dashboard)'!$D$27,'Input sheet(dashboard)'!$D$18*-Calculations!X228,0))</f>
        <v>0</v>
      </c>
      <c r="AC228" s="3">
        <f>IF(B228&lt;='Input sheet(dashboard)'!$D$27*12,IF(MOD(B227,'Input sheet(dashboard)'!$D$19*12),0,'Input sheet(dashboard)'!$D$20*(1+'Input sheet(dashboard)'!$E$22)^Calculations!B228),0)</f>
        <v>0</v>
      </c>
      <c r="AD228" s="17">
        <f t="shared" si="30"/>
        <v>64404.643299141193</v>
      </c>
      <c r="AE228" s="17">
        <f>IF(B228&lt;='Input sheet(dashboard)'!$D$27*12,IF(D228=12,SUM(AD217:AD228),0),0)</f>
        <v>0</v>
      </c>
      <c r="AF228" s="17">
        <f t="shared" si="31"/>
        <v>5159.7764849142332</v>
      </c>
      <c r="AG228" s="17">
        <f t="shared" si="32"/>
        <v>5159.7764849142332</v>
      </c>
      <c r="AH228" s="3">
        <f>IF(B228&lt;='Input sheet(dashboard)'!$D$27*12,AH227*(1+'Input sheet(dashboard)'!$E$25)+AG228," ")</f>
        <v>14350294.623646928</v>
      </c>
    </row>
    <row r="229" spans="2:34">
      <c r="B229">
        <f t="shared" si="27"/>
        <v>226</v>
      </c>
      <c r="C229">
        <f t="shared" si="34"/>
        <v>19</v>
      </c>
      <c r="D229">
        <f t="shared" si="35"/>
        <v>10</v>
      </c>
      <c r="E229" s="15">
        <f>IF(C229&lt;='Input sheet(dashboard)'!$D$6, -PMT('Input sheet(dashboard)'!$E$5,'Input sheet(dashboard)'!$D$6*12,'Input sheet(dashboard)'!$D$3*'Input sheet(dashboard)'!$D$4),0)</f>
        <v>39834.137922259193</v>
      </c>
      <c r="F229" s="3">
        <f>I228*'Input sheet(dashboard)'!$E$5</f>
        <v>15452.230335569891</v>
      </c>
      <c r="G229" s="3">
        <f>IF(C229&lt;='Input sheet(dashboard)'!$D$6,E229*'Input sheet(dashboard)'!$D$7,0)</f>
        <v>3186.7310337807357</v>
      </c>
      <c r="H229" s="3">
        <f t="shared" si="28"/>
        <v>24381.907586689304</v>
      </c>
      <c r="I229" s="3">
        <f t="shared" si="29"/>
        <v>4217486.5826395852</v>
      </c>
      <c r="J229" s="3">
        <f>IF(B229&lt;='Input sheet(dashboard)'!$D$27*12,'Input sheet(dashboard)'!$D$3*(1+'Input sheet(dashboard)'!$E$24)^B229,0)</f>
        <v>22228838.571347568</v>
      </c>
      <c r="K229" s="3">
        <f>IF(B229&lt;='Input sheet(dashboard)'!$D$27*12,J229*'Input sheet(dashboard)'!$E$8,0)</f>
        <v>23023.43096164638</v>
      </c>
      <c r="L229" s="3">
        <f>IF(B229&lt;='Input sheet(dashboard)'!$D$27*12,'Input sheet(dashboard)'!$D$9*(1+'Input sheet(dashboard)'!$E$22)^B229,0)</f>
        <v>4776.2536904877215</v>
      </c>
      <c r="M229" s="3">
        <f>IF(B229=1,'Input sheet(dashboard)'!$D$3*'Input sheet(dashboard)'!$D$10,0)</f>
        <v>0</v>
      </c>
      <c r="N229" s="3">
        <f>IF(B229='Input sheet(dashboard)'!$D$27*12,J229*'Input sheet(dashboard)'!$D$11,0)</f>
        <v>0</v>
      </c>
      <c r="O229" s="3">
        <f>IF(SUM(F229:F240)&gt;=150000,150000/12*'Input sheet(dashboard)'!$D$28,SUM(F229:F240)/12*'Input sheet(dashboard)'!$D$28)</f>
        <v>1875</v>
      </c>
      <c r="P229" s="3">
        <f t="shared" si="33"/>
        <v>0</v>
      </c>
      <c r="Q229" s="3">
        <f>IF(B229&lt;='Input sheet(dashboard)'!$D$27*12,'Input sheet(dashboard)'!$D$12/12,0)</f>
        <v>192.5</v>
      </c>
      <c r="R229" s="3">
        <f>IF(B229&lt;='Input sheet(dashboard)'!$D$27*12,('Input sheet(dashboard)'!$D$15/12)*(1+'Input sheet(dashboard)'!$E$22)^Calculations!B229,0)</f>
        <v>530.69485449863566</v>
      </c>
      <c r="S229" s="3">
        <f>IF(B229&lt;='Input sheet(dashboard)'!$D$27*12,(E229+G229+K229+L229-O229+M229+Q229+R229),0)</f>
        <v>69668.748462672665</v>
      </c>
      <c r="T229" s="3">
        <f>IF(B229&lt;='Input sheet(dashboard)'!$D$27*12,IF(D229=12,SUM(S218:S229),0),0)</f>
        <v>0</v>
      </c>
      <c r="U229" s="3">
        <f>IF(B229&lt;='Input sheet(dashboard)'!$D$27*12,IF(S229&lt;AD229,AD229-S229,0),0)</f>
        <v>0</v>
      </c>
      <c r="V229" s="3">
        <f>IF(B229&lt;='Input sheet(dashboard)'!$D$27*12,V228*(1+'Input sheet(dashboard)'!$E$25)+U229,0)</f>
        <v>5239.6245517565803</v>
      </c>
      <c r="W229" s="17">
        <f>IF(B229&lt;='Input sheet(dashboard)'!$D$27*12,J229-I229+V229-N229,0)</f>
        <v>18016591.61325974</v>
      </c>
      <c r="X229" s="3">
        <f>IF(B229&lt;='Input sheet(dashboard)'!$D$27*12,'Input sheet(dashboard)'!$D$17*(1+'Input sheet(dashboard)'!$E$23)^(B229-1),0)</f>
        <v>64667.03578818361</v>
      </c>
      <c r="Y229" s="3"/>
      <c r="Z229" s="18"/>
      <c r="AA229" s="18"/>
      <c r="AB229" s="3">
        <f>IF(B229=1,'Input sheet(dashboard)'!$D$18*Calculations!X229,IF(Calculations!B229=12*'Input sheet(dashboard)'!$D$27,'Input sheet(dashboard)'!$D$18*-Calculations!X229,0))</f>
        <v>0</v>
      </c>
      <c r="AC229" s="3">
        <f>IF(B229&lt;='Input sheet(dashboard)'!$D$27*12,IF(MOD(B228,'Input sheet(dashboard)'!$D$19*12),0,'Input sheet(dashboard)'!$D$20*(1+'Input sheet(dashboard)'!$E$22)^Calculations!B229),0)</f>
        <v>0</v>
      </c>
      <c r="AD229" s="17">
        <f t="shared" si="30"/>
        <v>64667.03578818361</v>
      </c>
      <c r="AE229" s="17">
        <f>IF(B229&lt;='Input sheet(dashboard)'!$D$27*12,IF(D229=12,SUM(AD218:AD229),0),0)</f>
        <v>0</v>
      </c>
      <c r="AF229" s="17">
        <f t="shared" si="31"/>
        <v>5001.7126744890556</v>
      </c>
      <c r="AG229" s="17">
        <f t="shared" si="32"/>
        <v>5001.7126744890556</v>
      </c>
      <c r="AH229" s="3">
        <f>IF(B229&lt;='Input sheet(dashboard)'!$D$27*12,AH228*(1+'Input sheet(dashboard)'!$E$25)+AG229," ")</f>
        <v>14447626.564017382</v>
      </c>
    </row>
    <row r="230" spans="2:34">
      <c r="B230">
        <f t="shared" si="27"/>
        <v>227</v>
      </c>
      <c r="C230">
        <f t="shared" si="34"/>
        <v>19</v>
      </c>
      <c r="D230">
        <f t="shared" si="35"/>
        <v>11</v>
      </c>
      <c r="E230" s="15">
        <f>IF(C230&lt;='Input sheet(dashboard)'!$D$6, -PMT('Input sheet(dashboard)'!$E$5,'Input sheet(dashboard)'!$D$6*12,'Input sheet(dashboard)'!$D$3*'Input sheet(dashboard)'!$D$4),0)</f>
        <v>39834.137922259193</v>
      </c>
      <c r="F230" s="3">
        <f>I229*'Input sheet(dashboard)'!$E$5</f>
        <v>15363.412199666296</v>
      </c>
      <c r="G230" s="3">
        <f>IF(C230&lt;='Input sheet(dashboard)'!$D$6,E230*'Input sheet(dashboard)'!$D$7,0)</f>
        <v>3186.7310337807357</v>
      </c>
      <c r="H230" s="3">
        <f t="shared" si="28"/>
        <v>24470.725722592899</v>
      </c>
      <c r="I230" s="3">
        <f t="shared" si="29"/>
        <v>4193015.8569169925</v>
      </c>
      <c r="J230" s="3">
        <f>IF(B230&lt;='Input sheet(dashboard)'!$D$27*12,'Input sheet(dashboard)'!$D$3*(1+'Input sheet(dashboard)'!$E$24)^B230,0)</f>
        <v>22319401.611253977</v>
      </c>
      <c r="K230" s="3">
        <f>IF(B230&lt;='Input sheet(dashboard)'!$D$27*12,J230*'Input sheet(dashboard)'!$E$8,0)</f>
        <v>23117.23126930841</v>
      </c>
      <c r="L230" s="3">
        <f>IF(B230&lt;='Input sheet(dashboard)'!$D$27*12,'Input sheet(dashboard)'!$D$9*(1+'Input sheet(dashboard)'!$E$22)^B230,0)</f>
        <v>4786.0919910733583</v>
      </c>
      <c r="M230" s="3">
        <f>IF(B230=1,'Input sheet(dashboard)'!$D$3*'Input sheet(dashboard)'!$D$10,0)</f>
        <v>0</v>
      </c>
      <c r="N230" s="3">
        <f>IF(B230='Input sheet(dashboard)'!$D$27*12,J230*'Input sheet(dashboard)'!$D$11,0)</f>
        <v>0</v>
      </c>
      <c r="O230" s="3">
        <f>IF(SUM(F230:F241)&gt;=150000,150000/12*'Input sheet(dashboard)'!$D$28,SUM(F230:F241)/12*'Input sheet(dashboard)'!$D$28)</f>
        <v>1875</v>
      </c>
      <c r="P230" s="3">
        <f t="shared" si="33"/>
        <v>0</v>
      </c>
      <c r="Q230" s="3">
        <f>IF(B230&lt;='Input sheet(dashboard)'!$D$27*12,'Input sheet(dashboard)'!$D$12/12,0)</f>
        <v>192.5</v>
      </c>
      <c r="R230" s="3">
        <f>IF(B230&lt;='Input sheet(dashboard)'!$D$27*12,('Input sheet(dashboard)'!$D$15/12)*(1+'Input sheet(dashboard)'!$E$22)^Calculations!B230,0)</f>
        <v>531.7879990081509</v>
      </c>
      <c r="S230" s="3">
        <f>IF(B230&lt;='Input sheet(dashboard)'!$D$27*12,(E230+G230+K230+L230-O230+M230+Q230+R230),0)</f>
        <v>69773.480215429867</v>
      </c>
      <c r="T230" s="3">
        <f>IF(B230&lt;='Input sheet(dashboard)'!$D$27*12,IF(D230=12,SUM(S219:S230),0),0)</f>
        <v>0</v>
      </c>
      <c r="U230" s="3">
        <f>IF(B230&lt;='Input sheet(dashboard)'!$D$27*12,IF(S230&lt;AD230,AD230-S230,0),0)</f>
        <v>0</v>
      </c>
      <c r="V230" s="3">
        <f>IF(B230&lt;='Input sheet(dashboard)'!$D$27*12,V229*(1+'Input sheet(dashboard)'!$E$25)+U230,0)</f>
        <v>5273.3364538876958</v>
      </c>
      <c r="W230" s="17">
        <f>IF(B230&lt;='Input sheet(dashboard)'!$D$27*12,J230-I230+V230-N230,0)</f>
        <v>18131659.090790872</v>
      </c>
      <c r="X230" s="3">
        <f>IF(B230&lt;='Input sheet(dashboard)'!$D$27*12,'Input sheet(dashboard)'!$D$17*(1+'Input sheet(dashboard)'!$E$23)^(B230-1),0)</f>
        <v>64930.4972967063</v>
      </c>
      <c r="Y230" s="3"/>
      <c r="Z230" s="18"/>
      <c r="AA230" s="18"/>
      <c r="AB230" s="3">
        <f>IF(B230=1,'Input sheet(dashboard)'!$D$18*Calculations!X230,IF(Calculations!B230=12*'Input sheet(dashboard)'!$D$27,'Input sheet(dashboard)'!$D$18*-Calculations!X230,0))</f>
        <v>0</v>
      </c>
      <c r="AC230" s="3">
        <f>IF(B230&lt;='Input sheet(dashboard)'!$D$27*12,IF(MOD(B229,'Input sheet(dashboard)'!$D$19*12),0,'Input sheet(dashboard)'!$D$20*(1+'Input sheet(dashboard)'!$E$22)^Calculations!B230),0)</f>
        <v>0</v>
      </c>
      <c r="AD230" s="17">
        <f t="shared" si="30"/>
        <v>64930.4972967063</v>
      </c>
      <c r="AE230" s="17">
        <f>IF(B230&lt;='Input sheet(dashboard)'!$D$27*12,IF(D230=12,SUM(AD219:AD230),0),0)</f>
        <v>0</v>
      </c>
      <c r="AF230" s="17">
        <f t="shared" si="31"/>
        <v>4842.9829187235664</v>
      </c>
      <c r="AG230" s="17">
        <f t="shared" si="32"/>
        <v>4842.9829187235664</v>
      </c>
      <c r="AH230" s="3">
        <f>IF(B230&lt;='Input sheet(dashboard)'!$D$27*12,AH229*(1+'Input sheet(dashboard)'!$E$25)+AG230," ")</f>
        <v>14545426.011267079</v>
      </c>
    </row>
    <row r="231" spans="2:34">
      <c r="B231">
        <f t="shared" si="27"/>
        <v>228</v>
      </c>
      <c r="C231">
        <f t="shared" si="34"/>
        <v>19</v>
      </c>
      <c r="D231">
        <f t="shared" si="35"/>
        <v>12</v>
      </c>
      <c r="E231" s="15">
        <f>IF(C231&lt;='Input sheet(dashboard)'!$D$6, -PMT('Input sheet(dashboard)'!$E$5,'Input sheet(dashboard)'!$D$6*12,'Input sheet(dashboard)'!$D$3*'Input sheet(dashboard)'!$D$4),0)</f>
        <v>39834.137922259193</v>
      </c>
      <c r="F231" s="3">
        <f>I230*'Input sheet(dashboard)'!$E$5</f>
        <v>15274.270518066476</v>
      </c>
      <c r="G231" s="3">
        <f>IF(C231&lt;='Input sheet(dashboard)'!$D$6,E231*'Input sheet(dashboard)'!$D$7,0)</f>
        <v>3186.7310337807357</v>
      </c>
      <c r="H231" s="3">
        <f t="shared" si="28"/>
        <v>24559.867404192715</v>
      </c>
      <c r="I231" s="3">
        <f t="shared" si="29"/>
        <v>4168455.9895127998</v>
      </c>
      <c r="J231" s="3">
        <f>IF(B231&lt;='Input sheet(dashboard)'!$D$27*12,'Input sheet(dashboard)'!$D$3*(1+'Input sheet(dashboard)'!$E$24)^B231,0)</f>
        <v>22410333.616195183</v>
      </c>
      <c r="K231" s="3">
        <f>IF(B231&lt;='Input sheet(dashboard)'!$D$27*12,J231*'Input sheet(dashboard)'!$E$8,0)</f>
        <v>23211.413731034794</v>
      </c>
      <c r="L231" s="3">
        <f>IF(B231&lt;='Input sheet(dashboard)'!$D$27*12,'Input sheet(dashboard)'!$D$9*(1+'Input sheet(dashboard)'!$E$22)^B231,0)</f>
        <v>4795.9505569473758</v>
      </c>
      <c r="M231" s="3">
        <f>IF(B231=1,'Input sheet(dashboard)'!$D$3*'Input sheet(dashboard)'!$D$10,0)</f>
        <v>0</v>
      </c>
      <c r="N231" s="3">
        <f>IF(B231='Input sheet(dashboard)'!$D$27*12,J231*'Input sheet(dashboard)'!$D$11,0)</f>
        <v>0</v>
      </c>
      <c r="O231" s="3">
        <f>IF(SUM(F231:F242)&gt;=150000,150000/12*'Input sheet(dashboard)'!$D$28,SUM(F231:F242)/12*'Input sheet(dashboard)'!$D$28)</f>
        <v>1875</v>
      </c>
      <c r="P231" s="3">
        <f t="shared" si="33"/>
        <v>22500</v>
      </c>
      <c r="Q231" s="3">
        <f>IF(B231&lt;='Input sheet(dashboard)'!$D$27*12,'Input sheet(dashboard)'!$D$12/12,0)</f>
        <v>192.5</v>
      </c>
      <c r="R231" s="3">
        <f>IF(B231&lt;='Input sheet(dashboard)'!$D$27*12,('Input sheet(dashboard)'!$D$15/12)*(1+'Input sheet(dashboard)'!$E$22)^Calculations!B231,0)</f>
        <v>532.88339521637511</v>
      </c>
      <c r="S231" s="3">
        <f>IF(B231&lt;='Input sheet(dashboard)'!$D$27*12,(E231+G231+K231+L231-O231+M231+Q231+R231),0)</f>
        <v>69878.616639238462</v>
      </c>
      <c r="T231" s="3">
        <f>IF(B231&lt;='Input sheet(dashboard)'!$D$27*12,IF(D231=12,SUM(S220:S231),0),0)</f>
        <v>831692.63789440272</v>
      </c>
      <c r="U231" s="3">
        <f>IF(B231&lt;='Input sheet(dashboard)'!$D$27*12,IF(S231&lt;AD231,AD231-S231,0),0)</f>
        <v>0</v>
      </c>
      <c r="V231" s="3">
        <f>IF(B231&lt;='Input sheet(dashboard)'!$D$27*12,V230*(1+'Input sheet(dashboard)'!$E$25)+U231,0)</f>
        <v>5307.2652594121882</v>
      </c>
      <c r="W231" s="17">
        <f>IF(B231&lt;='Input sheet(dashboard)'!$D$27*12,J231-I231+V231-N231,0)</f>
        <v>18247184.891941793</v>
      </c>
      <c r="X231" s="3">
        <f>IF(B231&lt;='Input sheet(dashboard)'!$D$27*12,'Input sheet(dashboard)'!$D$17*(1+'Input sheet(dashboard)'!$E$23)^(B231-1),0)</f>
        <v>65195.032180026938</v>
      </c>
      <c r="Y231" s="3"/>
      <c r="Z231" s="18"/>
      <c r="AA231" s="18"/>
      <c r="AB231" s="3">
        <f>IF(B231=1,'Input sheet(dashboard)'!$D$18*Calculations!X231,IF(Calculations!B231=12*'Input sheet(dashboard)'!$D$27,'Input sheet(dashboard)'!$D$18*-Calculations!X231,0))</f>
        <v>0</v>
      </c>
      <c r="AC231" s="3">
        <f>IF(B231&lt;='Input sheet(dashboard)'!$D$27*12,IF(MOD(B230,'Input sheet(dashboard)'!$D$19*12),0,'Input sheet(dashboard)'!$D$20*(1+'Input sheet(dashboard)'!$E$22)^Calculations!B231),0)</f>
        <v>0</v>
      </c>
      <c r="AD231" s="17">
        <f t="shared" si="30"/>
        <v>65195.032180026938</v>
      </c>
      <c r="AE231" s="17">
        <f>IF(B231&lt;='Input sheet(dashboard)'!$D$27*12,IF(D231=12,SUM(AD220:AD231),0),0)</f>
        <v>765115.08436473424</v>
      </c>
      <c r="AF231" s="17">
        <f t="shared" si="31"/>
        <v>4683.5844592115245</v>
      </c>
      <c r="AG231" s="17">
        <f t="shared" si="32"/>
        <v>4683.5844592115245</v>
      </c>
      <c r="AH231" s="3">
        <f>IF(B231&lt;='Input sheet(dashboard)'!$D$27*12,AH230*(1+'Input sheet(dashboard)'!$E$25)+AG231," ")</f>
        <v>14643695.304645611</v>
      </c>
    </row>
    <row r="232" spans="2:34">
      <c r="B232">
        <f t="shared" si="27"/>
        <v>229</v>
      </c>
      <c r="C232">
        <f t="shared" si="34"/>
        <v>20</v>
      </c>
      <c r="D232">
        <f t="shared" si="35"/>
        <v>1</v>
      </c>
      <c r="E232" s="15">
        <f>IF(C232&lt;='Input sheet(dashboard)'!$D$6, -PMT('Input sheet(dashboard)'!$E$5,'Input sheet(dashboard)'!$D$6*12,'Input sheet(dashboard)'!$D$3*'Input sheet(dashboard)'!$D$4),0)</f>
        <v>39834.137922259193</v>
      </c>
      <c r="F232" s="3">
        <f>I231*'Input sheet(dashboard)'!$E$5</f>
        <v>15184.804112161846</v>
      </c>
      <c r="G232" s="3">
        <f>IF(C232&lt;='Input sheet(dashboard)'!$D$6,E232*'Input sheet(dashboard)'!$D$7,0)</f>
        <v>3186.7310337807357</v>
      </c>
      <c r="H232" s="3">
        <f t="shared" si="28"/>
        <v>24649.333810097349</v>
      </c>
      <c r="I232" s="3">
        <f t="shared" si="29"/>
        <v>4143806.6557027022</v>
      </c>
      <c r="J232" s="3">
        <f>IF(B232&lt;='Input sheet(dashboard)'!$D$27*12,'Input sheet(dashboard)'!$D$3*(1+'Input sheet(dashboard)'!$E$24)^B232,0)</f>
        <v>22501636.089380421</v>
      </c>
      <c r="K232" s="3">
        <f>IF(B232&lt;='Input sheet(dashboard)'!$D$27*12,J232*'Input sheet(dashboard)'!$E$8,0)</f>
        <v>23305.979903768508</v>
      </c>
      <c r="L232" s="3">
        <f>IF(B232&lt;='Input sheet(dashboard)'!$D$27*12,'Input sheet(dashboard)'!$D$9*(1+'Input sheet(dashboard)'!$E$22)^B232,0)</f>
        <v>4805.8294298529481</v>
      </c>
      <c r="M232" s="3">
        <f>IF(B232=1,'Input sheet(dashboard)'!$D$3*'Input sheet(dashboard)'!$D$10,0)</f>
        <v>0</v>
      </c>
      <c r="N232" s="3">
        <f>IF(B232='Input sheet(dashboard)'!$D$27*12,J232*'Input sheet(dashboard)'!$D$11,0)</f>
        <v>0</v>
      </c>
      <c r="O232" s="3">
        <f>IF(SUM(F232:F243)&gt;=150000,150000/12*'Input sheet(dashboard)'!$D$28,SUM(F232:F243)/12*'Input sheet(dashboard)'!$D$28)</f>
        <v>1875</v>
      </c>
      <c r="P232" s="3">
        <f t="shared" si="33"/>
        <v>0</v>
      </c>
      <c r="Q232" s="3">
        <f>IF(B232&lt;='Input sheet(dashboard)'!$D$27*12,'Input sheet(dashboard)'!$D$12/12,0)</f>
        <v>192.5</v>
      </c>
      <c r="R232" s="3">
        <f>IF(B232&lt;='Input sheet(dashboard)'!$D$27*12,('Input sheet(dashboard)'!$D$15/12)*(1+'Input sheet(dashboard)'!$E$22)^Calculations!B232,0)</f>
        <v>533.98104776143862</v>
      </c>
      <c r="S232" s="3">
        <f>IF(B232&lt;='Input sheet(dashboard)'!$D$27*12,(E232+G232+K232+L232-O232+M232+Q232+R232),0)</f>
        <v>69984.159337422825</v>
      </c>
      <c r="T232" s="3">
        <f>IF(B232&lt;='Input sheet(dashboard)'!$D$27*12,IF(D232=12,SUM(S221:S232),0),0)</f>
        <v>0</v>
      </c>
      <c r="U232" s="3">
        <f>IF(B232&lt;='Input sheet(dashboard)'!$D$27*12,IF(S232&lt;AD232,AD232-S232,0),0)</f>
        <v>0</v>
      </c>
      <c r="V232" s="3">
        <f>IF(B232&lt;='Input sheet(dashboard)'!$D$27*12,V231*(1+'Input sheet(dashboard)'!$E$25)+U232,0)</f>
        <v>5341.4123638930214</v>
      </c>
      <c r="W232" s="17">
        <f>IF(B232&lt;='Input sheet(dashboard)'!$D$27*12,J232-I232+V232-N232,0)</f>
        <v>18363170.846041612</v>
      </c>
      <c r="X232" s="3">
        <f>IF(B232&lt;='Input sheet(dashboard)'!$D$27*12,'Input sheet(dashboard)'!$D$17*(1+'Input sheet(dashboard)'!$E$23)^(B232-1),0)</f>
        <v>65460.644811207298</v>
      </c>
      <c r="Y232" s="3"/>
      <c r="Z232" s="18"/>
      <c r="AA232" s="18"/>
      <c r="AB232" s="3">
        <f>IF(B232=1,'Input sheet(dashboard)'!$D$18*Calculations!X232,IF(Calculations!B232=12*'Input sheet(dashboard)'!$D$27,'Input sheet(dashboard)'!$D$18*-Calculations!X232,0))</f>
        <v>0</v>
      </c>
      <c r="AC232" s="3">
        <f>IF(B232&lt;='Input sheet(dashboard)'!$D$27*12,IF(MOD(B231,'Input sheet(dashboard)'!$D$19*12),0,'Input sheet(dashboard)'!$D$20*(1+'Input sheet(dashboard)'!$E$22)^Calculations!B232),0)</f>
        <v>0</v>
      </c>
      <c r="AD232" s="17">
        <f t="shared" si="30"/>
        <v>65460.644811207298</v>
      </c>
      <c r="AE232" s="17">
        <f>IF(B232&lt;='Input sheet(dashboard)'!$D$27*12,IF(D232=12,SUM(AD221:AD232),0),0)</f>
        <v>0</v>
      </c>
      <c r="AF232" s="17">
        <f t="shared" si="31"/>
        <v>4523.5145262155274</v>
      </c>
      <c r="AG232" s="17">
        <f t="shared" si="32"/>
        <v>4523.5145262155274</v>
      </c>
      <c r="AH232" s="3">
        <f>IF(B232&lt;='Input sheet(dashboard)'!$D$27*12,AH231*(1+'Input sheet(dashboard)'!$E$25)+AG232," ")</f>
        <v>14742436.795683634</v>
      </c>
    </row>
    <row r="233" spans="2:34">
      <c r="B233">
        <f t="shared" si="27"/>
        <v>230</v>
      </c>
      <c r="C233">
        <f t="shared" si="34"/>
        <v>20</v>
      </c>
      <c r="D233">
        <f t="shared" si="35"/>
        <v>2</v>
      </c>
      <c r="E233" s="15">
        <f>IF(C233&lt;='Input sheet(dashboard)'!$D$6, -PMT('Input sheet(dashboard)'!$E$5,'Input sheet(dashboard)'!$D$6*12,'Input sheet(dashboard)'!$D$3*'Input sheet(dashboard)'!$D$4),0)</f>
        <v>39834.137922259193</v>
      </c>
      <c r="F233" s="3">
        <f>I232*'Input sheet(dashboard)'!$E$5</f>
        <v>15095.0117990504</v>
      </c>
      <c r="G233" s="3">
        <f>IF(C233&lt;='Input sheet(dashboard)'!$D$6,E233*'Input sheet(dashboard)'!$D$7,0)</f>
        <v>3186.7310337807357</v>
      </c>
      <c r="H233" s="3">
        <f t="shared" si="28"/>
        <v>24739.126123208793</v>
      </c>
      <c r="I233" s="3">
        <f t="shared" si="29"/>
        <v>4119067.5295794932</v>
      </c>
      <c r="J233" s="3">
        <f>IF(B233&lt;='Input sheet(dashboard)'!$D$27*12,'Input sheet(dashboard)'!$D$3*(1+'Input sheet(dashboard)'!$E$24)^B233,0)</f>
        <v>22593310.540143166</v>
      </c>
      <c r="K233" s="3">
        <f>IF(B233&lt;='Input sheet(dashboard)'!$D$27*12,J233*'Input sheet(dashboard)'!$E$8,0)</f>
        <v>23400.931350795683</v>
      </c>
      <c r="L233" s="3">
        <f>IF(B233&lt;='Input sheet(dashboard)'!$D$27*12,'Input sheet(dashboard)'!$D$9*(1+'Input sheet(dashboard)'!$E$22)^B233,0)</f>
        <v>4815.7286516192362</v>
      </c>
      <c r="M233" s="3">
        <f>IF(B233=1,'Input sheet(dashboard)'!$D$3*'Input sheet(dashboard)'!$D$10,0)</f>
        <v>0</v>
      </c>
      <c r="N233" s="3">
        <f>IF(B233='Input sheet(dashboard)'!$D$27*12,J233*'Input sheet(dashboard)'!$D$11,0)</f>
        <v>0</v>
      </c>
      <c r="O233" s="3">
        <f>IF(SUM(F233:F244)&gt;=150000,150000/12*'Input sheet(dashboard)'!$D$28,SUM(F233:F244)/12*'Input sheet(dashboard)'!$D$28)</f>
        <v>1875</v>
      </c>
      <c r="P233" s="3">
        <f t="shared" si="33"/>
        <v>0</v>
      </c>
      <c r="Q233" s="3">
        <f>IF(B233&lt;='Input sheet(dashboard)'!$D$27*12,'Input sheet(dashboard)'!$D$12/12,0)</f>
        <v>192.5</v>
      </c>
      <c r="R233" s="3">
        <f>IF(B233&lt;='Input sheet(dashboard)'!$D$27*12,('Input sheet(dashboard)'!$D$15/12)*(1+'Input sheet(dashboard)'!$E$22)^Calculations!B233,0)</f>
        <v>535.08096129102626</v>
      </c>
      <c r="S233" s="3">
        <f>IF(B233&lt;='Input sheet(dashboard)'!$D$27*12,(E233+G233+K233+L233-O233+M233+Q233+R233),0)</f>
        <v>70090.109919745883</v>
      </c>
      <c r="T233" s="3">
        <f>IF(B233&lt;='Input sheet(dashboard)'!$D$27*12,IF(D233=12,SUM(S222:S233),0),0)</f>
        <v>0</v>
      </c>
      <c r="U233" s="3">
        <f>IF(B233&lt;='Input sheet(dashboard)'!$D$27*12,IF(S233&lt;AD233,AD233-S233,0),0)</f>
        <v>0</v>
      </c>
      <c r="V233" s="3">
        <f>IF(B233&lt;='Input sheet(dashboard)'!$D$27*12,V232*(1+'Input sheet(dashboard)'!$E$25)+U233,0)</f>
        <v>5375.7791718722538</v>
      </c>
      <c r="W233" s="17">
        <f>IF(B233&lt;='Input sheet(dashboard)'!$D$27*12,J233-I233+V233-N233,0)</f>
        <v>18479618.789735544</v>
      </c>
      <c r="X233" s="3">
        <f>IF(B233&lt;='Input sheet(dashboard)'!$D$27*12,'Input sheet(dashboard)'!$D$17*(1+'Input sheet(dashboard)'!$E$23)^(B233-1),0)</f>
        <v>65727.33958112559</v>
      </c>
      <c r="Y233" s="3"/>
      <c r="Z233" s="18"/>
      <c r="AA233" s="18"/>
      <c r="AB233" s="3">
        <f>IF(B233=1,'Input sheet(dashboard)'!$D$18*Calculations!X233,IF(Calculations!B233=12*'Input sheet(dashboard)'!$D$27,'Input sheet(dashboard)'!$D$18*-Calculations!X233,0))</f>
        <v>0</v>
      </c>
      <c r="AC233" s="3">
        <f>IF(B233&lt;='Input sheet(dashboard)'!$D$27*12,IF(MOD(B232,'Input sheet(dashboard)'!$D$19*12),0,'Input sheet(dashboard)'!$D$20*(1+'Input sheet(dashboard)'!$E$22)^Calculations!B233),0)</f>
        <v>0</v>
      </c>
      <c r="AD233" s="17">
        <f t="shared" si="30"/>
        <v>65727.33958112559</v>
      </c>
      <c r="AE233" s="17">
        <f>IF(B233&lt;='Input sheet(dashboard)'!$D$27*12,IF(D233=12,SUM(AD222:AD233),0),0)</f>
        <v>0</v>
      </c>
      <c r="AF233" s="17">
        <f t="shared" si="31"/>
        <v>4362.770338620292</v>
      </c>
      <c r="AG233" s="17">
        <f t="shared" si="32"/>
        <v>4362.770338620292</v>
      </c>
      <c r="AH233" s="3">
        <f>IF(B233&lt;='Input sheet(dashboard)'!$D$27*12,AH232*(1+'Input sheet(dashboard)'!$E$25)+AG233," ")</f>
        <v>14841652.848260505</v>
      </c>
    </row>
    <row r="234" spans="2:34">
      <c r="B234">
        <f t="shared" si="27"/>
        <v>231</v>
      </c>
      <c r="C234">
        <f t="shared" si="34"/>
        <v>20</v>
      </c>
      <c r="D234">
        <f t="shared" si="35"/>
        <v>3</v>
      </c>
      <c r="E234" s="15">
        <f>IF(C234&lt;='Input sheet(dashboard)'!$D$6, -PMT('Input sheet(dashboard)'!$E$5,'Input sheet(dashboard)'!$D$6*12,'Input sheet(dashboard)'!$D$3*'Input sheet(dashboard)'!$D$4),0)</f>
        <v>39834.137922259193</v>
      </c>
      <c r="F234" s="3">
        <f>I233*'Input sheet(dashboard)'!$E$5</f>
        <v>15004.892391521067</v>
      </c>
      <c r="G234" s="3">
        <f>IF(C234&lt;='Input sheet(dashboard)'!$D$6,E234*'Input sheet(dashboard)'!$D$7,0)</f>
        <v>3186.7310337807357</v>
      </c>
      <c r="H234" s="3">
        <f t="shared" si="28"/>
        <v>24829.245530738124</v>
      </c>
      <c r="I234" s="3">
        <f t="shared" si="29"/>
        <v>4094238.2840487552</v>
      </c>
      <c r="J234" s="3">
        <f>IF(B234&lt;='Input sheet(dashboard)'!$D$27*12,'Input sheet(dashboard)'!$D$3*(1+'Input sheet(dashboard)'!$E$24)^B234,0)</f>
        <v>22685358.483966116</v>
      </c>
      <c r="K234" s="3">
        <f>IF(B234&lt;='Input sheet(dashboard)'!$D$27*12,J234*'Input sheet(dashboard)'!$E$8,0)</f>
        <v>23496.269641771483</v>
      </c>
      <c r="L234" s="3">
        <f>IF(B234&lt;='Input sheet(dashboard)'!$D$27*12,'Input sheet(dashboard)'!$D$9*(1+'Input sheet(dashboard)'!$E$22)^B234,0)</f>
        <v>4825.6482641615639</v>
      </c>
      <c r="M234" s="3">
        <f>IF(B234=1,'Input sheet(dashboard)'!$D$3*'Input sheet(dashboard)'!$D$10,0)</f>
        <v>0</v>
      </c>
      <c r="N234" s="3">
        <f>IF(B234='Input sheet(dashboard)'!$D$27*12,J234*'Input sheet(dashboard)'!$D$11,0)</f>
        <v>0</v>
      </c>
      <c r="O234" s="3">
        <f>IF(SUM(F234:F245)&gt;=150000,150000/12*'Input sheet(dashboard)'!$D$28,SUM(F234:F245)/12*'Input sheet(dashboard)'!$D$28)</f>
        <v>1875</v>
      </c>
      <c r="P234" s="3">
        <f t="shared" si="33"/>
        <v>0</v>
      </c>
      <c r="Q234" s="3">
        <f>IF(B234&lt;='Input sheet(dashboard)'!$D$27*12,'Input sheet(dashboard)'!$D$12/12,0)</f>
        <v>192.5</v>
      </c>
      <c r="R234" s="3">
        <f>IF(B234&lt;='Input sheet(dashboard)'!$D$27*12,('Input sheet(dashboard)'!$D$15/12)*(1+'Input sheet(dashboard)'!$E$22)^Calculations!B234,0)</f>
        <v>536.18314046239595</v>
      </c>
      <c r="S234" s="3">
        <f>IF(B234&lt;='Input sheet(dashboard)'!$D$27*12,(E234+G234+K234+L234-O234+M234+Q234+R234),0)</f>
        <v>70196.470002435366</v>
      </c>
      <c r="T234" s="3">
        <f>IF(B234&lt;='Input sheet(dashboard)'!$D$27*12,IF(D234=12,SUM(S223:S234),0),0)</f>
        <v>0</v>
      </c>
      <c r="U234" s="3">
        <f>IF(B234&lt;='Input sheet(dashboard)'!$D$27*12,IF(S234&lt;AD234,AD234-S234,0),0)</f>
        <v>0</v>
      </c>
      <c r="V234" s="3">
        <f>IF(B234&lt;='Input sheet(dashboard)'!$D$27*12,V233*(1+'Input sheet(dashboard)'!$E$25)+U234,0)</f>
        <v>5410.3670969288096</v>
      </c>
      <c r="W234" s="17">
        <f>IF(B234&lt;='Input sheet(dashboard)'!$D$27*12,J234-I234+V234-N234,0)</f>
        <v>18596530.567014288</v>
      </c>
      <c r="X234" s="3">
        <f>IF(B234&lt;='Input sheet(dashboard)'!$D$27*12,'Input sheet(dashboard)'!$D$17*(1+'Input sheet(dashboard)'!$E$23)^(B234-1),0)</f>
        <v>65995.120898548994</v>
      </c>
      <c r="Y234" s="3"/>
      <c r="Z234" s="18"/>
      <c r="AA234" s="18"/>
      <c r="AB234" s="3">
        <f>IF(B234=1,'Input sheet(dashboard)'!$D$18*Calculations!X234,IF(Calculations!B234=12*'Input sheet(dashboard)'!$D$27,'Input sheet(dashboard)'!$D$18*-Calculations!X234,0))</f>
        <v>0</v>
      </c>
      <c r="AC234" s="3">
        <f>IF(B234&lt;='Input sheet(dashboard)'!$D$27*12,IF(MOD(B233,'Input sheet(dashboard)'!$D$19*12),0,'Input sheet(dashboard)'!$D$20*(1+'Input sheet(dashboard)'!$E$22)^Calculations!B234),0)</f>
        <v>0</v>
      </c>
      <c r="AD234" s="17">
        <f t="shared" si="30"/>
        <v>65995.120898548994</v>
      </c>
      <c r="AE234" s="17">
        <f>IF(B234&lt;='Input sheet(dashboard)'!$D$27*12,IF(D234=12,SUM(AD223:AD234),0),0)</f>
        <v>0</v>
      </c>
      <c r="AF234" s="17">
        <f t="shared" si="31"/>
        <v>4201.3491038863722</v>
      </c>
      <c r="AG234" s="17">
        <f t="shared" si="32"/>
        <v>4201.3491038863722</v>
      </c>
      <c r="AH234" s="3">
        <f>IF(B234&lt;='Input sheet(dashboard)'!$D$27*12,AH233*(1+'Input sheet(dashboard)'!$E$25)+AG234," ")</f>
        <v>14941345.838672318</v>
      </c>
    </row>
    <row r="235" spans="2:34">
      <c r="B235">
        <f t="shared" si="27"/>
        <v>232</v>
      </c>
      <c r="C235">
        <f t="shared" si="34"/>
        <v>20</v>
      </c>
      <c r="D235">
        <f t="shared" si="35"/>
        <v>4</v>
      </c>
      <c r="E235" s="15">
        <f>IF(C235&lt;='Input sheet(dashboard)'!$D$6, -PMT('Input sheet(dashboard)'!$E$5,'Input sheet(dashboard)'!$D$6*12,'Input sheet(dashboard)'!$D$3*'Input sheet(dashboard)'!$D$4),0)</f>
        <v>39834.137922259193</v>
      </c>
      <c r="F235" s="3">
        <f>I234*'Input sheet(dashboard)'!$E$5</f>
        <v>14914.44469803802</v>
      </c>
      <c r="G235" s="3">
        <f>IF(C235&lt;='Input sheet(dashboard)'!$D$6,E235*'Input sheet(dashboard)'!$D$7,0)</f>
        <v>3186.7310337807357</v>
      </c>
      <c r="H235" s="3">
        <f t="shared" si="28"/>
        <v>24919.693224221173</v>
      </c>
      <c r="I235" s="3">
        <f t="shared" si="29"/>
        <v>4069318.5908245342</v>
      </c>
      <c r="J235" s="3">
        <f>IF(B235&lt;='Input sheet(dashboard)'!$D$27*12,'Input sheet(dashboard)'!$D$3*(1+'Input sheet(dashboard)'!$E$24)^B235,0)</f>
        <v>22777781.442506231</v>
      </c>
      <c r="K235" s="3">
        <f>IF(B235&lt;='Input sheet(dashboard)'!$D$27*12,J235*'Input sheet(dashboard)'!$E$8,0)</f>
        <v>23591.996352746039</v>
      </c>
      <c r="L235" s="3">
        <f>IF(B235&lt;='Input sheet(dashboard)'!$D$27*12,'Input sheet(dashboard)'!$D$9*(1+'Input sheet(dashboard)'!$E$22)^B235,0)</f>
        <v>4835.5883094815872</v>
      </c>
      <c r="M235" s="3">
        <f>IF(B235=1,'Input sheet(dashboard)'!$D$3*'Input sheet(dashboard)'!$D$10,0)</f>
        <v>0</v>
      </c>
      <c r="N235" s="3">
        <f>IF(B235='Input sheet(dashboard)'!$D$27*12,J235*'Input sheet(dashboard)'!$D$11,0)</f>
        <v>0</v>
      </c>
      <c r="O235" s="3">
        <f>IF(SUM(F235:F246)&gt;=150000,150000/12*'Input sheet(dashboard)'!$D$28,SUM(F235:F246)/12*'Input sheet(dashboard)'!$D$28)</f>
        <v>1875</v>
      </c>
      <c r="P235" s="3">
        <f t="shared" si="33"/>
        <v>0</v>
      </c>
      <c r="Q235" s="3">
        <f>IF(B235&lt;='Input sheet(dashboard)'!$D$27*12,'Input sheet(dashboard)'!$D$12/12,0)</f>
        <v>192.5</v>
      </c>
      <c r="R235" s="3">
        <f>IF(B235&lt;='Input sheet(dashboard)'!$D$27*12,('Input sheet(dashboard)'!$D$15/12)*(1+'Input sheet(dashboard)'!$E$22)^Calculations!B235,0)</f>
        <v>537.28758994239854</v>
      </c>
      <c r="S235" s="3">
        <f>IF(B235&lt;='Input sheet(dashboard)'!$D$27*12,(E235+G235+K235+L235-O235+M235+Q235+R235),0)</f>
        <v>70303.241208209947</v>
      </c>
      <c r="T235" s="3">
        <f>IF(B235&lt;='Input sheet(dashboard)'!$D$27*12,IF(D235=12,SUM(S224:S235),0),0)</f>
        <v>0</v>
      </c>
      <c r="U235" s="3">
        <f>IF(B235&lt;='Input sheet(dashboard)'!$D$27*12,IF(S235&lt;AD235,AD235-S235,0),0)</f>
        <v>0</v>
      </c>
      <c r="V235" s="3">
        <f>IF(B235&lt;='Input sheet(dashboard)'!$D$27*12,V234*(1+'Input sheet(dashboard)'!$E$25)+U235,0)</f>
        <v>5445.1775617366211</v>
      </c>
      <c r="W235" s="17">
        <f>IF(B235&lt;='Input sheet(dashboard)'!$D$27*12,J235-I235+V235-N235,0)</f>
        <v>18713908.029243436</v>
      </c>
      <c r="X235" s="3">
        <f>IF(B235&lt;='Input sheet(dashboard)'!$D$27*12,'Input sheet(dashboard)'!$D$17*(1+'Input sheet(dashboard)'!$E$23)^(B235-1),0)</f>
        <v>66263.993190206515</v>
      </c>
      <c r="Y235" s="3"/>
      <c r="Z235" s="18"/>
      <c r="AA235" s="18"/>
      <c r="AB235" s="3">
        <f>IF(B235=1,'Input sheet(dashboard)'!$D$18*Calculations!X235,IF(Calculations!B235=12*'Input sheet(dashboard)'!$D$27,'Input sheet(dashboard)'!$D$18*-Calculations!X235,0))</f>
        <v>0</v>
      </c>
      <c r="AC235" s="3">
        <f>IF(B235&lt;='Input sheet(dashboard)'!$D$27*12,IF(MOD(B234,'Input sheet(dashboard)'!$D$19*12),0,'Input sheet(dashboard)'!$D$20*(1+'Input sheet(dashboard)'!$E$22)^Calculations!B235),0)</f>
        <v>0</v>
      </c>
      <c r="AD235" s="17">
        <f t="shared" si="30"/>
        <v>66263.993190206515</v>
      </c>
      <c r="AE235" s="17">
        <f>IF(B235&lt;='Input sheet(dashboard)'!$D$27*12,IF(D235=12,SUM(AD224:AD235),0),0)</f>
        <v>0</v>
      </c>
      <c r="AF235" s="17">
        <f t="shared" si="31"/>
        <v>4039.2480180034327</v>
      </c>
      <c r="AG235" s="17">
        <f t="shared" si="32"/>
        <v>4039.2480180034327</v>
      </c>
      <c r="AH235" s="3">
        <f>IF(B235&lt;='Input sheet(dashboard)'!$D$27*12,AH234*(1+'Input sheet(dashboard)'!$E$25)+AG235," ")</f>
        <v>15041518.155700313</v>
      </c>
    </row>
    <row r="236" spans="2:34">
      <c r="B236">
        <f t="shared" si="27"/>
        <v>233</v>
      </c>
      <c r="C236">
        <f t="shared" si="34"/>
        <v>20</v>
      </c>
      <c r="D236">
        <f t="shared" si="35"/>
        <v>5</v>
      </c>
      <c r="E236" s="15">
        <f>IF(C236&lt;='Input sheet(dashboard)'!$D$6, -PMT('Input sheet(dashboard)'!$E$5,'Input sheet(dashboard)'!$D$6*12,'Input sheet(dashboard)'!$D$3*'Input sheet(dashboard)'!$D$4),0)</f>
        <v>39834.137922259193</v>
      </c>
      <c r="F236" s="3">
        <f>I235*'Input sheet(dashboard)'!$E$5</f>
        <v>14823.667522724914</v>
      </c>
      <c r="G236" s="3">
        <f>IF(C236&lt;='Input sheet(dashboard)'!$D$6,E236*'Input sheet(dashboard)'!$D$7,0)</f>
        <v>3186.7310337807357</v>
      </c>
      <c r="H236" s="3">
        <f t="shared" si="28"/>
        <v>25010.470399534279</v>
      </c>
      <c r="I236" s="3">
        <f t="shared" si="29"/>
        <v>4044308.1204249999</v>
      </c>
      <c r="J236" s="3">
        <f>IF(B236&lt;='Input sheet(dashboard)'!$D$27*12,'Input sheet(dashboard)'!$D$3*(1+'Input sheet(dashboard)'!$E$24)^B236,0)</f>
        <v>22870580.943619896</v>
      </c>
      <c r="K236" s="3">
        <f>IF(B236&lt;='Input sheet(dashboard)'!$D$27*12,J236*'Input sheet(dashboard)'!$E$8,0)</f>
        <v>23688.113066190512</v>
      </c>
      <c r="L236" s="3">
        <f>IF(B236&lt;='Input sheet(dashboard)'!$D$27*12,'Input sheet(dashboard)'!$D$9*(1+'Input sheet(dashboard)'!$E$22)^B236,0)</f>
        <v>4845.5488296674857</v>
      </c>
      <c r="M236" s="3">
        <f>IF(B236=1,'Input sheet(dashboard)'!$D$3*'Input sheet(dashboard)'!$D$10,0)</f>
        <v>0</v>
      </c>
      <c r="N236" s="3">
        <f>IF(B236='Input sheet(dashboard)'!$D$27*12,J236*'Input sheet(dashboard)'!$D$11,0)</f>
        <v>0</v>
      </c>
      <c r="O236" s="3">
        <f>IF(SUM(F236:F247)&gt;=150000,150000/12*'Input sheet(dashboard)'!$D$28,SUM(F236:F247)/12*'Input sheet(dashboard)'!$D$28)</f>
        <v>1875</v>
      </c>
      <c r="P236" s="3">
        <f t="shared" si="33"/>
        <v>0</v>
      </c>
      <c r="Q236" s="3">
        <f>IF(B236&lt;='Input sheet(dashboard)'!$D$27*12,'Input sheet(dashboard)'!$D$12/12,0)</f>
        <v>192.5</v>
      </c>
      <c r="R236" s="3">
        <f>IF(B236&lt;='Input sheet(dashboard)'!$D$27*12,('Input sheet(dashboard)'!$D$15/12)*(1+'Input sheet(dashboard)'!$E$22)^Calculations!B236,0)</f>
        <v>538.39431440749831</v>
      </c>
      <c r="S236" s="3">
        <f>IF(B236&lt;='Input sheet(dashboard)'!$D$27*12,(E236+G236+K236+L236-O236+M236+Q236+R236),0)</f>
        <v>70410.425166305431</v>
      </c>
      <c r="T236" s="3">
        <f>IF(B236&lt;='Input sheet(dashboard)'!$D$27*12,IF(D236=12,SUM(S225:S236),0),0)</f>
        <v>0</v>
      </c>
      <c r="U236" s="3">
        <f>IF(B236&lt;='Input sheet(dashboard)'!$D$27*12,IF(S236&lt;AD236,AD236-S236,0),0)</f>
        <v>0</v>
      </c>
      <c r="V236" s="3">
        <f>IF(B236&lt;='Input sheet(dashboard)'!$D$27*12,V235*(1+'Input sheet(dashboard)'!$E$25)+U236,0)</f>
        <v>5480.2119981231499</v>
      </c>
      <c r="W236" s="17">
        <f>IF(B236&lt;='Input sheet(dashboard)'!$D$27*12,J236-I236+V236-N236,0)</f>
        <v>18831753.035193019</v>
      </c>
      <c r="X236" s="3">
        <f>IF(B236&lt;='Input sheet(dashboard)'!$D$27*12,'Input sheet(dashboard)'!$D$17*(1+'Input sheet(dashboard)'!$E$23)^(B236-1),0)</f>
        <v>66533.96090086225</v>
      </c>
      <c r="Y236" s="3"/>
      <c r="Z236" s="18"/>
      <c r="AA236" s="18"/>
      <c r="AB236" s="3">
        <f>IF(B236=1,'Input sheet(dashboard)'!$D$18*Calculations!X236,IF(Calculations!B236=12*'Input sheet(dashboard)'!$D$27,'Input sheet(dashboard)'!$D$18*-Calculations!X236,0))</f>
        <v>0</v>
      </c>
      <c r="AC236" s="3">
        <f>IF(B236&lt;='Input sheet(dashboard)'!$D$27*12,IF(MOD(B235,'Input sheet(dashboard)'!$D$19*12),0,'Input sheet(dashboard)'!$D$20*(1+'Input sheet(dashboard)'!$E$22)^Calculations!B236),0)</f>
        <v>0</v>
      </c>
      <c r="AD236" s="17">
        <f t="shared" si="30"/>
        <v>66533.96090086225</v>
      </c>
      <c r="AE236" s="17">
        <f>IF(B236&lt;='Input sheet(dashboard)'!$D$27*12,IF(D236=12,SUM(AD225:AD236),0),0)</f>
        <v>0</v>
      </c>
      <c r="AF236" s="17">
        <f t="shared" si="31"/>
        <v>3876.4642654431809</v>
      </c>
      <c r="AG236" s="17">
        <f t="shared" si="32"/>
        <v>3876.4642654431809</v>
      </c>
      <c r="AH236" s="3">
        <f>IF(B236&lt;='Input sheet(dashboard)'!$D$27*12,AH235*(1+'Input sheet(dashboard)'!$E$25)+AG236," ")</f>
        <v>15142172.200679695</v>
      </c>
    </row>
    <row r="237" spans="2:34">
      <c r="B237">
        <f t="shared" si="27"/>
        <v>234</v>
      </c>
      <c r="C237">
        <f t="shared" si="34"/>
        <v>20</v>
      </c>
      <c r="D237">
        <f t="shared" si="35"/>
        <v>6</v>
      </c>
      <c r="E237" s="15">
        <f>IF(C237&lt;='Input sheet(dashboard)'!$D$6, -PMT('Input sheet(dashboard)'!$E$5,'Input sheet(dashboard)'!$D$6*12,'Input sheet(dashboard)'!$D$3*'Input sheet(dashboard)'!$D$4),0)</f>
        <v>39834.137922259193</v>
      </c>
      <c r="F237" s="3">
        <f>I236*'Input sheet(dashboard)'!$E$5</f>
        <v>14732.559665349087</v>
      </c>
      <c r="G237" s="3">
        <f>IF(C237&lt;='Input sheet(dashboard)'!$D$6,E237*'Input sheet(dashboard)'!$D$7,0)</f>
        <v>3186.7310337807357</v>
      </c>
      <c r="H237" s="3">
        <f t="shared" si="28"/>
        <v>25101.578256910107</v>
      </c>
      <c r="I237" s="3">
        <f t="shared" si="29"/>
        <v>4019206.5421680897</v>
      </c>
      <c r="J237" s="3">
        <f>IF(B237&lt;='Input sheet(dashboard)'!$D$27*12,'Input sheet(dashboard)'!$D$3*(1+'Input sheet(dashboard)'!$E$24)^B237,0)</f>
        <v>22963758.521388151</v>
      </c>
      <c r="K237" s="3">
        <f>IF(B237&lt;='Input sheet(dashboard)'!$D$27*12,J237*'Input sheet(dashboard)'!$E$8,0)</f>
        <v>23784.62137102323</v>
      </c>
      <c r="L237" s="3">
        <f>IF(B237&lt;='Input sheet(dashboard)'!$D$27*12,'Input sheet(dashboard)'!$D$9*(1+'Input sheet(dashboard)'!$E$22)^B237,0)</f>
        <v>4855.5298668941277</v>
      </c>
      <c r="M237" s="3">
        <f>IF(B237=1,'Input sheet(dashboard)'!$D$3*'Input sheet(dashboard)'!$D$10,0)</f>
        <v>0</v>
      </c>
      <c r="N237" s="3">
        <f>IF(B237='Input sheet(dashboard)'!$D$27*12,J237*'Input sheet(dashboard)'!$D$11,0)</f>
        <v>0</v>
      </c>
      <c r="O237" s="3">
        <f>IF(SUM(F237:F248)&gt;=150000,150000/12*'Input sheet(dashboard)'!$D$28,SUM(F237:F248)/12*'Input sheet(dashboard)'!$D$28)</f>
        <v>1875</v>
      </c>
      <c r="P237" s="3">
        <f t="shared" si="33"/>
        <v>0</v>
      </c>
      <c r="Q237" s="3">
        <f>IF(B237&lt;='Input sheet(dashboard)'!$D$27*12,'Input sheet(dashboard)'!$D$12/12,0)</f>
        <v>192.5</v>
      </c>
      <c r="R237" s="3">
        <f>IF(B237&lt;='Input sheet(dashboard)'!$D$27*12,('Input sheet(dashboard)'!$D$15/12)*(1+'Input sheet(dashboard)'!$E$22)^Calculations!B237,0)</f>
        <v>539.50331854379192</v>
      </c>
      <c r="S237" s="3">
        <f>IF(B237&lt;='Input sheet(dashboard)'!$D$27*12,(E237+G237+K237+L237-O237+M237+Q237+R237),0)</f>
        <v>70518.02351250108</v>
      </c>
      <c r="T237" s="3">
        <f>IF(B237&lt;='Input sheet(dashboard)'!$D$27*12,IF(D237=12,SUM(S226:S237),0),0)</f>
        <v>0</v>
      </c>
      <c r="U237" s="3">
        <f>IF(B237&lt;='Input sheet(dashboard)'!$D$27*12,IF(S237&lt;AD237,AD237-S237,0),0)</f>
        <v>0</v>
      </c>
      <c r="V237" s="3">
        <f>IF(B237&lt;='Input sheet(dashboard)'!$D$27*12,V236*(1+'Input sheet(dashboard)'!$E$25)+U237,0)</f>
        <v>5515.4718471282767</v>
      </c>
      <c r="W237" s="17">
        <f>IF(B237&lt;='Input sheet(dashboard)'!$D$27*12,J237-I237+V237-N237,0)</f>
        <v>18950067.451067191</v>
      </c>
      <c r="X237" s="3">
        <f>IF(B237&lt;='Input sheet(dashboard)'!$D$27*12,'Input sheet(dashboard)'!$D$17*(1+'Input sheet(dashboard)'!$E$23)^(B237-1),0)</f>
        <v>66805.028493388803</v>
      </c>
      <c r="Y237" s="3"/>
      <c r="Z237" s="18"/>
      <c r="AA237" s="18"/>
      <c r="AB237" s="3">
        <f>IF(B237=1,'Input sheet(dashboard)'!$D$18*Calculations!X237,IF(Calculations!B237=12*'Input sheet(dashboard)'!$D$27,'Input sheet(dashboard)'!$D$18*-Calculations!X237,0))</f>
        <v>0</v>
      </c>
      <c r="AC237" s="3">
        <f>IF(B237&lt;='Input sheet(dashboard)'!$D$27*12,IF(MOD(B236,'Input sheet(dashboard)'!$D$19*12),0,'Input sheet(dashboard)'!$D$20*(1+'Input sheet(dashboard)'!$E$22)^Calculations!B237),0)</f>
        <v>0</v>
      </c>
      <c r="AD237" s="17">
        <f t="shared" si="30"/>
        <v>66805.028493388803</v>
      </c>
      <c r="AE237" s="17">
        <f>IF(B237&lt;='Input sheet(dashboard)'!$D$27*12,IF(D237=12,SUM(AD226:AD237),0),0)</f>
        <v>0</v>
      </c>
      <c r="AF237" s="17">
        <f t="shared" si="31"/>
        <v>3712.9950191122771</v>
      </c>
      <c r="AG237" s="17">
        <f t="shared" si="32"/>
        <v>3712.9950191122771</v>
      </c>
      <c r="AH237" s="3">
        <f>IF(B237&lt;='Input sheet(dashboard)'!$D$27*12,AH236*(1+'Input sheet(dashboard)'!$E$25)+AG237," ")</f>
        <v>15243310.387568837</v>
      </c>
    </row>
    <row r="238" spans="2:34">
      <c r="B238">
        <f t="shared" si="27"/>
        <v>235</v>
      </c>
      <c r="C238">
        <f t="shared" si="34"/>
        <v>20</v>
      </c>
      <c r="D238">
        <f t="shared" si="35"/>
        <v>7</v>
      </c>
      <c r="E238" s="15">
        <f>IF(C238&lt;='Input sheet(dashboard)'!$D$6, -PMT('Input sheet(dashboard)'!$E$5,'Input sheet(dashboard)'!$D$6*12,'Input sheet(dashboard)'!$D$3*'Input sheet(dashboard)'!$D$4),0)</f>
        <v>39834.137922259193</v>
      </c>
      <c r="F238" s="3">
        <f>I237*'Input sheet(dashboard)'!$E$5</f>
        <v>14641.119921305673</v>
      </c>
      <c r="G238" s="3">
        <f>IF(C238&lt;='Input sheet(dashboard)'!$D$6,E238*'Input sheet(dashboard)'!$D$7,0)</f>
        <v>3186.7310337807357</v>
      </c>
      <c r="H238" s="3">
        <f t="shared" si="28"/>
        <v>25193.018000953518</v>
      </c>
      <c r="I238" s="3">
        <f t="shared" si="29"/>
        <v>3994013.5241671363</v>
      </c>
      <c r="J238" s="3">
        <f>IF(B238&lt;='Input sheet(dashboard)'!$D$27*12,'Input sheet(dashboard)'!$D$3*(1+'Input sheet(dashboard)'!$E$24)^B238,0)</f>
        <v>23057315.716142096</v>
      </c>
      <c r="K238" s="3">
        <f>IF(B238&lt;='Input sheet(dashboard)'!$D$27*12,J238*'Input sheet(dashboard)'!$E$8,0)</f>
        <v>23881.522862635986</v>
      </c>
      <c r="L238" s="3">
        <f>IF(B238&lt;='Input sheet(dashboard)'!$D$27*12,'Input sheet(dashboard)'!$D$9*(1+'Input sheet(dashboard)'!$E$22)^B238,0)</f>
        <v>4865.5314634232609</v>
      </c>
      <c r="M238" s="3">
        <f>IF(B238=1,'Input sheet(dashboard)'!$D$3*'Input sheet(dashboard)'!$D$10,0)</f>
        <v>0</v>
      </c>
      <c r="N238" s="3">
        <f>IF(B238='Input sheet(dashboard)'!$D$27*12,J238*'Input sheet(dashboard)'!$D$11,0)</f>
        <v>0</v>
      </c>
      <c r="O238" s="3">
        <f>IF(SUM(F238:F249)&gt;=150000,150000/12*'Input sheet(dashboard)'!$D$28,SUM(F238:F249)/12*'Input sheet(dashboard)'!$D$28)</f>
        <v>1875</v>
      </c>
      <c r="P238" s="3">
        <f t="shared" si="33"/>
        <v>0</v>
      </c>
      <c r="Q238" s="3">
        <f>IF(B238&lt;='Input sheet(dashboard)'!$D$27*12,'Input sheet(dashboard)'!$D$12/12,0)</f>
        <v>192.5</v>
      </c>
      <c r="R238" s="3">
        <f>IF(B238&lt;='Input sheet(dashboard)'!$D$27*12,('Input sheet(dashboard)'!$D$15/12)*(1+'Input sheet(dashboard)'!$E$22)^Calculations!B238,0)</f>
        <v>540.61460704702904</v>
      </c>
      <c r="S238" s="3">
        <f>IF(B238&lt;='Input sheet(dashboard)'!$D$27*12,(E238+G238+K238+L238-O238+M238+Q238+R238),0)</f>
        <v>70626.037889146202</v>
      </c>
      <c r="T238" s="3">
        <f>IF(B238&lt;='Input sheet(dashboard)'!$D$27*12,IF(D238=12,SUM(S227:S238),0),0)</f>
        <v>0</v>
      </c>
      <c r="U238" s="3">
        <f>IF(B238&lt;='Input sheet(dashboard)'!$D$27*12,IF(S238&lt;AD238,AD238-S238,0),0)</f>
        <v>0</v>
      </c>
      <c r="V238" s="3">
        <f>IF(B238&lt;='Input sheet(dashboard)'!$D$27*12,V237*(1+'Input sheet(dashboard)'!$E$25)+U238,0)</f>
        <v>5550.9585590635761</v>
      </c>
      <c r="W238" s="17">
        <f>IF(B238&lt;='Input sheet(dashboard)'!$D$27*12,J238-I238+V238-N238,0)</f>
        <v>19068853.150534023</v>
      </c>
      <c r="X238" s="3">
        <f>IF(B238&lt;='Input sheet(dashboard)'!$D$27*12,'Input sheet(dashboard)'!$D$17*(1+'Input sheet(dashboard)'!$E$23)^(B238-1),0)</f>
        <v>67077.200448841017</v>
      </c>
      <c r="Y238" s="3"/>
      <c r="Z238" s="18"/>
      <c r="AA238" s="18"/>
      <c r="AB238" s="3">
        <f>IF(B238=1,'Input sheet(dashboard)'!$D$18*Calculations!X238,IF(Calculations!B238=12*'Input sheet(dashboard)'!$D$27,'Input sheet(dashboard)'!$D$18*-Calculations!X238,0))</f>
        <v>0</v>
      </c>
      <c r="AC238" s="3">
        <f>IF(B238&lt;='Input sheet(dashboard)'!$D$27*12,IF(MOD(B237,'Input sheet(dashboard)'!$D$19*12),0,'Input sheet(dashboard)'!$D$20*(1+'Input sheet(dashboard)'!$E$22)^Calculations!B238),0)</f>
        <v>0</v>
      </c>
      <c r="AD238" s="17">
        <f t="shared" si="30"/>
        <v>67077.200448841017</v>
      </c>
      <c r="AE238" s="17">
        <f>IF(B238&lt;='Input sheet(dashboard)'!$D$27*12,IF(D238=12,SUM(AD227:AD238),0),0)</f>
        <v>0</v>
      </c>
      <c r="AF238" s="17">
        <f t="shared" si="31"/>
        <v>3548.8374403051857</v>
      </c>
      <c r="AG238" s="17">
        <f t="shared" si="32"/>
        <v>3548.8374403051857</v>
      </c>
      <c r="AH238" s="3">
        <f>IF(B238&lt;='Input sheet(dashboard)'!$D$27*12,AH237*(1+'Input sheet(dashboard)'!$E$25)+AG238," ")</f>
        <v>15344935.143018888</v>
      </c>
    </row>
    <row r="239" spans="2:34">
      <c r="B239">
        <f t="shared" si="27"/>
        <v>236</v>
      </c>
      <c r="C239">
        <f t="shared" si="34"/>
        <v>20</v>
      </c>
      <c r="D239">
        <f t="shared" si="35"/>
        <v>8</v>
      </c>
      <c r="E239" s="15">
        <f>IF(C239&lt;='Input sheet(dashboard)'!$D$6, -PMT('Input sheet(dashboard)'!$E$5,'Input sheet(dashboard)'!$D$6*12,'Input sheet(dashboard)'!$D$3*'Input sheet(dashboard)'!$D$4),0)</f>
        <v>39834.137922259193</v>
      </c>
      <c r="F239" s="3">
        <f>I238*'Input sheet(dashboard)'!$E$5</f>
        <v>14549.347081601696</v>
      </c>
      <c r="G239" s="3">
        <f>IF(C239&lt;='Input sheet(dashboard)'!$D$6,E239*'Input sheet(dashboard)'!$D$7,0)</f>
        <v>3186.7310337807357</v>
      </c>
      <c r="H239" s="3">
        <f t="shared" si="28"/>
        <v>25284.790840657497</v>
      </c>
      <c r="I239" s="3">
        <f t="shared" si="29"/>
        <v>3968728.7333264789</v>
      </c>
      <c r="J239" s="3">
        <f>IF(B239&lt;='Input sheet(dashboard)'!$D$27*12,'Input sheet(dashboard)'!$D$3*(1+'Input sheet(dashboard)'!$E$24)^B239,0)</f>
        <v>23151254.074488319</v>
      </c>
      <c r="K239" s="3">
        <f>IF(B239&lt;='Input sheet(dashboard)'!$D$27*12,J239*'Input sheet(dashboard)'!$E$8,0)</f>
        <v>23978.819142920391</v>
      </c>
      <c r="L239" s="3">
        <f>IF(B239&lt;='Input sheet(dashboard)'!$D$27*12,'Input sheet(dashboard)'!$D$9*(1+'Input sheet(dashboard)'!$E$22)^B239,0)</f>
        <v>4875.5536616036816</v>
      </c>
      <c r="M239" s="3">
        <f>IF(B239=1,'Input sheet(dashboard)'!$D$3*'Input sheet(dashboard)'!$D$10,0)</f>
        <v>0</v>
      </c>
      <c r="N239" s="3">
        <f>IF(B239='Input sheet(dashboard)'!$D$27*12,J239*'Input sheet(dashboard)'!$D$11,0)</f>
        <v>0</v>
      </c>
      <c r="O239" s="3">
        <f>IF(SUM(F239:F250)&gt;=150000,150000/12*'Input sheet(dashboard)'!$D$28,SUM(F239:F250)/12*'Input sheet(dashboard)'!$D$28)</f>
        <v>1875</v>
      </c>
      <c r="P239" s="3">
        <f t="shared" si="33"/>
        <v>0</v>
      </c>
      <c r="Q239" s="3">
        <f>IF(B239&lt;='Input sheet(dashboard)'!$D$27*12,'Input sheet(dashboard)'!$D$12/12,0)</f>
        <v>192.5</v>
      </c>
      <c r="R239" s="3">
        <f>IF(B239&lt;='Input sheet(dashboard)'!$D$27*12,('Input sheet(dashboard)'!$D$15/12)*(1+'Input sheet(dashboard)'!$E$22)^Calculations!B239,0)</f>
        <v>541.72818462263126</v>
      </c>
      <c r="S239" s="3">
        <f>IF(B239&lt;='Input sheet(dashboard)'!$D$27*12,(E239+G239+K239+L239-O239+M239+Q239+R239),0)</f>
        <v>70734.469945186633</v>
      </c>
      <c r="T239" s="3">
        <f>IF(B239&lt;='Input sheet(dashboard)'!$D$27*12,IF(D239=12,SUM(S228:S239),0),0)</f>
        <v>0</v>
      </c>
      <c r="U239" s="3">
        <f>IF(B239&lt;='Input sheet(dashboard)'!$D$27*12,IF(S239&lt;AD239,AD239-S239,0),0)</f>
        <v>0</v>
      </c>
      <c r="V239" s="3">
        <f>IF(B239&lt;='Input sheet(dashboard)'!$D$27*12,V238*(1+'Input sheet(dashboard)'!$E$25)+U239,0)</f>
        <v>5586.6735935719726</v>
      </c>
      <c r="W239" s="17">
        <f>IF(B239&lt;='Input sheet(dashboard)'!$D$27*12,J239-I239+V239-N239,0)</f>
        <v>19188112.014755413</v>
      </c>
      <c r="X239" s="3">
        <f>IF(B239&lt;='Input sheet(dashboard)'!$D$27*12,'Input sheet(dashboard)'!$D$17*(1+'Input sheet(dashboard)'!$E$23)^(B239-1),0)</f>
        <v>67350.481266530202</v>
      </c>
      <c r="Y239" s="3"/>
      <c r="Z239" s="18"/>
      <c r="AA239" s="18"/>
      <c r="AB239" s="3">
        <f>IF(B239=1,'Input sheet(dashboard)'!$D$18*Calculations!X239,IF(Calculations!B239=12*'Input sheet(dashboard)'!$D$27,'Input sheet(dashboard)'!$D$18*-Calculations!X239,0))</f>
        <v>0</v>
      </c>
      <c r="AC239" s="3">
        <f>IF(B239&lt;='Input sheet(dashboard)'!$D$27*12,IF(MOD(B238,'Input sheet(dashboard)'!$D$19*12),0,'Input sheet(dashboard)'!$D$20*(1+'Input sheet(dashboard)'!$E$22)^Calculations!B239),0)</f>
        <v>0</v>
      </c>
      <c r="AD239" s="17">
        <f t="shared" si="30"/>
        <v>67350.481266530202</v>
      </c>
      <c r="AE239" s="17">
        <f>IF(B239&lt;='Input sheet(dashboard)'!$D$27*12,IF(D239=12,SUM(AD228:AD239),0),0)</f>
        <v>0</v>
      </c>
      <c r="AF239" s="17">
        <f t="shared" si="31"/>
        <v>3383.9886786564311</v>
      </c>
      <c r="AG239" s="17">
        <f t="shared" si="32"/>
        <v>3383.9886786564311</v>
      </c>
      <c r="AH239" s="3">
        <f>IF(B239&lt;='Input sheet(dashboard)'!$D$27*12,AH238*(1+'Input sheet(dashboard)'!$E$25)+AG239," ")</f>
        <v>15447048.906443778</v>
      </c>
    </row>
    <row r="240" spans="2:34">
      <c r="B240">
        <f t="shared" si="27"/>
        <v>237</v>
      </c>
      <c r="C240">
        <f t="shared" si="34"/>
        <v>20</v>
      </c>
      <c r="D240">
        <f t="shared" si="35"/>
        <v>9</v>
      </c>
      <c r="E240" s="15">
        <f>IF(C240&lt;='Input sheet(dashboard)'!$D$6, -PMT('Input sheet(dashboard)'!$E$5,'Input sheet(dashboard)'!$D$6*12,'Input sheet(dashboard)'!$D$3*'Input sheet(dashboard)'!$D$4),0)</f>
        <v>39834.137922259193</v>
      </c>
      <c r="F240" s="3">
        <f>I239*'Input sheet(dashboard)'!$E$5</f>
        <v>14457.239932840064</v>
      </c>
      <c r="G240" s="3">
        <f>IF(C240&lt;='Input sheet(dashboard)'!$D$6,E240*'Input sheet(dashboard)'!$D$7,0)</f>
        <v>3186.7310337807357</v>
      </c>
      <c r="H240" s="3">
        <f t="shared" si="28"/>
        <v>25376.897989419129</v>
      </c>
      <c r="I240" s="3">
        <f t="shared" si="29"/>
        <v>3943351.8353370596</v>
      </c>
      <c r="J240" s="3">
        <f>IF(B240&lt;='Input sheet(dashboard)'!$D$27*12,'Input sheet(dashboard)'!$D$3*(1+'Input sheet(dashboard)'!$E$24)^B240,0)</f>
        <v>23245575.149334479</v>
      </c>
      <c r="K240" s="3">
        <f>IF(B240&lt;='Input sheet(dashboard)'!$D$27*12,J240*'Input sheet(dashboard)'!$E$8,0)</f>
        <v>24076.511820294367</v>
      </c>
      <c r="L240" s="3">
        <f>IF(B240&lt;='Input sheet(dashboard)'!$D$27*12,'Input sheet(dashboard)'!$D$9*(1+'Input sheet(dashboard)'!$E$22)^B240,0)</f>
        <v>4885.5965038714166</v>
      </c>
      <c r="M240" s="3">
        <f>IF(B240=1,'Input sheet(dashboard)'!$D$3*'Input sheet(dashboard)'!$D$10,0)</f>
        <v>0</v>
      </c>
      <c r="N240" s="3">
        <f>IF(B240='Input sheet(dashboard)'!$D$27*12,J240*'Input sheet(dashboard)'!$D$11,0)</f>
        <v>0</v>
      </c>
      <c r="O240" s="3">
        <f>IF(SUM(F240:F251)&gt;=150000,150000/12*'Input sheet(dashboard)'!$D$28,SUM(F240:F251)/12*'Input sheet(dashboard)'!$D$28)</f>
        <v>1875</v>
      </c>
      <c r="P240" s="3">
        <f t="shared" si="33"/>
        <v>0</v>
      </c>
      <c r="Q240" s="3">
        <f>IF(B240&lt;='Input sheet(dashboard)'!$D$27*12,'Input sheet(dashboard)'!$D$12/12,0)</f>
        <v>192.5</v>
      </c>
      <c r="R240" s="3">
        <f>IF(B240&lt;='Input sheet(dashboard)'!$D$27*12,('Input sheet(dashboard)'!$D$15/12)*(1+'Input sheet(dashboard)'!$E$22)^Calculations!B240,0)</f>
        <v>542.844055985713</v>
      </c>
      <c r="S240" s="3">
        <f>IF(B240&lt;='Input sheet(dashboard)'!$D$27*12,(E240+G240+K240+L240-O240+M240+Q240+R240),0)</f>
        <v>70843.321336191424</v>
      </c>
      <c r="T240" s="3">
        <f>IF(B240&lt;='Input sheet(dashboard)'!$D$27*12,IF(D240=12,SUM(S229:S240),0),0)</f>
        <v>0</v>
      </c>
      <c r="U240" s="3">
        <f>IF(B240&lt;='Input sheet(dashboard)'!$D$27*12,IF(S240&lt;AD240,AD240-S240,0),0)</f>
        <v>0</v>
      </c>
      <c r="V240" s="3">
        <f>IF(B240&lt;='Input sheet(dashboard)'!$D$27*12,V239*(1+'Input sheet(dashboard)'!$E$25)+U240,0)</f>
        <v>5622.6184196877757</v>
      </c>
      <c r="W240" s="17">
        <f>IF(B240&lt;='Input sheet(dashboard)'!$D$27*12,J240-I240+V240-N240,0)</f>
        <v>19307845.932417106</v>
      </c>
      <c r="X240" s="3">
        <f>IF(B240&lt;='Input sheet(dashboard)'!$D$27*12,'Input sheet(dashboard)'!$D$17*(1+'Input sheet(dashboard)'!$E$23)^(B240-1),0)</f>
        <v>67624.875464098324</v>
      </c>
      <c r="Y240" s="3"/>
      <c r="Z240" s="18"/>
      <c r="AA240" s="18"/>
      <c r="AB240" s="3">
        <f>IF(B240=1,'Input sheet(dashboard)'!$D$18*Calculations!X240,IF(Calculations!B240=12*'Input sheet(dashboard)'!$D$27,'Input sheet(dashboard)'!$D$18*-Calculations!X240,0))</f>
        <v>0</v>
      </c>
      <c r="AC240" s="3">
        <f>IF(B240&lt;='Input sheet(dashboard)'!$D$27*12,IF(MOD(B239,'Input sheet(dashboard)'!$D$19*12),0,'Input sheet(dashboard)'!$D$20*(1+'Input sheet(dashboard)'!$E$22)^Calculations!B240),0)</f>
        <v>0</v>
      </c>
      <c r="AD240" s="17">
        <f t="shared" si="30"/>
        <v>67624.875464098324</v>
      </c>
      <c r="AE240" s="17">
        <f>IF(B240&lt;='Input sheet(dashboard)'!$D$27*12,IF(D240=12,SUM(AD229:AD240),0),0)</f>
        <v>0</v>
      </c>
      <c r="AF240" s="17">
        <f t="shared" si="31"/>
        <v>3218.4458720930998</v>
      </c>
      <c r="AG240" s="17">
        <f t="shared" si="32"/>
        <v>3218.4458720930998</v>
      </c>
      <c r="AH240" s="3">
        <f>IF(B240&lt;='Input sheet(dashboard)'!$D$27*12,AH239*(1+'Input sheet(dashboard)'!$E$25)+AG240," ")</f>
        <v>15549654.130090626</v>
      </c>
    </row>
    <row r="241" spans="2:34">
      <c r="B241">
        <f t="shared" si="27"/>
        <v>238</v>
      </c>
      <c r="C241">
        <f t="shared" si="34"/>
        <v>20</v>
      </c>
      <c r="D241">
        <f t="shared" si="35"/>
        <v>10</v>
      </c>
      <c r="E241" s="15">
        <f>IF(C241&lt;='Input sheet(dashboard)'!$D$6, -PMT('Input sheet(dashboard)'!$E$5,'Input sheet(dashboard)'!$D$6*12,'Input sheet(dashboard)'!$D$3*'Input sheet(dashboard)'!$D$4),0)</f>
        <v>39834.137922259193</v>
      </c>
      <c r="F241" s="3">
        <f>I240*'Input sheet(dashboard)'!$E$5</f>
        <v>14364.797257203543</v>
      </c>
      <c r="G241" s="3">
        <f>IF(C241&lt;='Input sheet(dashboard)'!$D$6,E241*'Input sheet(dashboard)'!$D$7,0)</f>
        <v>3186.7310337807357</v>
      </c>
      <c r="H241" s="3">
        <f t="shared" si="28"/>
        <v>25469.34066505565</v>
      </c>
      <c r="I241" s="3">
        <f t="shared" si="29"/>
        <v>3917882.4946720041</v>
      </c>
      <c r="J241" s="3">
        <f>IF(B241&lt;='Input sheet(dashboard)'!$D$27*12,'Input sheet(dashboard)'!$D$3*(1+'Input sheet(dashboard)'!$E$24)^B241,0)</f>
        <v>23340280.49991497</v>
      </c>
      <c r="K241" s="3">
        <f>IF(B241&lt;='Input sheet(dashboard)'!$D$27*12,J241*'Input sheet(dashboard)'!$E$8,0)</f>
        <v>24174.602509728724</v>
      </c>
      <c r="L241" s="3">
        <f>IF(B241&lt;='Input sheet(dashboard)'!$D$27*12,'Input sheet(dashboard)'!$D$9*(1+'Input sheet(dashboard)'!$E$22)^B241,0)</f>
        <v>4895.6600327499091</v>
      </c>
      <c r="M241" s="3">
        <f>IF(B241=1,'Input sheet(dashboard)'!$D$3*'Input sheet(dashboard)'!$D$10,0)</f>
        <v>0</v>
      </c>
      <c r="N241" s="3">
        <f>IF(B241='Input sheet(dashboard)'!$D$27*12,J241*'Input sheet(dashboard)'!$D$11,0)</f>
        <v>0</v>
      </c>
      <c r="O241" s="3">
        <f>IF(SUM(F241:F252)&gt;=150000,150000/12*'Input sheet(dashboard)'!$D$28,SUM(F241:F252)/12*'Input sheet(dashboard)'!$D$28)</f>
        <v>1875</v>
      </c>
      <c r="P241" s="3">
        <f t="shared" si="33"/>
        <v>0</v>
      </c>
      <c r="Q241" s="3">
        <f>IF(B241&lt;='Input sheet(dashboard)'!$D$27*12,'Input sheet(dashboard)'!$D$12/12,0)</f>
        <v>192.5</v>
      </c>
      <c r="R241" s="3">
        <f>IF(B241&lt;='Input sheet(dashboard)'!$D$27*12,('Input sheet(dashboard)'!$D$15/12)*(1+'Input sheet(dashboard)'!$E$22)^Calculations!B241,0)</f>
        <v>543.96222586110093</v>
      </c>
      <c r="S241" s="3">
        <f>IF(B241&lt;='Input sheet(dashboard)'!$D$27*12,(E241+G241+K241+L241-O241+M241+Q241+R241),0)</f>
        <v>70952.593724379665</v>
      </c>
      <c r="T241" s="3">
        <f>IF(B241&lt;='Input sheet(dashboard)'!$D$27*12,IF(D241=12,SUM(S230:S241),0),0)</f>
        <v>0</v>
      </c>
      <c r="U241" s="3">
        <f>IF(B241&lt;='Input sheet(dashboard)'!$D$27*12,IF(S241&lt;AD241,AD241-S241,0),0)</f>
        <v>0</v>
      </c>
      <c r="V241" s="3">
        <f>IF(B241&lt;='Input sheet(dashboard)'!$D$27*12,V240*(1+'Input sheet(dashboard)'!$E$25)+U241,0)</f>
        <v>5658.794515897107</v>
      </c>
      <c r="W241" s="17">
        <f>IF(B241&lt;='Input sheet(dashboard)'!$D$27*12,J241-I241+V241-N241,0)</f>
        <v>19428056.799758863</v>
      </c>
      <c r="X241" s="3">
        <f>IF(B241&lt;='Input sheet(dashboard)'!$D$27*12,'Input sheet(dashboard)'!$D$17*(1+'Input sheet(dashboard)'!$E$23)^(B241-1),0)</f>
        <v>67900.387577592875</v>
      </c>
      <c r="Y241" s="3"/>
      <c r="Z241" s="18"/>
      <c r="AA241" s="18"/>
      <c r="AB241" s="3">
        <f>IF(B241=1,'Input sheet(dashboard)'!$D$18*Calculations!X241,IF(Calculations!B241=12*'Input sheet(dashboard)'!$D$27,'Input sheet(dashboard)'!$D$18*-Calculations!X241,0))</f>
        <v>0</v>
      </c>
      <c r="AC241" s="3">
        <f>IF(B241&lt;='Input sheet(dashboard)'!$D$27*12,IF(MOD(B240,'Input sheet(dashboard)'!$D$19*12),0,'Input sheet(dashboard)'!$D$20*(1+'Input sheet(dashboard)'!$E$22)^Calculations!B241),0)</f>
        <v>0</v>
      </c>
      <c r="AD241" s="17">
        <f t="shared" si="30"/>
        <v>67900.387577592875</v>
      </c>
      <c r="AE241" s="17">
        <f>IF(B241&lt;='Input sheet(dashboard)'!$D$27*12,IF(D241=12,SUM(AD230:AD241),0),0)</f>
        <v>0</v>
      </c>
      <c r="AF241" s="17">
        <f t="shared" si="31"/>
        <v>3052.2061467867898</v>
      </c>
      <c r="AG241" s="17">
        <f t="shared" si="32"/>
        <v>3052.2061467867898</v>
      </c>
      <c r="AH241" s="3">
        <f>IF(B241&lt;='Input sheet(dashboard)'!$D$27*12,AH240*(1+'Input sheet(dashboard)'!$E$25)+AG241," ")</f>
        <v>15652753.279110555</v>
      </c>
    </row>
    <row r="242" spans="2:34">
      <c r="B242">
        <f t="shared" si="27"/>
        <v>239</v>
      </c>
      <c r="C242">
        <f t="shared" si="34"/>
        <v>20</v>
      </c>
      <c r="D242">
        <f t="shared" si="35"/>
        <v>11</v>
      </c>
      <c r="E242" s="15">
        <f>IF(C242&lt;='Input sheet(dashboard)'!$D$6, -PMT('Input sheet(dashboard)'!$E$5,'Input sheet(dashboard)'!$D$6*12,'Input sheet(dashboard)'!$D$3*'Input sheet(dashboard)'!$D$4),0)</f>
        <v>39834.137922259193</v>
      </c>
      <c r="F242" s="3">
        <f>I241*'Input sheet(dashboard)'!$E$5</f>
        <v>14272.017832438647</v>
      </c>
      <c r="G242" s="3">
        <f>IF(C242&lt;='Input sheet(dashboard)'!$D$6,E242*'Input sheet(dashboard)'!$D$7,0)</f>
        <v>3186.7310337807357</v>
      </c>
      <c r="H242" s="3">
        <f t="shared" si="28"/>
        <v>25562.120089820546</v>
      </c>
      <c r="I242" s="3">
        <f t="shared" si="29"/>
        <v>3892320.3745821835</v>
      </c>
      <c r="J242" s="3">
        <f>IF(B242&lt;='Input sheet(dashboard)'!$D$27*12,'Input sheet(dashboard)'!$D$3*(1+'Input sheet(dashboard)'!$E$24)^B242,0)</f>
        <v>23435371.691816699</v>
      </c>
      <c r="K242" s="3">
        <f>IF(B242&lt;='Input sheet(dashboard)'!$D$27*12,J242*'Input sheet(dashboard)'!$E$8,0)</f>
        <v>24273.092832773855</v>
      </c>
      <c r="L242" s="3">
        <f>IF(B242&lt;='Input sheet(dashboard)'!$D$27*12,'Input sheet(dashboard)'!$D$9*(1+'Input sheet(dashboard)'!$E$22)^B242,0)</f>
        <v>4905.7442908501862</v>
      </c>
      <c r="M242" s="3">
        <f>IF(B242=1,'Input sheet(dashboard)'!$D$3*'Input sheet(dashboard)'!$D$10,0)</f>
        <v>0</v>
      </c>
      <c r="N242" s="3">
        <f>IF(B242='Input sheet(dashboard)'!$D$27*12,J242*'Input sheet(dashboard)'!$D$11,0)</f>
        <v>0</v>
      </c>
      <c r="O242" s="3">
        <f>IF(SUM(F242:F253)&gt;=150000,150000/12*'Input sheet(dashboard)'!$D$28,SUM(F242:F253)/12*'Input sheet(dashboard)'!$D$28)</f>
        <v>1875</v>
      </c>
      <c r="P242" s="3">
        <f t="shared" si="33"/>
        <v>0</v>
      </c>
      <c r="Q242" s="3">
        <f>IF(B242&lt;='Input sheet(dashboard)'!$D$27*12,'Input sheet(dashboard)'!$D$12/12,0)</f>
        <v>192.5</v>
      </c>
      <c r="R242" s="3">
        <f>IF(B242&lt;='Input sheet(dashboard)'!$D$27*12,('Input sheet(dashboard)'!$D$15/12)*(1+'Input sheet(dashboard)'!$E$22)^Calculations!B242,0)</f>
        <v>545.08269898335402</v>
      </c>
      <c r="S242" s="3">
        <f>IF(B242&lt;='Input sheet(dashboard)'!$D$27*12,(E242+G242+K242+L242-O242+M242+Q242+R242),0)</f>
        <v>71062.288778647329</v>
      </c>
      <c r="T242" s="3">
        <f>IF(B242&lt;='Input sheet(dashboard)'!$D$27*12,IF(D242=12,SUM(S231:S242),0),0)</f>
        <v>0</v>
      </c>
      <c r="U242" s="3">
        <f>IF(B242&lt;='Input sheet(dashboard)'!$D$27*12,IF(S242&lt;AD242,AD242-S242,0),0)</f>
        <v>0</v>
      </c>
      <c r="V242" s="3">
        <f>IF(B242&lt;='Input sheet(dashboard)'!$D$27*12,V241*(1+'Input sheet(dashboard)'!$E$25)+U242,0)</f>
        <v>5695.2033701987111</v>
      </c>
      <c r="W242" s="17">
        <f>IF(B242&lt;='Input sheet(dashboard)'!$D$27*12,J242-I242+V242-N242,0)</f>
        <v>19548746.520604715</v>
      </c>
      <c r="X242" s="3">
        <f>IF(B242&lt;='Input sheet(dashboard)'!$D$27*12,'Input sheet(dashboard)'!$D$17*(1+'Input sheet(dashboard)'!$E$23)^(B242-1),0)</f>
        <v>68177.022161541681</v>
      </c>
      <c r="Y242" s="3"/>
      <c r="Z242" s="18"/>
      <c r="AA242" s="18"/>
      <c r="AB242" s="3">
        <f>IF(B242=1,'Input sheet(dashboard)'!$D$18*Calculations!X242,IF(Calculations!B242=12*'Input sheet(dashboard)'!$D$27,'Input sheet(dashboard)'!$D$18*-Calculations!X242,0))</f>
        <v>0</v>
      </c>
      <c r="AC242" s="3">
        <f>IF(B242&lt;='Input sheet(dashboard)'!$D$27*12,IF(MOD(B241,'Input sheet(dashboard)'!$D$19*12),0,'Input sheet(dashboard)'!$D$20*(1+'Input sheet(dashboard)'!$E$22)^Calculations!B242),0)</f>
        <v>0</v>
      </c>
      <c r="AD242" s="17">
        <f t="shared" si="30"/>
        <v>68177.022161541681</v>
      </c>
      <c r="AE242" s="17">
        <f>IF(B242&lt;='Input sheet(dashboard)'!$D$27*12,IF(D242=12,SUM(AD231:AD242),0),0)</f>
        <v>0</v>
      </c>
      <c r="AF242" s="17">
        <f t="shared" si="31"/>
        <v>2885.266617105648</v>
      </c>
      <c r="AG242" s="17">
        <f t="shared" si="32"/>
        <v>2885.266617105648</v>
      </c>
      <c r="AH242" s="3">
        <f>IF(B242&lt;='Input sheet(dashboard)'!$D$27*12,AH241*(1+'Input sheet(dashboard)'!$E$25)+AG242," ")</f>
        <v>15756348.831629913</v>
      </c>
    </row>
    <row r="243" spans="2:34">
      <c r="B243">
        <f t="shared" si="27"/>
        <v>240</v>
      </c>
      <c r="C243">
        <f t="shared" si="34"/>
        <v>20</v>
      </c>
      <c r="D243">
        <f t="shared" si="35"/>
        <v>12</v>
      </c>
      <c r="E243" s="15">
        <f>IF(C243&lt;='Input sheet(dashboard)'!$D$6, -PMT('Input sheet(dashboard)'!$E$5,'Input sheet(dashboard)'!$D$6*12,'Input sheet(dashboard)'!$D$3*'Input sheet(dashboard)'!$D$4),0)</f>
        <v>39834.137922259193</v>
      </c>
      <c r="F243" s="3">
        <f>I242*'Input sheet(dashboard)'!$E$5</f>
        <v>14178.900431839475</v>
      </c>
      <c r="G243" s="3">
        <f>IF(C243&lt;='Input sheet(dashboard)'!$D$6,E243*'Input sheet(dashboard)'!$D$7,0)</f>
        <v>3186.7310337807357</v>
      </c>
      <c r="H243" s="3">
        <f t="shared" si="28"/>
        <v>25655.23749041972</v>
      </c>
      <c r="I243" s="3">
        <f t="shared" si="29"/>
        <v>3866665.1370917638</v>
      </c>
      <c r="J243" s="3">
        <f>IF(B243&lt;='Input sheet(dashboard)'!$D$27*12,'Input sheet(dashboard)'!$D$3*(1+'Input sheet(dashboard)'!$E$24)^B243,0)</f>
        <v>23530850.297004972</v>
      </c>
      <c r="K243" s="3">
        <f>IF(B243&lt;='Input sheet(dashboard)'!$D$27*12,J243*'Input sheet(dashboard)'!$E$8,0)</f>
        <v>24371.984417586566</v>
      </c>
      <c r="L243" s="3">
        <f>IF(B243&lt;='Input sheet(dashboard)'!$D$27*12,'Input sheet(dashboard)'!$D$9*(1+'Input sheet(dashboard)'!$E$22)^B243,0)</f>
        <v>4915.8493208710524</v>
      </c>
      <c r="M243" s="3">
        <f>IF(B243=1,'Input sheet(dashboard)'!$D$3*'Input sheet(dashboard)'!$D$10,0)</f>
        <v>0</v>
      </c>
      <c r="N243" s="3">
        <f>IF(B243='Input sheet(dashboard)'!$D$27*12,J243*'Input sheet(dashboard)'!$D$11,0)</f>
        <v>0</v>
      </c>
      <c r="O243" s="3">
        <f>IF(SUM(F243:F254)&gt;=150000,150000/12*'Input sheet(dashboard)'!$D$28,SUM(F243:F254)/12*'Input sheet(dashboard)'!$D$28)</f>
        <v>1875</v>
      </c>
      <c r="P243" s="3">
        <f t="shared" si="33"/>
        <v>22500</v>
      </c>
      <c r="Q243" s="3">
        <f>IF(B243&lt;='Input sheet(dashboard)'!$D$27*12,'Input sheet(dashboard)'!$D$12/12,0)</f>
        <v>192.5</v>
      </c>
      <c r="R243" s="3">
        <f>IF(B243&lt;='Input sheet(dashboard)'!$D$27*12,('Input sheet(dashboard)'!$D$15/12)*(1+'Input sheet(dashboard)'!$E$22)^Calculations!B243,0)</f>
        <v>546.20548009678362</v>
      </c>
      <c r="S243" s="3">
        <f>IF(B243&lt;='Input sheet(dashboard)'!$D$27*12,(E243+G243+K243+L243-O243+M243+Q243+R243),0)</f>
        <v>71172.40817459434</v>
      </c>
      <c r="T243" s="3">
        <f>IF(B243&lt;='Input sheet(dashboard)'!$D$27*12,IF(D243=12,SUM(S232:S243),0),0)</f>
        <v>846893.54899476608</v>
      </c>
      <c r="U243" s="3">
        <f>IF(B243&lt;='Input sheet(dashboard)'!$D$27*12,IF(S243&lt;AD243,AD243-S243,0),0)</f>
        <v>0</v>
      </c>
      <c r="V243" s="3">
        <f>IF(B243&lt;='Input sheet(dashboard)'!$D$27*12,V242*(1+'Input sheet(dashboard)'!$E$25)+U243,0)</f>
        <v>5731.8464801651626</v>
      </c>
      <c r="W243" s="17">
        <f>IF(B243&lt;='Input sheet(dashboard)'!$D$27*12,J243-I243+V243-N243,0)</f>
        <v>19669917.006393373</v>
      </c>
      <c r="X243" s="3">
        <f>IF(B243&lt;='Input sheet(dashboard)'!$D$27*12,'Input sheet(dashboard)'!$D$17*(1+'Input sheet(dashboard)'!$E$23)^(B243-1),0)</f>
        <v>68454.783789028341</v>
      </c>
      <c r="Y243" s="3"/>
      <c r="Z243" s="18"/>
      <c r="AA243" s="18"/>
      <c r="AB243" s="3">
        <f>IF(B243=1,'Input sheet(dashboard)'!$D$18*Calculations!X243,IF(Calculations!B243=12*'Input sheet(dashboard)'!$D$27,'Input sheet(dashboard)'!$D$18*-Calculations!X243,0))</f>
        <v>0</v>
      </c>
      <c r="AC243" s="3">
        <f>IF(B243&lt;='Input sheet(dashboard)'!$D$27*12,IF(MOD(B242,'Input sheet(dashboard)'!$D$19*12),0,'Input sheet(dashboard)'!$D$20*(1+'Input sheet(dashboard)'!$E$22)^Calculations!B243),0)</f>
        <v>0</v>
      </c>
      <c r="AD243" s="17">
        <f t="shared" si="30"/>
        <v>68454.783789028341</v>
      </c>
      <c r="AE243" s="17">
        <f>IF(B243&lt;='Input sheet(dashboard)'!$D$27*12,IF(D243=12,SUM(AD232:AD243),0),0)</f>
        <v>803370.83858297172</v>
      </c>
      <c r="AF243" s="17">
        <f t="shared" si="31"/>
        <v>2717.6243855659995</v>
      </c>
      <c r="AG243" s="17">
        <f t="shared" si="32"/>
        <v>2717.6243855659995</v>
      </c>
      <c r="AH243" s="3">
        <f>IF(B243&lt;='Input sheet(dashboard)'!$D$27*12,AH242*(1+'Input sheet(dashboard)'!$E$25)+AG243," ")</f>
        <v>15860443.278821902</v>
      </c>
    </row>
    <row r="244" spans="2:34">
      <c r="B244">
        <f t="shared" si="27"/>
        <v>241</v>
      </c>
      <c r="C244">
        <f t="shared" si="34"/>
        <v>21</v>
      </c>
      <c r="D244">
        <f t="shared" si="35"/>
        <v>1</v>
      </c>
      <c r="E244" s="15">
        <f>IF(C244&lt;='Input sheet(dashboard)'!$D$6, -PMT('Input sheet(dashboard)'!$E$5,'Input sheet(dashboard)'!$D$6*12,'Input sheet(dashboard)'!$D$3*'Input sheet(dashboard)'!$D$4),0)</f>
        <v>39834.137922259193</v>
      </c>
      <c r="F244" s="3">
        <f>I243*'Input sheet(dashboard)'!$E$5</f>
        <v>14085.443824231499</v>
      </c>
      <c r="G244" s="3">
        <f>IF(C244&lt;='Input sheet(dashboard)'!$D$6,E244*'Input sheet(dashboard)'!$D$7,0)</f>
        <v>3186.7310337807357</v>
      </c>
      <c r="H244" s="3">
        <f t="shared" si="28"/>
        <v>25748.694098027692</v>
      </c>
      <c r="I244" s="3">
        <f t="shared" si="29"/>
        <v>3840916.4429937359</v>
      </c>
      <c r="J244" s="3">
        <f>IF(B244&lt;='Input sheet(dashboard)'!$D$27*12,'Input sheet(dashboard)'!$D$3*(1+'Input sheet(dashboard)'!$E$24)^B244,0)</f>
        <v>23626717.893849466</v>
      </c>
      <c r="K244" s="3">
        <f>IF(B244&lt;='Input sheet(dashboard)'!$D$27*12,J244*'Input sheet(dashboard)'!$E$8,0)</f>
        <v>24471.27889895696</v>
      </c>
      <c r="L244" s="3">
        <f>IF(B244&lt;='Input sheet(dashboard)'!$D$27*12,'Input sheet(dashboard)'!$D$9*(1+'Input sheet(dashboard)'!$E$22)^B244,0)</f>
        <v>4925.975165599265</v>
      </c>
      <c r="M244" s="3">
        <f>IF(B244=1,'Input sheet(dashboard)'!$D$3*'Input sheet(dashboard)'!$D$10,0)</f>
        <v>0</v>
      </c>
      <c r="N244" s="3">
        <f>IF(B244='Input sheet(dashboard)'!$D$27*12,J244*'Input sheet(dashboard)'!$D$11,0)</f>
        <v>0</v>
      </c>
      <c r="O244" s="3">
        <f>IF(SUM(F244:F255)&gt;=150000,150000/12*'Input sheet(dashboard)'!$D$28,SUM(F244:F255)/12*'Input sheet(dashboard)'!$D$28)</f>
        <v>1875</v>
      </c>
      <c r="P244" s="3">
        <f t="shared" si="33"/>
        <v>0</v>
      </c>
      <c r="Q244" s="3">
        <f>IF(B244&lt;='Input sheet(dashboard)'!$D$27*12,'Input sheet(dashboard)'!$D$12/12,0)</f>
        <v>192.5</v>
      </c>
      <c r="R244" s="3">
        <f>IF(B244&lt;='Input sheet(dashboard)'!$D$27*12,('Input sheet(dashboard)'!$D$15/12)*(1+'Input sheet(dashboard)'!$E$22)^Calculations!B244,0)</f>
        <v>547.33057395547382</v>
      </c>
      <c r="S244" s="3">
        <f>IF(B244&lt;='Input sheet(dashboard)'!$D$27*12,(E244+G244+K244+L244-O244+M244+Q244+R244),0)</f>
        <v>71282.953594551625</v>
      </c>
      <c r="T244" s="3">
        <f>IF(B244&lt;='Input sheet(dashboard)'!$D$27*12,IF(D244=12,SUM(S233:S244),0),0)</f>
        <v>0</v>
      </c>
      <c r="U244" s="3">
        <f>IF(B244&lt;='Input sheet(dashboard)'!$D$27*12,IF(S244&lt;AD244,AD244-S244,0),0)</f>
        <v>0</v>
      </c>
      <c r="V244" s="3">
        <f>IF(B244&lt;='Input sheet(dashboard)'!$D$27*12,V243*(1+'Input sheet(dashboard)'!$E$25)+U244,0)</f>
        <v>5768.7253530044627</v>
      </c>
      <c r="W244" s="17">
        <f>IF(B244&lt;='Input sheet(dashboard)'!$D$27*12,J244-I244+V244-N244,0)</f>
        <v>19791570.176208738</v>
      </c>
      <c r="X244" s="3">
        <f>IF(B244&lt;='Input sheet(dashboard)'!$D$27*12,'Input sheet(dashboard)'!$D$17*(1+'Input sheet(dashboard)'!$E$23)^(B244-1),0)</f>
        <v>68733.677051767736</v>
      </c>
      <c r="Y244" s="3"/>
      <c r="Z244" s="18"/>
      <c r="AA244" s="18"/>
      <c r="AB244" s="3">
        <f>IF(B244=1,'Input sheet(dashboard)'!$D$18*Calculations!X244,IF(Calculations!B244=12*'Input sheet(dashboard)'!$D$27,'Input sheet(dashboard)'!$D$18*-Calculations!X244,0))</f>
        <v>0</v>
      </c>
      <c r="AC244" s="3">
        <f>IF(B244&lt;='Input sheet(dashboard)'!$D$27*12,IF(MOD(B243,'Input sheet(dashboard)'!$D$19*12),0,'Input sheet(dashboard)'!$D$20*(1+'Input sheet(dashboard)'!$E$22)^Calculations!B244),0)</f>
        <v>0</v>
      </c>
      <c r="AD244" s="17">
        <f t="shared" si="30"/>
        <v>68733.677051767736</v>
      </c>
      <c r="AE244" s="17">
        <f>IF(B244&lt;='Input sheet(dashboard)'!$D$27*12,IF(D244=12,SUM(AD233:AD244),0),0)</f>
        <v>0</v>
      </c>
      <c r="AF244" s="17">
        <f t="shared" si="31"/>
        <v>2549.2765427838895</v>
      </c>
      <c r="AG244" s="17">
        <f t="shared" si="32"/>
        <v>2549.2765427838895</v>
      </c>
      <c r="AH244" s="3">
        <f>IF(B244&lt;='Input sheet(dashboard)'!$D$27*12,AH243*(1+'Input sheet(dashboard)'!$E$25)+AG244," ")</f>
        <v>15965039.124978628</v>
      </c>
    </row>
    <row r="245" spans="2:34">
      <c r="B245">
        <f t="shared" si="27"/>
        <v>242</v>
      </c>
      <c r="C245">
        <f t="shared" si="34"/>
        <v>21</v>
      </c>
      <c r="D245">
        <f t="shared" si="35"/>
        <v>2</v>
      </c>
      <c r="E245" s="15">
        <f>IF(C245&lt;='Input sheet(dashboard)'!$D$6, -PMT('Input sheet(dashboard)'!$E$5,'Input sheet(dashboard)'!$D$6*12,'Input sheet(dashboard)'!$D$3*'Input sheet(dashboard)'!$D$4),0)</f>
        <v>39834.137922259193</v>
      </c>
      <c r="F245" s="3">
        <f>I244*'Input sheet(dashboard)'!$E$5</f>
        <v>13991.646773955281</v>
      </c>
      <c r="G245" s="3">
        <f>IF(C245&lt;='Input sheet(dashboard)'!$D$6,E245*'Input sheet(dashboard)'!$D$7,0)</f>
        <v>3186.7310337807357</v>
      </c>
      <c r="H245" s="3">
        <f t="shared" si="28"/>
        <v>25842.49114830391</v>
      </c>
      <c r="I245" s="3">
        <f t="shared" si="29"/>
        <v>3815073.9518454322</v>
      </c>
      <c r="J245" s="3">
        <f>IF(B245&lt;='Input sheet(dashboard)'!$D$27*12,'Input sheet(dashboard)'!$D$3*(1+'Input sheet(dashboard)'!$E$24)^B245,0)</f>
        <v>23722976.067150351</v>
      </c>
      <c r="K245" s="3">
        <f>IF(B245&lt;='Input sheet(dashboard)'!$D$27*12,J245*'Input sheet(dashboard)'!$E$8,0)</f>
        <v>24570.977918335495</v>
      </c>
      <c r="L245" s="3">
        <f>IF(B245&lt;='Input sheet(dashboard)'!$D$27*12,'Input sheet(dashboard)'!$D$9*(1+'Input sheet(dashboard)'!$E$22)^B245,0)</f>
        <v>4936.1218679097119</v>
      </c>
      <c r="M245" s="3">
        <f>IF(B245=1,'Input sheet(dashboard)'!$D$3*'Input sheet(dashboard)'!$D$10,0)</f>
        <v>0</v>
      </c>
      <c r="N245" s="3">
        <f>IF(B245='Input sheet(dashboard)'!$D$27*12,J245*'Input sheet(dashboard)'!$D$11,0)</f>
        <v>0</v>
      </c>
      <c r="O245" s="3">
        <f>IF(SUM(F245:F256)&gt;=150000,150000/12*'Input sheet(dashboard)'!$D$28,SUM(F245:F256)/12*'Input sheet(dashboard)'!$D$28)</f>
        <v>1875</v>
      </c>
      <c r="P245" s="3">
        <f t="shared" si="33"/>
        <v>0</v>
      </c>
      <c r="Q245" s="3">
        <f>IF(B245&lt;='Input sheet(dashboard)'!$D$27*12,'Input sheet(dashboard)'!$D$12/12,0)</f>
        <v>192.5</v>
      </c>
      <c r="R245" s="3">
        <f>IF(B245&lt;='Input sheet(dashboard)'!$D$27*12,('Input sheet(dashboard)'!$D$15/12)*(1+'Input sheet(dashboard)'!$E$22)^Calculations!B245,0)</f>
        <v>548.45798532330127</v>
      </c>
      <c r="S245" s="3">
        <f>IF(B245&lt;='Input sheet(dashboard)'!$D$27*12,(E245+G245+K245+L245-O245+M245+Q245+R245),0)</f>
        <v>71393.926727608428</v>
      </c>
      <c r="T245" s="3">
        <f>IF(B245&lt;='Input sheet(dashboard)'!$D$27*12,IF(D245=12,SUM(S234:S245),0),0)</f>
        <v>0</v>
      </c>
      <c r="U245" s="3">
        <f>IF(B245&lt;='Input sheet(dashboard)'!$D$27*12,IF(S245&lt;AD245,AD245-S245,0),0)</f>
        <v>0</v>
      </c>
      <c r="V245" s="3">
        <f>IF(B245&lt;='Input sheet(dashboard)'!$D$27*12,V244*(1+'Input sheet(dashboard)'!$E$25)+U245,0)</f>
        <v>5805.8415056220338</v>
      </c>
      <c r="W245" s="17">
        <f>IF(B245&lt;='Input sheet(dashboard)'!$D$27*12,J245-I245+V245-N245,0)</f>
        <v>19913707.956810538</v>
      </c>
      <c r="X245" s="3">
        <f>IF(B245&lt;='Input sheet(dashboard)'!$D$27*12,'Input sheet(dashboard)'!$D$17*(1+'Input sheet(dashboard)'!$E$23)^(B245-1),0)</f>
        <v>69013.706560181949</v>
      </c>
      <c r="Y245" s="3"/>
      <c r="Z245" s="18"/>
      <c r="AA245" s="18"/>
      <c r="AB245" s="3">
        <f>IF(B245=1,'Input sheet(dashboard)'!$D$18*Calculations!X245,IF(Calculations!B245=12*'Input sheet(dashboard)'!$D$27,'Input sheet(dashboard)'!$D$18*-Calculations!X245,0))</f>
        <v>0</v>
      </c>
      <c r="AC245" s="3">
        <f>IF(B245&lt;='Input sheet(dashboard)'!$D$27*12,IF(MOD(B244,'Input sheet(dashboard)'!$D$19*12),0,'Input sheet(dashboard)'!$D$20*(1+'Input sheet(dashboard)'!$E$22)^Calculations!B245),0)</f>
        <v>0</v>
      </c>
      <c r="AD245" s="17">
        <f t="shared" si="30"/>
        <v>69013.706560181949</v>
      </c>
      <c r="AE245" s="17">
        <f>IF(B245&lt;='Input sheet(dashboard)'!$D$27*12,IF(D245=12,SUM(AD234:AD245),0),0)</f>
        <v>0</v>
      </c>
      <c r="AF245" s="17">
        <f t="shared" si="31"/>
        <v>2380.2201674264797</v>
      </c>
      <c r="AG245" s="17">
        <f t="shared" si="32"/>
        <v>2380.2201674264797</v>
      </c>
      <c r="AH245" s="3">
        <f>IF(B245&lt;='Input sheet(dashboard)'!$D$27*12,AH244*(1+'Input sheet(dashboard)'!$E$25)+AG245," ")</f>
        <v>16070138.88758355</v>
      </c>
    </row>
    <row r="246" spans="2:34">
      <c r="B246">
        <f t="shared" si="27"/>
        <v>243</v>
      </c>
      <c r="C246">
        <f t="shared" si="34"/>
        <v>21</v>
      </c>
      <c r="D246">
        <f t="shared" si="35"/>
        <v>3</v>
      </c>
      <c r="E246" s="15">
        <f>IF(C246&lt;='Input sheet(dashboard)'!$D$6, -PMT('Input sheet(dashboard)'!$E$5,'Input sheet(dashboard)'!$D$6*12,'Input sheet(dashboard)'!$D$3*'Input sheet(dashboard)'!$D$4),0)</f>
        <v>39834.137922259193</v>
      </c>
      <c r="F246" s="3">
        <f>I245*'Input sheet(dashboard)'!$E$5</f>
        <v>13897.508040850142</v>
      </c>
      <c r="G246" s="3">
        <f>IF(C246&lt;='Input sheet(dashboard)'!$D$6,E246*'Input sheet(dashboard)'!$D$7,0)</f>
        <v>3186.7310337807357</v>
      </c>
      <c r="H246" s="3">
        <f t="shared" si="28"/>
        <v>25936.629881409051</v>
      </c>
      <c r="I246" s="3">
        <f t="shared" si="29"/>
        <v>3789137.3219640232</v>
      </c>
      <c r="J246" s="3">
        <f>IF(B246&lt;='Input sheet(dashboard)'!$D$27*12,'Input sheet(dashboard)'!$D$3*(1+'Input sheet(dashboard)'!$E$24)^B246,0)</f>
        <v>23819626.408164449</v>
      </c>
      <c r="K246" s="3">
        <f>IF(B246&lt;='Input sheet(dashboard)'!$D$27*12,J246*'Input sheet(dashboard)'!$E$8,0)</f>
        <v>24671.083123860084</v>
      </c>
      <c r="L246" s="3">
        <f>IF(B246&lt;='Input sheet(dashboard)'!$D$27*12,'Input sheet(dashboard)'!$D$9*(1+'Input sheet(dashboard)'!$E$22)^B246,0)</f>
        <v>4946.2894707655942</v>
      </c>
      <c r="M246" s="3">
        <f>IF(B246=1,'Input sheet(dashboard)'!$D$3*'Input sheet(dashboard)'!$D$10,0)</f>
        <v>0</v>
      </c>
      <c r="N246" s="3">
        <f>IF(B246='Input sheet(dashboard)'!$D$27*12,J246*'Input sheet(dashboard)'!$D$11,0)</f>
        <v>0</v>
      </c>
      <c r="O246" s="3">
        <f>IF(SUM(F246:F257)&gt;=150000,150000/12*'Input sheet(dashboard)'!$D$28,SUM(F246:F257)/12*'Input sheet(dashboard)'!$D$28)</f>
        <v>1875</v>
      </c>
      <c r="P246" s="3">
        <f t="shared" si="33"/>
        <v>0</v>
      </c>
      <c r="Q246" s="3">
        <f>IF(B246&lt;='Input sheet(dashboard)'!$D$27*12,'Input sheet(dashboard)'!$D$12/12,0)</f>
        <v>192.5</v>
      </c>
      <c r="R246" s="3">
        <f>IF(B246&lt;='Input sheet(dashboard)'!$D$27*12,('Input sheet(dashboard)'!$D$15/12)*(1+'Input sheet(dashboard)'!$E$22)^Calculations!B246,0)</f>
        <v>549.58771897395491</v>
      </c>
      <c r="S246" s="3">
        <f>IF(B246&lt;='Input sheet(dashboard)'!$D$27*12,(E246+G246+K246+L246-O246+M246+Q246+R246),0)</f>
        <v>71505.329269639566</v>
      </c>
      <c r="T246" s="3">
        <f>IF(B246&lt;='Input sheet(dashboard)'!$D$27*12,IF(D246=12,SUM(S235:S246),0),0)</f>
        <v>0</v>
      </c>
      <c r="U246" s="3">
        <f>IF(B246&lt;='Input sheet(dashboard)'!$D$27*12,IF(S246&lt;AD246,AD246-S246,0),0)</f>
        <v>0</v>
      </c>
      <c r="V246" s="3">
        <f>IF(B246&lt;='Input sheet(dashboard)'!$D$27*12,V245*(1+'Input sheet(dashboard)'!$E$25)+U246,0)</f>
        <v>5843.1964646831138</v>
      </c>
      <c r="W246" s="17">
        <f>IF(B246&lt;='Input sheet(dashboard)'!$D$27*12,J246-I246+V246-N246,0)</f>
        <v>20036332.282665111</v>
      </c>
      <c r="X246" s="3">
        <f>IF(B246&lt;='Input sheet(dashboard)'!$D$27*12,'Input sheet(dashboard)'!$D$17*(1+'Input sheet(dashboard)'!$E$23)^(B246-1),0)</f>
        <v>69294.876943476527</v>
      </c>
      <c r="Y246" s="3"/>
      <c r="Z246" s="18"/>
      <c r="AA246" s="18"/>
      <c r="AB246" s="3">
        <f>IF(B246=1,'Input sheet(dashboard)'!$D$18*Calculations!X246,IF(Calculations!B246=12*'Input sheet(dashboard)'!$D$27,'Input sheet(dashboard)'!$D$18*-Calculations!X246,0))</f>
        <v>0</v>
      </c>
      <c r="AC246" s="3">
        <f>IF(B246&lt;='Input sheet(dashboard)'!$D$27*12,IF(MOD(B245,'Input sheet(dashboard)'!$D$19*12),0,'Input sheet(dashboard)'!$D$20*(1+'Input sheet(dashboard)'!$E$22)^Calculations!B246),0)</f>
        <v>0</v>
      </c>
      <c r="AD246" s="17">
        <f t="shared" si="30"/>
        <v>69294.876943476527</v>
      </c>
      <c r="AE246" s="17">
        <f>IF(B246&lt;='Input sheet(dashboard)'!$D$27*12,IF(D246=12,SUM(AD235:AD246),0),0)</f>
        <v>0</v>
      </c>
      <c r="AF246" s="17">
        <f t="shared" si="31"/>
        <v>2210.4523261630384</v>
      </c>
      <c r="AG246" s="17">
        <f t="shared" si="32"/>
        <v>2210.4523261630384</v>
      </c>
      <c r="AH246" s="3">
        <f>IF(B246&lt;='Input sheet(dashboard)'!$D$27*12,AH245*(1+'Input sheet(dashboard)'!$E$25)+AG246," ")</f>
        <v>16175745.097384363</v>
      </c>
    </row>
    <row r="247" spans="2:34">
      <c r="B247">
        <f t="shared" si="27"/>
        <v>244</v>
      </c>
      <c r="C247">
        <f t="shared" si="34"/>
        <v>21</v>
      </c>
      <c r="D247">
        <f t="shared" si="35"/>
        <v>4</v>
      </c>
      <c r="E247" s="15">
        <f>IF(C247&lt;='Input sheet(dashboard)'!$D$6, -PMT('Input sheet(dashboard)'!$E$5,'Input sheet(dashboard)'!$D$6*12,'Input sheet(dashboard)'!$D$3*'Input sheet(dashboard)'!$D$4),0)</f>
        <v>39834.137922259193</v>
      </c>
      <c r="F247" s="3">
        <f>I246*'Input sheet(dashboard)'!$E$5</f>
        <v>13803.02638023775</v>
      </c>
      <c r="G247" s="3">
        <f>IF(C247&lt;='Input sheet(dashboard)'!$D$6,E247*'Input sheet(dashboard)'!$D$7,0)</f>
        <v>3186.7310337807357</v>
      </c>
      <c r="H247" s="3">
        <f t="shared" si="28"/>
        <v>26031.111542021441</v>
      </c>
      <c r="I247" s="3">
        <f t="shared" si="29"/>
        <v>3763106.2104220018</v>
      </c>
      <c r="J247" s="3">
        <f>IF(B247&lt;='Input sheet(dashboard)'!$D$27*12,'Input sheet(dashboard)'!$D$3*(1+'Input sheet(dashboard)'!$E$24)^B247,0)</f>
        <v>23916670.514631569</v>
      </c>
      <c r="K247" s="3">
        <f>IF(B247&lt;='Input sheet(dashboard)'!$D$27*12,J247*'Input sheet(dashboard)'!$E$8,0)</f>
        <v>24771.596170383367</v>
      </c>
      <c r="L247" s="3">
        <f>IF(B247&lt;='Input sheet(dashboard)'!$D$27*12,'Input sheet(dashboard)'!$D$9*(1+'Input sheet(dashboard)'!$E$22)^B247,0)</f>
        <v>4956.4780172186202</v>
      </c>
      <c r="M247" s="3">
        <f>IF(B247=1,'Input sheet(dashboard)'!$D$3*'Input sheet(dashboard)'!$D$10,0)</f>
        <v>0</v>
      </c>
      <c r="N247" s="3">
        <f>IF(B247='Input sheet(dashboard)'!$D$27*12,J247*'Input sheet(dashboard)'!$D$11,0)</f>
        <v>0</v>
      </c>
      <c r="O247" s="3">
        <f>IF(SUM(F247:F258)&gt;=150000,150000/12*'Input sheet(dashboard)'!$D$28,SUM(F247:F258)/12*'Input sheet(dashboard)'!$D$28)</f>
        <v>1875</v>
      </c>
      <c r="P247" s="3">
        <f t="shared" si="33"/>
        <v>0</v>
      </c>
      <c r="Q247" s="3">
        <f>IF(B247&lt;='Input sheet(dashboard)'!$D$27*12,'Input sheet(dashboard)'!$D$12/12,0)</f>
        <v>192.5</v>
      </c>
      <c r="R247" s="3">
        <f>IF(B247&lt;='Input sheet(dashboard)'!$D$27*12,('Input sheet(dashboard)'!$D$15/12)*(1+'Input sheet(dashboard)'!$E$22)^Calculations!B247,0)</f>
        <v>550.71977969095781</v>
      </c>
      <c r="S247" s="3">
        <f>IF(B247&lt;='Input sheet(dashboard)'!$D$27*12,(E247+G247+K247+L247-O247+M247+Q247+R247),0)</f>
        <v>71617.162923332871</v>
      </c>
      <c r="T247" s="3">
        <f>IF(B247&lt;='Input sheet(dashboard)'!$D$27*12,IF(D247=12,SUM(S236:S247),0),0)</f>
        <v>0</v>
      </c>
      <c r="U247" s="3">
        <f>IF(B247&lt;='Input sheet(dashboard)'!$D$27*12,IF(S247&lt;AD247,AD247-S247,0),0)</f>
        <v>0</v>
      </c>
      <c r="V247" s="3">
        <f>IF(B247&lt;='Input sheet(dashboard)'!$D$27*12,V246*(1+'Input sheet(dashboard)'!$E$25)+U247,0)</f>
        <v>5880.7917666755502</v>
      </c>
      <c r="W247" s="17">
        <f>IF(B247&lt;='Input sheet(dashboard)'!$D$27*12,J247-I247+V247-N247,0)</f>
        <v>20159445.095976245</v>
      </c>
      <c r="X247" s="3">
        <f>IF(B247&lt;='Input sheet(dashboard)'!$D$27*12,'Input sheet(dashboard)'!$D$17*(1+'Input sheet(dashboard)'!$E$23)^(B247-1),0)</f>
        <v>69577.192849716928</v>
      </c>
      <c r="Y247" s="3"/>
      <c r="Z247" s="18"/>
      <c r="AA247" s="18"/>
      <c r="AB247" s="3">
        <f>IF(B247=1,'Input sheet(dashboard)'!$D$18*Calculations!X247,IF(Calculations!B247=12*'Input sheet(dashboard)'!$D$27,'Input sheet(dashboard)'!$D$18*-Calculations!X247,0))</f>
        <v>0</v>
      </c>
      <c r="AC247" s="3">
        <f>IF(B247&lt;='Input sheet(dashboard)'!$D$27*12,IF(MOD(B246,'Input sheet(dashboard)'!$D$19*12),0,'Input sheet(dashboard)'!$D$20*(1+'Input sheet(dashboard)'!$E$22)^Calculations!B247),0)</f>
        <v>0</v>
      </c>
      <c r="AD247" s="17">
        <f t="shared" si="30"/>
        <v>69577.192849716928</v>
      </c>
      <c r="AE247" s="17">
        <f>IF(B247&lt;='Input sheet(dashboard)'!$D$27*12,IF(D247=12,SUM(AD236:AD247),0),0)</f>
        <v>0</v>
      </c>
      <c r="AF247" s="17">
        <f t="shared" si="31"/>
        <v>2039.970073615943</v>
      </c>
      <c r="AG247" s="17">
        <f t="shared" si="32"/>
        <v>2039.970073615943</v>
      </c>
      <c r="AH247" s="3">
        <f>IF(B247&lt;='Input sheet(dashboard)'!$D$27*12,AH246*(1+'Input sheet(dashboard)'!$E$25)+AG247," ")</f>
        <v>16281860.298466291</v>
      </c>
    </row>
    <row r="248" spans="2:34">
      <c r="B248">
        <f t="shared" si="27"/>
        <v>245</v>
      </c>
      <c r="C248">
        <f t="shared" si="34"/>
        <v>21</v>
      </c>
      <c r="D248">
        <f t="shared" si="35"/>
        <v>5</v>
      </c>
      <c r="E248" s="15">
        <f>IF(C248&lt;='Input sheet(dashboard)'!$D$6, -PMT('Input sheet(dashboard)'!$E$5,'Input sheet(dashboard)'!$D$6*12,'Input sheet(dashboard)'!$D$3*'Input sheet(dashboard)'!$D$4),0)</f>
        <v>39834.137922259193</v>
      </c>
      <c r="F248" s="3">
        <f>I247*'Input sheet(dashboard)'!$E$5</f>
        <v>13708.200542905681</v>
      </c>
      <c r="G248" s="3">
        <f>IF(C248&lt;='Input sheet(dashboard)'!$D$6,E248*'Input sheet(dashboard)'!$D$7,0)</f>
        <v>3186.7310337807357</v>
      </c>
      <c r="H248" s="3">
        <f t="shared" si="28"/>
        <v>26125.937379353512</v>
      </c>
      <c r="I248" s="3">
        <f t="shared" si="29"/>
        <v>3736980.2730426481</v>
      </c>
      <c r="J248" s="3">
        <f>IF(B248&lt;='Input sheet(dashboard)'!$D$27*12,'Input sheet(dashboard)'!$D$3*(1+'Input sheet(dashboard)'!$E$24)^B248,0)</f>
        <v>24014109.99080091</v>
      </c>
      <c r="K248" s="3">
        <f>IF(B248&lt;='Input sheet(dashboard)'!$D$27*12,J248*'Input sheet(dashboard)'!$E$8,0)</f>
        <v>24872.518719500058</v>
      </c>
      <c r="L248" s="3">
        <f>IF(B248&lt;='Input sheet(dashboard)'!$D$27*12,'Input sheet(dashboard)'!$D$9*(1+'Input sheet(dashboard)'!$E$22)^B248,0)</f>
        <v>4966.687550409164</v>
      </c>
      <c r="M248" s="3">
        <f>IF(B248=1,'Input sheet(dashboard)'!$D$3*'Input sheet(dashboard)'!$D$10,0)</f>
        <v>0</v>
      </c>
      <c r="N248" s="3">
        <f>IF(B248='Input sheet(dashboard)'!$D$27*12,J248*'Input sheet(dashboard)'!$D$11,0)</f>
        <v>0</v>
      </c>
      <c r="O248" s="3">
        <f>IF(SUM(F248:F259)&gt;=150000,150000/12*'Input sheet(dashboard)'!$D$28,SUM(F248:F259)/12*'Input sheet(dashboard)'!$D$28)</f>
        <v>1875</v>
      </c>
      <c r="P248" s="3">
        <f t="shared" si="33"/>
        <v>0</v>
      </c>
      <c r="Q248" s="3">
        <f>IF(B248&lt;='Input sheet(dashboard)'!$D$27*12,'Input sheet(dashboard)'!$D$12/12,0)</f>
        <v>192.5</v>
      </c>
      <c r="R248" s="3">
        <f>IF(B248&lt;='Input sheet(dashboard)'!$D$27*12,('Input sheet(dashboard)'!$D$15/12)*(1+'Input sheet(dashboard)'!$E$22)^Calculations!B248,0)</f>
        <v>551.85417226768493</v>
      </c>
      <c r="S248" s="3">
        <f>IF(B248&lt;='Input sheet(dashboard)'!$D$27*12,(E248+G248+K248+L248-O248+M248+Q248+R248),0)</f>
        <v>71729.429398216831</v>
      </c>
      <c r="T248" s="3">
        <f>IF(B248&lt;='Input sheet(dashboard)'!$D$27*12,IF(D248=12,SUM(S237:S248),0),0)</f>
        <v>0</v>
      </c>
      <c r="U248" s="3">
        <f>IF(B248&lt;='Input sheet(dashboard)'!$D$27*12,IF(S248&lt;AD248,AD248-S248,0),0)</f>
        <v>0</v>
      </c>
      <c r="V248" s="3">
        <f>IF(B248&lt;='Input sheet(dashboard)'!$D$27*12,V247*(1+'Input sheet(dashboard)'!$E$25)+U248,0)</f>
        <v>5918.628957973001</v>
      </c>
      <c r="W248" s="17">
        <f>IF(B248&lt;='Input sheet(dashboard)'!$D$27*12,J248-I248+V248-N248,0)</f>
        <v>20283048.346716233</v>
      </c>
      <c r="X248" s="3">
        <f>IF(B248&lt;='Input sheet(dashboard)'!$D$27*12,'Input sheet(dashboard)'!$D$17*(1+'Input sheet(dashboard)'!$E$23)^(B248-1),0)</f>
        <v>69860.658945905452</v>
      </c>
      <c r="Y248" s="3"/>
      <c r="Z248" s="18"/>
      <c r="AA248" s="18"/>
      <c r="AB248" s="3">
        <f>IF(B248=1,'Input sheet(dashboard)'!$D$18*Calculations!X248,IF(Calculations!B248=12*'Input sheet(dashboard)'!$D$27,'Input sheet(dashboard)'!$D$18*-Calculations!X248,0))</f>
        <v>0</v>
      </c>
      <c r="AC248" s="3">
        <f>IF(B248&lt;='Input sheet(dashboard)'!$D$27*12,IF(MOD(B247,'Input sheet(dashboard)'!$D$19*12),0,'Input sheet(dashboard)'!$D$20*(1+'Input sheet(dashboard)'!$E$22)^Calculations!B248),0)</f>
        <v>0</v>
      </c>
      <c r="AD248" s="17">
        <f t="shared" si="30"/>
        <v>69860.658945905452</v>
      </c>
      <c r="AE248" s="17">
        <f>IF(B248&lt;='Input sheet(dashboard)'!$D$27*12,IF(D248=12,SUM(AD237:AD248),0),0)</f>
        <v>0</v>
      </c>
      <c r="AF248" s="17">
        <f t="shared" si="31"/>
        <v>1868.7704523113789</v>
      </c>
      <c r="AG248" s="17">
        <f t="shared" si="32"/>
        <v>1868.7704523113789</v>
      </c>
      <c r="AH248" s="3">
        <f>IF(B248&lt;='Input sheet(dashboard)'!$D$27*12,AH247*(1+'Input sheet(dashboard)'!$E$25)+AG248," ")</f>
        <v>16388487.048325805</v>
      </c>
    </row>
    <row r="249" spans="2:34">
      <c r="B249">
        <f t="shared" si="27"/>
        <v>246</v>
      </c>
      <c r="C249">
        <f t="shared" si="34"/>
        <v>21</v>
      </c>
      <c r="D249">
        <f t="shared" si="35"/>
        <v>6</v>
      </c>
      <c r="E249" s="15">
        <f>IF(C249&lt;='Input sheet(dashboard)'!$D$6, -PMT('Input sheet(dashboard)'!$E$5,'Input sheet(dashboard)'!$D$6*12,'Input sheet(dashboard)'!$D$3*'Input sheet(dashboard)'!$D$4),0)</f>
        <v>39834.137922259193</v>
      </c>
      <c r="F249" s="3">
        <f>I248*'Input sheet(dashboard)'!$E$5</f>
        <v>13613.029275090888</v>
      </c>
      <c r="G249" s="3">
        <f>IF(C249&lt;='Input sheet(dashboard)'!$D$6,E249*'Input sheet(dashboard)'!$D$7,0)</f>
        <v>3186.7310337807357</v>
      </c>
      <c r="H249" s="3">
        <f t="shared" si="28"/>
        <v>26221.108647168305</v>
      </c>
      <c r="I249" s="3">
        <f t="shared" si="29"/>
        <v>3710759.16439548</v>
      </c>
      <c r="J249" s="3">
        <f>IF(B249&lt;='Input sheet(dashboard)'!$D$27*12,'Input sheet(dashboard)'!$D$3*(1+'Input sheet(dashboard)'!$E$24)^B249,0)</f>
        <v>24111946.447457585</v>
      </c>
      <c r="K249" s="3">
        <f>IF(B249&lt;='Input sheet(dashboard)'!$D$27*12,J249*'Input sheet(dashboard)'!$E$8,0)</f>
        <v>24973.852439574417</v>
      </c>
      <c r="L249" s="3">
        <f>IF(B249&lt;='Input sheet(dashboard)'!$D$27*12,'Input sheet(dashboard)'!$D$9*(1+'Input sheet(dashboard)'!$E$22)^B249,0)</f>
        <v>4976.9181135664739</v>
      </c>
      <c r="M249" s="3">
        <f>IF(B249=1,'Input sheet(dashboard)'!$D$3*'Input sheet(dashboard)'!$D$10,0)</f>
        <v>0</v>
      </c>
      <c r="N249" s="3">
        <f>IF(B249='Input sheet(dashboard)'!$D$27*12,J249*'Input sheet(dashboard)'!$D$11,0)</f>
        <v>0</v>
      </c>
      <c r="O249" s="3">
        <f>IF(SUM(F249:F260)&gt;=150000,150000/12*'Input sheet(dashboard)'!$D$28,SUM(F249:F260)/12*'Input sheet(dashboard)'!$D$28)</f>
        <v>1875</v>
      </c>
      <c r="P249" s="3">
        <f t="shared" si="33"/>
        <v>0</v>
      </c>
      <c r="Q249" s="3">
        <f>IF(B249&lt;='Input sheet(dashboard)'!$D$27*12,'Input sheet(dashboard)'!$D$12/12,0)</f>
        <v>192.5</v>
      </c>
      <c r="R249" s="3">
        <f>IF(B249&lt;='Input sheet(dashboard)'!$D$27*12,('Input sheet(dashboard)'!$D$15/12)*(1+'Input sheet(dashboard)'!$E$22)^Calculations!B249,0)</f>
        <v>552.99090150738596</v>
      </c>
      <c r="S249" s="3">
        <f>IF(B249&lt;='Input sheet(dashboard)'!$D$27*12,(E249+G249+K249+L249-O249+M249+Q249+R249),0)</f>
        <v>71842.130410688202</v>
      </c>
      <c r="T249" s="3">
        <f>IF(B249&lt;='Input sheet(dashboard)'!$D$27*12,IF(D249=12,SUM(S238:S249),0),0)</f>
        <v>0</v>
      </c>
      <c r="U249" s="3">
        <f>IF(B249&lt;='Input sheet(dashboard)'!$D$27*12,IF(S249&lt;AD249,AD249-S249,0),0)</f>
        <v>0</v>
      </c>
      <c r="V249" s="3">
        <f>IF(B249&lt;='Input sheet(dashboard)'!$D$27*12,V248*(1+'Input sheet(dashboard)'!$E$25)+U249,0)</f>
        <v>5956.7095948985379</v>
      </c>
      <c r="W249" s="17">
        <f>IF(B249&lt;='Input sheet(dashboard)'!$D$27*12,J249-I249+V249-N249,0)</f>
        <v>20407143.992657002</v>
      </c>
      <c r="X249" s="3">
        <f>IF(B249&lt;='Input sheet(dashboard)'!$D$27*12,'Input sheet(dashboard)'!$D$17*(1+'Input sheet(dashboard)'!$E$23)^(B249-1),0)</f>
        <v>70145.279918058295</v>
      </c>
      <c r="Y249" s="3"/>
      <c r="Z249" s="18"/>
      <c r="AA249" s="18"/>
      <c r="AB249" s="3">
        <f>IF(B249=1,'Input sheet(dashboard)'!$D$18*Calculations!X249,IF(Calculations!B249=12*'Input sheet(dashboard)'!$D$27,'Input sheet(dashboard)'!$D$18*-Calculations!X249,0))</f>
        <v>0</v>
      </c>
      <c r="AC249" s="3">
        <f>IF(B249&lt;='Input sheet(dashboard)'!$D$27*12,IF(MOD(B248,'Input sheet(dashboard)'!$D$19*12),0,'Input sheet(dashboard)'!$D$20*(1+'Input sheet(dashboard)'!$E$22)^Calculations!B249),0)</f>
        <v>0</v>
      </c>
      <c r="AD249" s="17">
        <f t="shared" si="30"/>
        <v>70145.279918058295</v>
      </c>
      <c r="AE249" s="17">
        <f>IF(B249&lt;='Input sheet(dashboard)'!$D$27*12,IF(D249=12,SUM(AD238:AD249),0),0)</f>
        <v>0</v>
      </c>
      <c r="AF249" s="17">
        <f t="shared" si="31"/>
        <v>1696.8504926299065</v>
      </c>
      <c r="AG249" s="17">
        <f t="shared" si="32"/>
        <v>1696.8504926299065</v>
      </c>
      <c r="AH249" s="3">
        <f>IF(B249&lt;='Input sheet(dashboard)'!$D$27*12,AH248*(1+'Input sheet(dashboard)'!$E$25)+AG249," ")</f>
        <v>16495627.917944765</v>
      </c>
    </row>
    <row r="250" spans="2:34">
      <c r="B250">
        <f t="shared" si="27"/>
        <v>247</v>
      </c>
      <c r="C250">
        <f t="shared" si="34"/>
        <v>21</v>
      </c>
      <c r="D250">
        <f t="shared" si="35"/>
        <v>7</v>
      </c>
      <c r="E250" s="15">
        <f>IF(C250&lt;='Input sheet(dashboard)'!$D$6, -PMT('Input sheet(dashboard)'!$E$5,'Input sheet(dashboard)'!$D$6*12,'Input sheet(dashboard)'!$D$3*'Input sheet(dashboard)'!$D$4),0)</f>
        <v>39834.137922259193</v>
      </c>
      <c r="F250" s="3">
        <f>I249*'Input sheet(dashboard)'!$E$5</f>
        <v>13517.511318463141</v>
      </c>
      <c r="G250" s="3">
        <f>IF(C250&lt;='Input sheet(dashboard)'!$D$6,E250*'Input sheet(dashboard)'!$D$7,0)</f>
        <v>3186.7310337807357</v>
      </c>
      <c r="H250" s="3">
        <f t="shared" si="28"/>
        <v>26316.626603796052</v>
      </c>
      <c r="I250" s="3">
        <f t="shared" si="29"/>
        <v>3684442.5377916838</v>
      </c>
      <c r="J250" s="3">
        <f>IF(B250&lt;='Input sheet(dashboard)'!$D$27*12,'Input sheet(dashboard)'!$D$3*(1+'Input sheet(dashboard)'!$E$24)^B250,0)</f>
        <v>24210181.501949225</v>
      </c>
      <c r="K250" s="3">
        <f>IF(B250&lt;='Input sheet(dashboard)'!$D$27*12,J250*'Input sheet(dashboard)'!$E$8,0)</f>
        <v>25075.59900576781</v>
      </c>
      <c r="L250" s="3">
        <f>IF(B250&lt;='Input sheet(dashboard)'!$D$27*12,'Input sheet(dashboard)'!$D$9*(1+'Input sheet(dashboard)'!$E$22)^B250,0)</f>
        <v>4987.1697500088358</v>
      </c>
      <c r="M250" s="3">
        <f>IF(B250=1,'Input sheet(dashboard)'!$D$3*'Input sheet(dashboard)'!$D$10,0)</f>
        <v>0</v>
      </c>
      <c r="N250" s="3">
        <f>IF(B250='Input sheet(dashboard)'!$D$27*12,J250*'Input sheet(dashboard)'!$D$11,0)</f>
        <v>0</v>
      </c>
      <c r="O250" s="3">
        <f>IF(SUM(F250:F261)&gt;=150000,150000/12*'Input sheet(dashboard)'!$D$28,SUM(F250:F261)/12*'Input sheet(dashboard)'!$D$28)</f>
        <v>1875</v>
      </c>
      <c r="P250" s="3">
        <f t="shared" si="33"/>
        <v>0</v>
      </c>
      <c r="Q250" s="3">
        <f>IF(B250&lt;='Input sheet(dashboard)'!$D$27*12,'Input sheet(dashboard)'!$D$12/12,0)</f>
        <v>192.5</v>
      </c>
      <c r="R250" s="3">
        <f>IF(B250&lt;='Input sheet(dashboard)'!$D$27*12,('Input sheet(dashboard)'!$D$15/12)*(1+'Input sheet(dashboard)'!$E$22)^Calculations!B250,0)</f>
        <v>554.12997222320394</v>
      </c>
      <c r="S250" s="3">
        <f>IF(B250&lt;='Input sheet(dashboard)'!$D$27*12,(E250+G250+K250+L250-O250+M250+Q250+R250),0)</f>
        <v>71955.267684039776</v>
      </c>
      <c r="T250" s="3">
        <f>IF(B250&lt;='Input sheet(dashboard)'!$D$27*12,IF(D250=12,SUM(S239:S250),0),0)</f>
        <v>0</v>
      </c>
      <c r="U250" s="3">
        <f>IF(B250&lt;='Input sheet(dashboard)'!$D$27*12,IF(S250&lt;AD250,AD250-S250,0),0)</f>
        <v>0</v>
      </c>
      <c r="V250" s="3">
        <f>IF(B250&lt;='Input sheet(dashboard)'!$D$27*12,V249*(1+'Input sheet(dashboard)'!$E$25)+U250,0)</f>
        <v>5995.0352437886613</v>
      </c>
      <c r="W250" s="17">
        <f>IF(B250&lt;='Input sheet(dashboard)'!$D$27*12,J250-I250+V250-N250,0)</f>
        <v>20531733.999401327</v>
      </c>
      <c r="X250" s="3">
        <f>IF(B250&lt;='Input sheet(dashboard)'!$D$27*12,'Input sheet(dashboard)'!$D$17*(1+'Input sheet(dashboard)'!$E$23)^(B250-1),0)</f>
        <v>70431.060471283141</v>
      </c>
      <c r="Y250" s="3"/>
      <c r="Z250" s="18"/>
      <c r="AA250" s="18"/>
      <c r="AB250" s="3">
        <f>IF(B250=1,'Input sheet(dashboard)'!$D$18*Calculations!X250,IF(Calculations!B250=12*'Input sheet(dashboard)'!$D$27,'Input sheet(dashboard)'!$D$18*-Calculations!X250,0))</f>
        <v>0</v>
      </c>
      <c r="AC250" s="3">
        <f>IF(B250&lt;='Input sheet(dashboard)'!$D$27*12,IF(MOD(B249,'Input sheet(dashboard)'!$D$19*12),0,'Input sheet(dashboard)'!$D$20*(1+'Input sheet(dashboard)'!$E$22)^Calculations!B250),0)</f>
        <v>0</v>
      </c>
      <c r="AD250" s="17">
        <f t="shared" si="30"/>
        <v>70431.060471283141</v>
      </c>
      <c r="AE250" s="17">
        <f>IF(B250&lt;='Input sheet(dashboard)'!$D$27*12,IF(D250=12,SUM(AD239:AD250),0),0)</f>
        <v>0</v>
      </c>
      <c r="AF250" s="17">
        <f t="shared" si="31"/>
        <v>1524.2072127566353</v>
      </c>
      <c r="AG250" s="17">
        <f t="shared" si="32"/>
        <v>1524.2072127566353</v>
      </c>
      <c r="AH250" s="3">
        <f>IF(B250&lt;='Input sheet(dashboard)'!$D$27*12,AH249*(1+'Input sheet(dashboard)'!$E$25)+AG250," ")</f>
        <v>16603285.491864992</v>
      </c>
    </row>
    <row r="251" spans="2:34">
      <c r="B251">
        <f t="shared" si="27"/>
        <v>248</v>
      </c>
      <c r="C251">
        <f t="shared" si="34"/>
        <v>21</v>
      </c>
      <c r="D251">
        <f t="shared" si="35"/>
        <v>8</v>
      </c>
      <c r="E251" s="15">
        <f>IF(C251&lt;='Input sheet(dashboard)'!$D$6, -PMT('Input sheet(dashboard)'!$E$5,'Input sheet(dashboard)'!$D$6*12,'Input sheet(dashboard)'!$D$3*'Input sheet(dashboard)'!$D$4),0)</f>
        <v>39834.137922259193</v>
      </c>
      <c r="F251" s="3">
        <f>I250*'Input sheet(dashboard)'!$E$5</f>
        <v>13421.645410108365</v>
      </c>
      <c r="G251" s="3">
        <f>IF(C251&lt;='Input sheet(dashboard)'!$D$6,E251*'Input sheet(dashboard)'!$D$7,0)</f>
        <v>3186.7310337807357</v>
      </c>
      <c r="H251" s="3">
        <f t="shared" si="28"/>
        <v>26412.492512150828</v>
      </c>
      <c r="I251" s="3">
        <f t="shared" si="29"/>
        <v>3658030.0452795331</v>
      </c>
      <c r="J251" s="3">
        <f>IF(B251&lt;='Input sheet(dashboard)'!$D$27*12,'Input sheet(dashboard)'!$D$3*(1+'Input sheet(dashboard)'!$E$24)^B251,0)</f>
        <v>24308816.778212767</v>
      </c>
      <c r="K251" s="3">
        <f>IF(B251&lt;='Input sheet(dashboard)'!$D$27*12,J251*'Input sheet(dashboard)'!$E$8,0)</f>
        <v>25177.760100066444</v>
      </c>
      <c r="L251" s="3">
        <f>IF(B251&lt;='Input sheet(dashboard)'!$D$27*12,'Input sheet(dashboard)'!$D$9*(1+'Input sheet(dashboard)'!$E$22)^B251,0)</f>
        <v>4997.4425031437668</v>
      </c>
      <c r="M251" s="3">
        <f>IF(B251=1,'Input sheet(dashboard)'!$D$3*'Input sheet(dashboard)'!$D$10,0)</f>
        <v>0</v>
      </c>
      <c r="N251" s="3">
        <f>IF(B251='Input sheet(dashboard)'!$D$27*12,J251*'Input sheet(dashboard)'!$D$11,0)</f>
        <v>0</v>
      </c>
      <c r="O251" s="3">
        <f>IF(SUM(F251:F262)&gt;=150000,150000/12*'Input sheet(dashboard)'!$D$28,SUM(F251:F262)/12*'Input sheet(dashboard)'!$D$28)</f>
        <v>1875</v>
      </c>
      <c r="P251" s="3">
        <f t="shared" si="33"/>
        <v>0</v>
      </c>
      <c r="Q251" s="3">
        <f>IF(B251&lt;='Input sheet(dashboard)'!$D$27*12,'Input sheet(dashboard)'!$D$12/12,0)</f>
        <v>192.5</v>
      </c>
      <c r="R251" s="3">
        <f>IF(B251&lt;='Input sheet(dashboard)'!$D$27*12,('Input sheet(dashboard)'!$D$15/12)*(1+'Input sheet(dashboard)'!$E$22)^Calculations!B251,0)</f>
        <v>555.27138923819632</v>
      </c>
      <c r="S251" s="3">
        <f>IF(B251&lt;='Input sheet(dashboard)'!$D$27*12,(E251+G251+K251+L251-O251+M251+Q251+R251),0)</f>
        <v>72068.842948488353</v>
      </c>
      <c r="T251" s="3">
        <f>IF(B251&lt;='Input sheet(dashboard)'!$D$27*12,IF(D251=12,SUM(S240:S251),0),0)</f>
        <v>0</v>
      </c>
      <c r="U251" s="3">
        <f>IF(B251&lt;='Input sheet(dashboard)'!$D$27*12,IF(S251&lt;AD251,AD251-S251,0),0)</f>
        <v>0</v>
      </c>
      <c r="V251" s="3">
        <f>IF(B251&lt;='Input sheet(dashboard)'!$D$27*12,V250*(1+'Input sheet(dashboard)'!$E$25)+U251,0)</f>
        <v>6033.6074810577293</v>
      </c>
      <c r="W251" s="17">
        <f>IF(B251&lt;='Input sheet(dashboard)'!$D$27*12,J251-I251+V251-N251,0)</f>
        <v>20656820.340414293</v>
      </c>
      <c r="X251" s="3">
        <f>IF(B251&lt;='Input sheet(dashboard)'!$D$27*12,'Input sheet(dashboard)'!$D$17*(1+'Input sheet(dashboard)'!$E$23)^(B251-1),0)</f>
        <v>70718.005329856765</v>
      </c>
      <c r="Y251" s="3"/>
      <c r="Z251" s="18"/>
      <c r="AA251" s="18"/>
      <c r="AB251" s="3">
        <f>IF(B251=1,'Input sheet(dashboard)'!$D$18*Calculations!X251,IF(Calculations!B251=12*'Input sheet(dashboard)'!$D$27,'Input sheet(dashboard)'!$D$18*-Calculations!X251,0))</f>
        <v>0</v>
      </c>
      <c r="AC251" s="3">
        <f>IF(B251&lt;='Input sheet(dashboard)'!$D$27*12,IF(MOD(B250,'Input sheet(dashboard)'!$D$19*12),0,'Input sheet(dashboard)'!$D$20*(1+'Input sheet(dashboard)'!$E$22)^Calculations!B251),0)</f>
        <v>0</v>
      </c>
      <c r="AD251" s="17">
        <f t="shared" si="30"/>
        <v>70718.005329856765</v>
      </c>
      <c r="AE251" s="17">
        <f>IF(B251&lt;='Input sheet(dashboard)'!$D$27*12,IF(D251=12,SUM(AD240:AD251),0),0)</f>
        <v>0</v>
      </c>
      <c r="AF251" s="17">
        <f t="shared" si="31"/>
        <v>1350.8376186315872</v>
      </c>
      <c r="AG251" s="17">
        <f t="shared" si="32"/>
        <v>1350.8376186315872</v>
      </c>
      <c r="AH251" s="3">
        <f>IF(B251&lt;='Input sheet(dashboard)'!$D$27*12,AH250*(1+'Input sheet(dashboard)'!$E$25)+AG251," ")</f>
        <v>16711462.368263267</v>
      </c>
    </row>
    <row r="252" spans="2:34">
      <c r="B252">
        <f t="shared" si="27"/>
        <v>249</v>
      </c>
      <c r="C252">
        <f t="shared" si="34"/>
        <v>21</v>
      </c>
      <c r="D252">
        <f t="shared" si="35"/>
        <v>9</v>
      </c>
      <c r="E252" s="15">
        <f>IF(C252&lt;='Input sheet(dashboard)'!$D$6, -PMT('Input sheet(dashboard)'!$E$5,'Input sheet(dashboard)'!$D$6*12,'Input sheet(dashboard)'!$D$3*'Input sheet(dashboard)'!$D$4),0)</f>
        <v>39834.137922259193</v>
      </c>
      <c r="F252" s="3">
        <f>I251*'Input sheet(dashboard)'!$E$5</f>
        <v>13325.430282511965</v>
      </c>
      <c r="G252" s="3">
        <f>IF(C252&lt;='Input sheet(dashboard)'!$D$6,E252*'Input sheet(dashboard)'!$D$7,0)</f>
        <v>3186.7310337807357</v>
      </c>
      <c r="H252" s="3">
        <f t="shared" si="28"/>
        <v>26508.707639747226</v>
      </c>
      <c r="I252" s="3">
        <f t="shared" si="29"/>
        <v>3631521.3376397858</v>
      </c>
      <c r="J252" s="3">
        <f>IF(B252&lt;='Input sheet(dashboard)'!$D$27*12,'Input sheet(dashboard)'!$D$3*(1+'Input sheet(dashboard)'!$E$24)^B252,0)</f>
        <v>24407853.906801231</v>
      </c>
      <c r="K252" s="3">
        <f>IF(B252&lt;='Input sheet(dashboard)'!$D$27*12,J252*'Input sheet(dashboard)'!$E$8,0)</f>
        <v>25280.337411309116</v>
      </c>
      <c r="L252" s="3">
        <f>IF(B252&lt;='Input sheet(dashboard)'!$D$27*12,'Input sheet(dashboard)'!$D$9*(1+'Input sheet(dashboard)'!$E$22)^B252,0)</f>
        <v>5007.7364164681958</v>
      </c>
      <c r="M252" s="3">
        <f>IF(B252=1,'Input sheet(dashboard)'!$D$3*'Input sheet(dashboard)'!$D$10,0)</f>
        <v>0</v>
      </c>
      <c r="N252" s="3">
        <f>IF(B252='Input sheet(dashboard)'!$D$27*12,J252*'Input sheet(dashboard)'!$D$11,0)</f>
        <v>0</v>
      </c>
      <c r="O252" s="3">
        <f>IF(SUM(F252:F263)&gt;=150000,150000/12*'Input sheet(dashboard)'!$D$28,SUM(F252:F263)/12*'Input sheet(dashboard)'!$D$28)</f>
        <v>1875</v>
      </c>
      <c r="P252" s="3">
        <f t="shared" si="33"/>
        <v>0</v>
      </c>
      <c r="Q252" s="3">
        <f>IF(B252&lt;='Input sheet(dashboard)'!$D$27*12,'Input sheet(dashboard)'!$D$12/12,0)</f>
        <v>192.5</v>
      </c>
      <c r="R252" s="3">
        <f>IF(B252&lt;='Input sheet(dashboard)'!$D$27*12,('Input sheet(dashboard)'!$D$15/12)*(1+'Input sheet(dashboard)'!$E$22)^Calculations!B252,0)</f>
        <v>556.41515738535509</v>
      </c>
      <c r="S252" s="3">
        <f>IF(B252&lt;='Input sheet(dashboard)'!$D$27*12,(E252+G252+K252+L252-O252+M252+Q252+R252),0)</f>
        <v>72182.857941202601</v>
      </c>
      <c r="T252" s="3">
        <f>IF(B252&lt;='Input sheet(dashboard)'!$D$27*12,IF(D252=12,SUM(S241:S252),0),0)</f>
        <v>0</v>
      </c>
      <c r="U252" s="3">
        <f>IF(B252&lt;='Input sheet(dashboard)'!$D$27*12,IF(S252&lt;AD252,AD252-S252,0),0)</f>
        <v>0</v>
      </c>
      <c r="V252" s="3">
        <f>IF(B252&lt;='Input sheet(dashboard)'!$D$27*12,V251*(1+'Input sheet(dashboard)'!$E$25)+U252,0)</f>
        <v>6072.4278932627967</v>
      </c>
      <c r="W252" s="17">
        <f>IF(B252&lt;='Input sheet(dashboard)'!$D$27*12,J252-I252+V252-N252,0)</f>
        <v>20782404.997054707</v>
      </c>
      <c r="X252" s="3">
        <f>IF(B252&lt;='Input sheet(dashboard)'!$D$27*12,'Input sheet(dashboard)'!$D$17*(1+'Input sheet(dashboard)'!$E$23)^(B252-1),0)</f>
        <v>71006.119237303326</v>
      </c>
      <c r="Y252" s="3"/>
      <c r="Z252" s="18"/>
      <c r="AA252" s="18"/>
      <c r="AB252" s="3">
        <f>IF(B252=1,'Input sheet(dashboard)'!$D$18*Calculations!X252,IF(Calculations!B252=12*'Input sheet(dashboard)'!$D$27,'Input sheet(dashboard)'!$D$18*-Calculations!X252,0))</f>
        <v>0</v>
      </c>
      <c r="AC252" s="3">
        <f>IF(B252&lt;='Input sheet(dashboard)'!$D$27*12,IF(MOD(B251,'Input sheet(dashboard)'!$D$19*12),0,'Input sheet(dashboard)'!$D$20*(1+'Input sheet(dashboard)'!$E$22)^Calculations!B252),0)</f>
        <v>0</v>
      </c>
      <c r="AD252" s="17">
        <f t="shared" si="30"/>
        <v>71006.119237303326</v>
      </c>
      <c r="AE252" s="17">
        <f>IF(B252&lt;='Input sheet(dashboard)'!$D$27*12,IF(D252=12,SUM(AD241:AD252),0),0)</f>
        <v>0</v>
      </c>
      <c r="AF252" s="17">
        <f t="shared" si="31"/>
        <v>1176.7387038992747</v>
      </c>
      <c r="AG252" s="17">
        <f t="shared" si="32"/>
        <v>1176.7387038992747</v>
      </c>
      <c r="AH252" s="3">
        <f>IF(B252&lt;='Input sheet(dashboard)'!$D$27*12,AH251*(1+'Input sheet(dashboard)'!$E$25)+AG252," ")</f>
        <v>16820161.159026761</v>
      </c>
    </row>
    <row r="253" spans="2:34">
      <c r="B253">
        <f t="shared" si="27"/>
        <v>250</v>
      </c>
      <c r="C253">
        <f t="shared" si="34"/>
        <v>21</v>
      </c>
      <c r="D253">
        <f t="shared" si="35"/>
        <v>10</v>
      </c>
      <c r="E253" s="15">
        <f>IF(C253&lt;='Input sheet(dashboard)'!$D$6, -PMT('Input sheet(dashboard)'!$E$5,'Input sheet(dashboard)'!$D$6*12,'Input sheet(dashboard)'!$D$3*'Input sheet(dashboard)'!$D$4),0)</f>
        <v>39834.137922259193</v>
      </c>
      <c r="F253" s="3">
        <f>I252*'Input sheet(dashboard)'!$E$5</f>
        <v>13228.864663542055</v>
      </c>
      <c r="G253" s="3">
        <f>IF(C253&lt;='Input sheet(dashboard)'!$D$6,E253*'Input sheet(dashboard)'!$D$7,0)</f>
        <v>3186.7310337807357</v>
      </c>
      <c r="H253" s="3">
        <f t="shared" si="28"/>
        <v>26605.273258717138</v>
      </c>
      <c r="I253" s="3">
        <f t="shared" si="29"/>
        <v>3604916.0643810686</v>
      </c>
      <c r="J253" s="3">
        <f>IF(B253&lt;='Input sheet(dashboard)'!$D$27*12,'Input sheet(dashboard)'!$D$3*(1+'Input sheet(dashboard)'!$E$24)^B253,0)</f>
        <v>24507294.524910744</v>
      </c>
      <c r="K253" s="3">
        <f>IF(B253&lt;='Input sheet(dashboard)'!$D$27*12,J253*'Input sheet(dashboard)'!$E$8,0)</f>
        <v>25383.332635215185</v>
      </c>
      <c r="L253" s="3">
        <f>IF(B253&lt;='Input sheet(dashboard)'!$D$27*12,'Input sheet(dashboard)'!$D$9*(1+'Input sheet(dashboard)'!$E$22)^B253,0)</f>
        <v>5018.0515335686487</v>
      </c>
      <c r="M253" s="3">
        <f>IF(B253=1,'Input sheet(dashboard)'!$D$3*'Input sheet(dashboard)'!$D$10,0)</f>
        <v>0</v>
      </c>
      <c r="N253" s="3">
        <f>IF(B253='Input sheet(dashboard)'!$D$27*12,J253*'Input sheet(dashboard)'!$D$11,0)</f>
        <v>0</v>
      </c>
      <c r="O253" s="3">
        <f>IF(SUM(F253:F264)&gt;=150000,150000/12*'Input sheet(dashboard)'!$D$28,SUM(F253:F264)/12*'Input sheet(dashboard)'!$D$28)</f>
        <v>1875</v>
      </c>
      <c r="P253" s="3">
        <f t="shared" si="33"/>
        <v>0</v>
      </c>
      <c r="Q253" s="3">
        <f>IF(B253&lt;='Input sheet(dashboard)'!$D$27*12,'Input sheet(dashboard)'!$D$12/12,0)</f>
        <v>192.5</v>
      </c>
      <c r="R253" s="3">
        <f>IF(B253&lt;='Input sheet(dashboard)'!$D$27*12,('Input sheet(dashboard)'!$D$15/12)*(1+'Input sheet(dashboard)'!$E$22)^Calculations!B253,0)</f>
        <v>557.56128150762754</v>
      </c>
      <c r="S253" s="3">
        <f>IF(B253&lt;='Input sheet(dashboard)'!$D$27*12,(E253+G253+K253+L253-O253+M253+Q253+R253),0)</f>
        <v>72297.314406331396</v>
      </c>
      <c r="T253" s="3">
        <f>IF(B253&lt;='Input sheet(dashboard)'!$D$27*12,IF(D253=12,SUM(S242:S253),0),0)</f>
        <v>0</v>
      </c>
      <c r="U253" s="3">
        <f>IF(B253&lt;='Input sheet(dashboard)'!$D$27*12,IF(S253&lt;AD253,AD253-S253,0),0)</f>
        <v>0</v>
      </c>
      <c r="V253" s="3">
        <f>IF(B253&lt;='Input sheet(dashboard)'!$D$27*12,V252*(1+'Input sheet(dashboard)'!$E$25)+U253,0)</f>
        <v>6111.4980771688743</v>
      </c>
      <c r="W253" s="17">
        <f>IF(B253&lt;='Input sheet(dashboard)'!$D$27*12,J253-I253+V253-N253,0)</f>
        <v>20908489.958606847</v>
      </c>
      <c r="X253" s="3">
        <f>IF(B253&lt;='Input sheet(dashboard)'!$D$27*12,'Input sheet(dashboard)'!$D$17*(1+'Input sheet(dashboard)'!$E$23)^(B253-1),0)</f>
        <v>71295.406956472594</v>
      </c>
      <c r="Y253" s="3"/>
      <c r="Z253" s="18"/>
      <c r="AA253" s="18"/>
      <c r="AB253" s="3">
        <f>IF(B253=1,'Input sheet(dashboard)'!$D$18*Calculations!X253,IF(Calculations!B253=12*'Input sheet(dashboard)'!$D$27,'Input sheet(dashboard)'!$D$18*-Calculations!X253,0))</f>
        <v>0</v>
      </c>
      <c r="AC253" s="3">
        <f>IF(B253&lt;='Input sheet(dashboard)'!$D$27*12,IF(MOD(B252,'Input sheet(dashboard)'!$D$19*12),0,'Input sheet(dashboard)'!$D$20*(1+'Input sheet(dashboard)'!$E$22)^Calculations!B253),0)</f>
        <v>0</v>
      </c>
      <c r="AD253" s="17">
        <f t="shared" si="30"/>
        <v>71295.406956472594</v>
      </c>
      <c r="AE253" s="17">
        <f>IF(B253&lt;='Input sheet(dashboard)'!$D$27*12,IF(D253=12,SUM(AD242:AD253),0),0)</f>
        <v>0</v>
      </c>
      <c r="AF253" s="17">
        <f t="shared" si="31"/>
        <v>1001.9074498588016</v>
      </c>
      <c r="AG253" s="17">
        <f t="shared" si="32"/>
        <v>1001.9074498588016</v>
      </c>
      <c r="AH253" s="3">
        <f>IF(B253&lt;='Input sheet(dashboard)'!$D$27*12,AH252*(1+'Input sheet(dashboard)'!$E$25)+AG253," ")</f>
        <v>16929384.489828911</v>
      </c>
    </row>
    <row r="254" spans="2:34">
      <c r="B254">
        <f t="shared" si="27"/>
        <v>251</v>
      </c>
      <c r="C254">
        <f t="shared" si="34"/>
        <v>21</v>
      </c>
      <c r="D254">
        <f t="shared" si="35"/>
        <v>11</v>
      </c>
      <c r="E254" s="15">
        <f>IF(C254&lt;='Input sheet(dashboard)'!$D$6, -PMT('Input sheet(dashboard)'!$E$5,'Input sheet(dashboard)'!$D$6*12,'Input sheet(dashboard)'!$D$3*'Input sheet(dashboard)'!$D$4),0)</f>
        <v>39834.137922259193</v>
      </c>
      <c r="F254" s="3">
        <f>I253*'Input sheet(dashboard)'!$E$5</f>
        <v>13131.947276432644</v>
      </c>
      <c r="G254" s="3">
        <f>IF(C254&lt;='Input sheet(dashboard)'!$D$6,E254*'Input sheet(dashboard)'!$D$7,0)</f>
        <v>3186.7310337807357</v>
      </c>
      <c r="H254" s="3">
        <f t="shared" si="28"/>
        <v>26702.190645826551</v>
      </c>
      <c r="I254" s="3">
        <f t="shared" si="29"/>
        <v>3578213.8737352421</v>
      </c>
      <c r="J254" s="3">
        <f>IF(B254&lt;='Input sheet(dashboard)'!$D$27*12,'Input sheet(dashboard)'!$D$3*(1+'Input sheet(dashboard)'!$E$24)^B254,0)</f>
        <v>24607140.276407562</v>
      </c>
      <c r="K254" s="3">
        <f>IF(B254&lt;='Input sheet(dashboard)'!$D$27*12,J254*'Input sheet(dashboard)'!$E$8,0)</f>
        <v>25486.747474412576</v>
      </c>
      <c r="L254" s="3">
        <f>IF(B254&lt;='Input sheet(dashboard)'!$D$27*12,'Input sheet(dashboard)'!$D$9*(1+'Input sheet(dashboard)'!$E$22)^B254,0)</f>
        <v>5028.3878981214339</v>
      </c>
      <c r="M254" s="3">
        <f>IF(B254=1,'Input sheet(dashboard)'!$D$3*'Input sheet(dashboard)'!$D$10,0)</f>
        <v>0</v>
      </c>
      <c r="N254" s="3">
        <f>IF(B254='Input sheet(dashboard)'!$D$27*12,J254*'Input sheet(dashboard)'!$D$11,0)</f>
        <v>0</v>
      </c>
      <c r="O254" s="3">
        <f>IF(SUM(F254:F265)&gt;=150000,150000/12*'Input sheet(dashboard)'!$D$28,SUM(F254:F265)/12*'Input sheet(dashboard)'!$D$28)</f>
        <v>1875</v>
      </c>
      <c r="P254" s="3">
        <f t="shared" si="33"/>
        <v>0</v>
      </c>
      <c r="Q254" s="3">
        <f>IF(B254&lt;='Input sheet(dashboard)'!$D$27*12,'Input sheet(dashboard)'!$D$12/12,0)</f>
        <v>192.5</v>
      </c>
      <c r="R254" s="3">
        <f>IF(B254&lt;='Input sheet(dashboard)'!$D$27*12,('Input sheet(dashboard)'!$D$15/12)*(1+'Input sheet(dashboard)'!$E$22)^Calculations!B254,0)</f>
        <v>558.70976645793701</v>
      </c>
      <c r="S254" s="3">
        <f>IF(B254&lt;='Input sheet(dashboard)'!$D$27*12,(E254+G254+K254+L254-O254+M254+Q254+R254),0)</f>
        <v>72412.214095031872</v>
      </c>
      <c r="T254" s="3">
        <f>IF(B254&lt;='Input sheet(dashboard)'!$D$27*12,IF(D254=12,SUM(S243:S254),0),0)</f>
        <v>0</v>
      </c>
      <c r="U254" s="3">
        <f>IF(B254&lt;='Input sheet(dashboard)'!$D$27*12,IF(S254&lt;AD254,AD254-S254,0),0)</f>
        <v>0</v>
      </c>
      <c r="V254" s="3">
        <f>IF(B254&lt;='Input sheet(dashboard)'!$D$27*12,V253*(1+'Input sheet(dashboard)'!$E$25)+U254,0)</f>
        <v>6150.8196398146065</v>
      </c>
      <c r="W254" s="17">
        <f>IF(B254&lt;='Input sheet(dashboard)'!$D$27*12,J254-I254+V254-N254,0)</f>
        <v>21035077.222312134</v>
      </c>
      <c r="X254" s="3">
        <f>IF(B254&lt;='Input sheet(dashboard)'!$D$27*12,'Input sheet(dashboard)'!$D$17*(1+'Input sheet(dashboard)'!$E$23)^(B254-1),0)</f>
        <v>71585.873269618838</v>
      </c>
      <c r="Y254" s="3"/>
      <c r="Z254" s="18"/>
      <c r="AA254" s="18"/>
      <c r="AB254" s="3">
        <f>IF(B254=1,'Input sheet(dashboard)'!$D$18*Calculations!X254,IF(Calculations!B254=12*'Input sheet(dashboard)'!$D$27,'Input sheet(dashboard)'!$D$18*-Calculations!X254,0))</f>
        <v>0</v>
      </c>
      <c r="AC254" s="3">
        <f>IF(B254&lt;='Input sheet(dashboard)'!$D$27*12,IF(MOD(B253,'Input sheet(dashboard)'!$D$19*12),0,'Input sheet(dashboard)'!$D$20*(1+'Input sheet(dashboard)'!$E$22)^Calculations!B254),0)</f>
        <v>0</v>
      </c>
      <c r="AD254" s="17">
        <f t="shared" si="30"/>
        <v>71585.873269618838</v>
      </c>
      <c r="AE254" s="17">
        <f>IF(B254&lt;='Input sheet(dashboard)'!$D$27*12,IF(D254=12,SUM(AD243:AD254),0),0)</f>
        <v>0</v>
      </c>
      <c r="AF254" s="17">
        <f t="shared" si="31"/>
        <v>826.3408254130336</v>
      </c>
      <c r="AG254" s="17">
        <f t="shared" si="32"/>
        <v>826.3408254130336</v>
      </c>
      <c r="AH254" s="3">
        <f>IF(B254&lt;='Input sheet(dashboard)'!$D$27*12,AH253*(1+'Input sheet(dashboard)'!$E$25)+AG254," ")</f>
        <v>17039135.000205707</v>
      </c>
    </row>
    <row r="255" spans="2:34">
      <c r="B255">
        <f t="shared" si="27"/>
        <v>252</v>
      </c>
      <c r="C255">
        <f t="shared" si="34"/>
        <v>21</v>
      </c>
      <c r="D255">
        <f t="shared" si="35"/>
        <v>12</v>
      </c>
      <c r="E255" s="15">
        <f>IF(C255&lt;='Input sheet(dashboard)'!$D$6, -PMT('Input sheet(dashboard)'!$E$5,'Input sheet(dashboard)'!$D$6*12,'Input sheet(dashboard)'!$D$3*'Input sheet(dashboard)'!$D$4),0)</f>
        <v>39834.137922259193</v>
      </c>
      <c r="F255" s="3">
        <f>I254*'Input sheet(dashboard)'!$E$5</f>
        <v>13034.676839766749</v>
      </c>
      <c r="G255" s="3">
        <f>IF(C255&lt;='Input sheet(dashboard)'!$D$6,E255*'Input sheet(dashboard)'!$D$7,0)</f>
        <v>3186.7310337807357</v>
      </c>
      <c r="H255" s="3">
        <f t="shared" si="28"/>
        <v>26799.461082492446</v>
      </c>
      <c r="I255" s="3">
        <f t="shared" si="29"/>
        <v>3551414.4126527496</v>
      </c>
      <c r="J255" s="3">
        <f>IF(B255&lt;='Input sheet(dashboard)'!$D$27*12,'Input sheet(dashboard)'!$D$3*(1+'Input sheet(dashboard)'!$E$24)^B255,0)</f>
        <v>24707392.811855245</v>
      </c>
      <c r="K255" s="3">
        <f>IF(B255&lt;='Input sheet(dashboard)'!$D$27*12,J255*'Input sheet(dashboard)'!$E$8,0)</f>
        <v>25590.58363846592</v>
      </c>
      <c r="L255" s="3">
        <f>IF(B255&lt;='Input sheet(dashboard)'!$D$27*12,'Input sheet(dashboard)'!$D$9*(1+'Input sheet(dashboard)'!$E$22)^B255,0)</f>
        <v>5038.7455538928234</v>
      </c>
      <c r="M255" s="3">
        <f>IF(B255=1,'Input sheet(dashboard)'!$D$3*'Input sheet(dashboard)'!$D$10,0)</f>
        <v>0</v>
      </c>
      <c r="N255" s="3">
        <f>IF(B255='Input sheet(dashboard)'!$D$27*12,J255*'Input sheet(dashboard)'!$D$11,0)</f>
        <v>0</v>
      </c>
      <c r="O255" s="3">
        <f>IF(SUM(F255:F266)&gt;=150000,150000/12*'Input sheet(dashboard)'!$D$28,SUM(F255:F266)/12*'Input sheet(dashboard)'!$D$28)</f>
        <v>1873.6750535299402</v>
      </c>
      <c r="P255" s="3">
        <f t="shared" si="33"/>
        <v>22500</v>
      </c>
      <c r="Q255" s="3">
        <f>IF(B255&lt;='Input sheet(dashboard)'!$D$27*12,'Input sheet(dashboard)'!$D$12/12,0)</f>
        <v>192.5</v>
      </c>
      <c r="R255" s="3">
        <f>IF(B255&lt;='Input sheet(dashboard)'!$D$27*12,('Input sheet(dashboard)'!$D$15/12)*(1+'Input sheet(dashboard)'!$E$22)^Calculations!B255,0)</f>
        <v>559.8606170992025</v>
      </c>
      <c r="S255" s="3">
        <f>IF(B255&lt;='Input sheet(dashboard)'!$D$27*12,(E255+G255+K255+L255-O255+M255+Q255+R255),0)</f>
        <v>72528.883711967937</v>
      </c>
      <c r="T255" s="3">
        <f>IF(B255&lt;='Input sheet(dashboard)'!$D$27*12,IF(D255=12,SUM(S244:S255),0),0)</f>
        <v>862816.31311109941</v>
      </c>
      <c r="U255" s="3">
        <f>IF(B255&lt;='Input sheet(dashboard)'!$D$27*12,IF(S255&lt;AD255,AD255-S255,0),0)</f>
        <v>0</v>
      </c>
      <c r="V255" s="3">
        <f>IF(B255&lt;='Input sheet(dashboard)'!$D$27*12,V254*(1+'Input sheet(dashboard)'!$E$25)+U255,0)</f>
        <v>6190.394198578374</v>
      </c>
      <c r="W255" s="17">
        <f>IF(B255&lt;='Input sheet(dashboard)'!$D$27*12,J255-I255+V255-N255,0)</f>
        <v>21162168.793401074</v>
      </c>
      <c r="X255" s="3">
        <f>IF(B255&lt;='Input sheet(dashboard)'!$D$27*12,'Input sheet(dashboard)'!$D$17*(1+'Input sheet(dashboard)'!$E$23)^(B255-1),0)</f>
        <v>71877.522978479843</v>
      </c>
      <c r="Y255" s="3"/>
      <c r="Z255" s="18"/>
      <c r="AA255" s="18"/>
      <c r="AB255" s="3">
        <f>IF(B255=1,'Input sheet(dashboard)'!$D$18*Calculations!X255,IF(Calculations!B255=12*'Input sheet(dashboard)'!$D$27,'Input sheet(dashboard)'!$D$18*-Calculations!X255,0))</f>
        <v>0</v>
      </c>
      <c r="AC255" s="3">
        <f>IF(B255&lt;='Input sheet(dashboard)'!$D$27*12,IF(MOD(B254,'Input sheet(dashboard)'!$D$19*12),0,'Input sheet(dashboard)'!$D$20*(1+'Input sheet(dashboard)'!$E$22)^Calculations!B255),0)</f>
        <v>0</v>
      </c>
      <c r="AD255" s="17">
        <f t="shared" si="30"/>
        <v>71877.522978479843</v>
      </c>
      <c r="AE255" s="17">
        <f>IF(B255&lt;='Input sheet(dashboard)'!$D$27*12,IF(D255=12,SUM(AD244:AD255),0),0)</f>
        <v>843539.38051212125</v>
      </c>
      <c r="AF255" s="17">
        <f t="shared" si="31"/>
        <v>651.36073348809441</v>
      </c>
      <c r="AG255" s="17">
        <f t="shared" si="32"/>
        <v>651.36073348809441</v>
      </c>
      <c r="AH255" s="3">
        <f>IF(B255&lt;='Input sheet(dashboard)'!$D$27*12,AH254*(1+'Input sheet(dashboard)'!$E$25)+AG255," ")</f>
        <v>17149416.66857893</v>
      </c>
    </row>
    <row r="256" spans="2:34">
      <c r="B256">
        <f t="shared" si="27"/>
        <v>253</v>
      </c>
      <c r="C256">
        <f t="shared" si="34"/>
        <v>22</v>
      </c>
      <c r="D256">
        <f t="shared" si="35"/>
        <v>1</v>
      </c>
      <c r="E256" s="15">
        <f>IF(C256&lt;='Input sheet(dashboard)'!$D$6, -PMT('Input sheet(dashboard)'!$E$5,'Input sheet(dashboard)'!$D$6*12,'Input sheet(dashboard)'!$D$3*'Input sheet(dashboard)'!$D$4),0)</f>
        <v>39834.137922259193</v>
      </c>
      <c r="F256" s="3">
        <f>I255*'Input sheet(dashboard)'!$E$5</f>
        <v>12937.052067459457</v>
      </c>
      <c r="G256" s="3">
        <f>IF(C256&lt;='Input sheet(dashboard)'!$D$6,E256*'Input sheet(dashboard)'!$D$7,0)</f>
        <v>3186.7310337807357</v>
      </c>
      <c r="H256" s="3">
        <f t="shared" si="28"/>
        <v>26897.085854799734</v>
      </c>
      <c r="I256" s="3">
        <f t="shared" si="29"/>
        <v>3524517.3267979496</v>
      </c>
      <c r="J256" s="3">
        <f>IF(B256&lt;='Input sheet(dashboard)'!$D$27*12,'Input sheet(dashboard)'!$D$3*(1+'Input sheet(dashboard)'!$E$24)^B256,0)</f>
        <v>24808053.788541969</v>
      </c>
      <c r="K256" s="3">
        <f>IF(B256&lt;='Input sheet(dashboard)'!$D$27*12,J256*'Input sheet(dashboard)'!$E$8,0)</f>
        <v>25694.84284390484</v>
      </c>
      <c r="L256" s="3">
        <f>IF(B256&lt;='Input sheet(dashboard)'!$D$27*12,'Input sheet(dashboard)'!$D$9*(1+'Input sheet(dashboard)'!$E$22)^B256,0)</f>
        <v>5049.1245447392394</v>
      </c>
      <c r="M256" s="3">
        <f>IF(B256=1,'Input sheet(dashboard)'!$D$3*'Input sheet(dashboard)'!$D$10,0)</f>
        <v>0</v>
      </c>
      <c r="N256" s="3">
        <f>IF(B256='Input sheet(dashboard)'!$D$27*12,J256*'Input sheet(dashboard)'!$D$11,0)</f>
        <v>0</v>
      </c>
      <c r="O256" s="3">
        <f>IF(SUM(F256:F267)&gt;=150000,150000/12*'Input sheet(dashboard)'!$D$28,SUM(F256:F267)/12*'Input sheet(dashboard)'!$D$28)</f>
        <v>1858.7343539764504</v>
      </c>
      <c r="P256" s="3">
        <f t="shared" si="33"/>
        <v>0</v>
      </c>
      <c r="Q256" s="3">
        <f>IF(B256&lt;='Input sheet(dashboard)'!$D$27*12,'Input sheet(dashboard)'!$D$12/12,0)</f>
        <v>192.5</v>
      </c>
      <c r="R256" s="3">
        <f>IF(B256&lt;='Input sheet(dashboard)'!$D$27*12,('Input sheet(dashboard)'!$D$15/12)*(1+'Input sheet(dashboard)'!$E$22)^Calculations!B256,0)</f>
        <v>561.01383830435987</v>
      </c>
      <c r="S256" s="3">
        <f>IF(B256&lt;='Input sheet(dashboard)'!$D$27*12,(E256+G256+K256+L256-O256+M256+Q256+R256),0)</f>
        <v>72659.61582901192</v>
      </c>
      <c r="T256" s="3">
        <f>IF(B256&lt;='Input sheet(dashboard)'!$D$27*12,IF(D256=12,SUM(S245:S256),0),0)</f>
        <v>0</v>
      </c>
      <c r="U256" s="3">
        <f>IF(B256&lt;='Input sheet(dashboard)'!$D$27*12,IF(S256&lt;AD256,AD256-S256,0),0)</f>
        <v>0</v>
      </c>
      <c r="V256" s="3">
        <f>IF(B256&lt;='Input sheet(dashboard)'!$D$27*12,V255*(1+'Input sheet(dashboard)'!$E$25)+U256,0)</f>
        <v>6230.2233812448176</v>
      </c>
      <c r="W256" s="17">
        <f>IF(B256&lt;='Input sheet(dashboard)'!$D$27*12,J256-I256+V256-N256,0)</f>
        <v>21289766.685125262</v>
      </c>
      <c r="X256" s="3">
        <f>IF(B256&lt;='Input sheet(dashboard)'!$D$27*12,'Input sheet(dashboard)'!$D$17*(1+'Input sheet(dashboard)'!$E$23)^(B256-1),0)</f>
        <v>72170.360904356203</v>
      </c>
      <c r="Y256" s="3"/>
      <c r="Z256" s="18"/>
      <c r="AA256" s="18"/>
      <c r="AB256" s="3">
        <f>IF(B256=1,'Input sheet(dashboard)'!$D$18*Calculations!X256,IF(Calculations!B256=12*'Input sheet(dashboard)'!$D$27,'Input sheet(dashboard)'!$D$18*-Calculations!X256,0))</f>
        <v>0</v>
      </c>
      <c r="AC256" s="3">
        <f>IF(B256&lt;='Input sheet(dashboard)'!$D$27*12,IF(MOD(B255,'Input sheet(dashboard)'!$D$19*12),0,'Input sheet(dashboard)'!$D$20*(1+'Input sheet(dashboard)'!$E$22)^Calculations!B256),0)</f>
        <v>0</v>
      </c>
      <c r="AD256" s="17">
        <f t="shared" si="30"/>
        <v>72170.360904356203</v>
      </c>
      <c r="AE256" s="17">
        <f>IF(B256&lt;='Input sheet(dashboard)'!$D$27*12,IF(D256=12,SUM(AD245:AD256),0),0)</f>
        <v>0</v>
      </c>
      <c r="AF256" s="17">
        <f t="shared" si="31"/>
        <v>489.25492465571733</v>
      </c>
      <c r="AG256" s="17">
        <f t="shared" si="32"/>
        <v>489.25492465571733</v>
      </c>
      <c r="AH256" s="3">
        <f>IF(B256&lt;='Input sheet(dashboard)'!$D$27*12,AH255*(1+'Input sheet(dashboard)'!$E$25)+AG256," ")</f>
        <v>17260245.786718216</v>
      </c>
    </row>
    <row r="257" spans="2:34">
      <c r="B257">
        <f t="shared" si="27"/>
        <v>254</v>
      </c>
      <c r="C257">
        <f t="shared" si="34"/>
        <v>22</v>
      </c>
      <c r="D257">
        <f t="shared" si="35"/>
        <v>2</v>
      </c>
      <c r="E257" s="15">
        <f>IF(C257&lt;='Input sheet(dashboard)'!$D$6, -PMT('Input sheet(dashboard)'!$E$5,'Input sheet(dashboard)'!$D$6*12,'Input sheet(dashboard)'!$D$3*'Input sheet(dashboard)'!$D$4),0)</f>
        <v>39834.137922259193</v>
      </c>
      <c r="F257" s="3">
        <f>I256*'Input sheet(dashboard)'!$E$5</f>
        <v>12839.07166874092</v>
      </c>
      <c r="G257" s="3">
        <f>IF(C257&lt;='Input sheet(dashboard)'!$D$6,E257*'Input sheet(dashboard)'!$D$7,0)</f>
        <v>3186.7310337807357</v>
      </c>
      <c r="H257" s="3">
        <f t="shared" si="28"/>
        <v>26995.066253518271</v>
      </c>
      <c r="I257" s="3">
        <f t="shared" si="29"/>
        <v>3497522.2605444314</v>
      </c>
      <c r="J257" s="3">
        <f>IF(B257&lt;='Input sheet(dashboard)'!$D$27*12,'Input sheet(dashboard)'!$D$3*(1+'Input sheet(dashboard)'!$E$24)^B257,0)</f>
        <v>24909124.870507896</v>
      </c>
      <c r="K257" s="3">
        <f>IF(B257&lt;='Input sheet(dashboard)'!$D$27*12,J257*'Input sheet(dashboard)'!$E$8,0)</f>
        <v>25799.526814252298</v>
      </c>
      <c r="L257" s="3">
        <f>IF(B257&lt;='Input sheet(dashboard)'!$D$27*12,'Input sheet(dashboard)'!$D$9*(1+'Input sheet(dashboard)'!$E$22)^B257,0)</f>
        <v>5059.5249146074457</v>
      </c>
      <c r="M257" s="3">
        <f>IF(B257=1,'Input sheet(dashboard)'!$D$3*'Input sheet(dashboard)'!$D$10,0)</f>
        <v>0</v>
      </c>
      <c r="N257" s="3">
        <f>IF(B257='Input sheet(dashboard)'!$D$27*12,J257*'Input sheet(dashboard)'!$D$11,0)</f>
        <v>0</v>
      </c>
      <c r="O257" s="3">
        <f>IF(SUM(F257:F268)&gt;=150000,150000/12*'Input sheet(dashboard)'!$D$28,SUM(F257:F268)/12*'Input sheet(dashboard)'!$D$28)</f>
        <v>1843.7392286123991</v>
      </c>
      <c r="P257" s="3">
        <f t="shared" si="33"/>
        <v>0</v>
      </c>
      <c r="Q257" s="3">
        <f>IF(B257&lt;='Input sheet(dashboard)'!$D$27*12,'Input sheet(dashboard)'!$D$12/12,0)</f>
        <v>192.5</v>
      </c>
      <c r="R257" s="3">
        <f>IF(B257&lt;='Input sheet(dashboard)'!$D$27*12,('Input sheet(dashboard)'!$D$15/12)*(1+'Input sheet(dashboard)'!$E$22)^Calculations!B257,0)</f>
        <v>562.16943495638282</v>
      </c>
      <c r="S257" s="3">
        <f>IF(B257&lt;='Input sheet(dashboard)'!$D$27*12,(E257+G257+K257+L257-O257+M257+Q257+R257),0)</f>
        <v>72790.850891243666</v>
      </c>
      <c r="T257" s="3">
        <f>IF(B257&lt;='Input sheet(dashboard)'!$D$27*12,IF(D257=12,SUM(S246:S257),0),0)</f>
        <v>0</v>
      </c>
      <c r="U257" s="3">
        <f>IF(B257&lt;='Input sheet(dashboard)'!$D$27*12,IF(S257&lt;AD257,AD257-S257,0),0)</f>
        <v>0</v>
      </c>
      <c r="V257" s="3">
        <f>IF(B257&lt;='Input sheet(dashboard)'!$D$27*12,V256*(1+'Input sheet(dashboard)'!$E$25)+U257,0)</f>
        <v>6270.3088260717941</v>
      </c>
      <c r="W257" s="17">
        <f>IF(B257&lt;='Input sheet(dashboard)'!$D$27*12,J257-I257+V257-N257,0)</f>
        <v>21417872.918789536</v>
      </c>
      <c r="X257" s="3">
        <f>IF(B257&lt;='Input sheet(dashboard)'!$D$27*12,'Input sheet(dashboard)'!$D$17*(1+'Input sheet(dashboard)'!$E$23)^(B257-1),0)</f>
        <v>72464.391888191138</v>
      </c>
      <c r="Y257" s="3"/>
      <c r="Z257" s="18"/>
      <c r="AA257" s="18"/>
      <c r="AB257" s="3">
        <f>IF(B257=1,'Input sheet(dashboard)'!$D$18*Calculations!X257,IF(Calculations!B257=12*'Input sheet(dashboard)'!$D$27,'Input sheet(dashboard)'!$D$18*-Calculations!X257,0))</f>
        <v>0</v>
      </c>
      <c r="AC257" s="3">
        <f>IF(B257&lt;='Input sheet(dashboard)'!$D$27*12,IF(MOD(B256,'Input sheet(dashboard)'!$D$19*12),0,'Input sheet(dashboard)'!$D$20*(1+'Input sheet(dashboard)'!$E$22)^Calculations!B257),0)</f>
        <v>0</v>
      </c>
      <c r="AD257" s="17">
        <f t="shared" si="30"/>
        <v>72464.391888191138</v>
      </c>
      <c r="AE257" s="17">
        <f>IF(B257&lt;='Input sheet(dashboard)'!$D$27*12,IF(D257=12,SUM(AD246:AD257),0),0)</f>
        <v>0</v>
      </c>
      <c r="AF257" s="17">
        <f t="shared" si="31"/>
        <v>326.45900305252871</v>
      </c>
      <c r="AG257" s="17">
        <f t="shared" si="32"/>
        <v>326.45900305252871</v>
      </c>
      <c r="AH257" s="3">
        <f>IF(B257&lt;='Input sheet(dashboard)'!$D$27*12,AH256*(1+'Input sheet(dashboard)'!$E$25)+AG257," ")</f>
        <v>17371625.186819073</v>
      </c>
    </row>
    <row r="258" spans="2:34">
      <c r="B258">
        <f t="shared" si="27"/>
        <v>255</v>
      </c>
      <c r="C258">
        <f t="shared" si="34"/>
        <v>22</v>
      </c>
      <c r="D258">
        <f t="shared" si="35"/>
        <v>3</v>
      </c>
      <c r="E258" s="15">
        <f>IF(C258&lt;='Input sheet(dashboard)'!$D$6, -PMT('Input sheet(dashboard)'!$E$5,'Input sheet(dashboard)'!$D$6*12,'Input sheet(dashboard)'!$D$3*'Input sheet(dashboard)'!$D$4),0)</f>
        <v>39834.137922259193</v>
      </c>
      <c r="F258" s="3">
        <f>I257*'Input sheet(dashboard)'!$E$5</f>
        <v>12740.734348139291</v>
      </c>
      <c r="G258" s="3">
        <f>IF(C258&lt;='Input sheet(dashboard)'!$D$6,E258*'Input sheet(dashboard)'!$D$7,0)</f>
        <v>3186.7310337807357</v>
      </c>
      <c r="H258" s="3">
        <f t="shared" si="28"/>
        <v>27093.403574119904</v>
      </c>
      <c r="I258" s="3">
        <f t="shared" si="29"/>
        <v>3470428.8569703116</v>
      </c>
      <c r="J258" s="3">
        <f>IF(B258&lt;='Input sheet(dashboard)'!$D$27*12,'Input sheet(dashboard)'!$D$3*(1+'Input sheet(dashboard)'!$E$24)^B258,0)</f>
        <v>25010607.728572696</v>
      </c>
      <c r="K258" s="3">
        <f>IF(B258&lt;='Input sheet(dashboard)'!$D$27*12,J258*'Input sheet(dashboard)'!$E$8,0)</f>
        <v>25904.637280053113</v>
      </c>
      <c r="L258" s="3">
        <f>IF(B258&lt;='Input sheet(dashboard)'!$D$27*12,'Input sheet(dashboard)'!$D$9*(1+'Input sheet(dashboard)'!$E$22)^B258,0)</f>
        <v>5069.9467075347293</v>
      </c>
      <c r="M258" s="3">
        <f>IF(B258=1,'Input sheet(dashboard)'!$D$3*'Input sheet(dashboard)'!$D$10,0)</f>
        <v>0</v>
      </c>
      <c r="N258" s="3">
        <f>IF(B258='Input sheet(dashboard)'!$D$27*12,J258*'Input sheet(dashboard)'!$D$11,0)</f>
        <v>0</v>
      </c>
      <c r="O258" s="3">
        <f>IF(SUM(F258:F269)&gt;=150000,150000/12*'Input sheet(dashboard)'!$D$28,SUM(F258:F269)/12*'Input sheet(dashboard)'!$D$28)</f>
        <v>1828.6894791760626</v>
      </c>
      <c r="P258" s="3">
        <f t="shared" si="33"/>
        <v>0</v>
      </c>
      <c r="Q258" s="3">
        <f>IF(B258&lt;='Input sheet(dashboard)'!$D$27*12,'Input sheet(dashboard)'!$D$12/12,0)</f>
        <v>192.5</v>
      </c>
      <c r="R258" s="3">
        <f>IF(B258&lt;='Input sheet(dashboard)'!$D$27*12,('Input sheet(dashboard)'!$D$15/12)*(1+'Input sheet(dashboard)'!$E$22)^Calculations!B258,0)</f>
        <v>563.32741194830317</v>
      </c>
      <c r="S258" s="3">
        <f>IF(B258&lt;='Input sheet(dashboard)'!$D$27*12,(E258+G258+K258+L258-O258+M258+Q258+R258),0)</f>
        <v>72922.590876400034</v>
      </c>
      <c r="T258" s="3">
        <f>IF(B258&lt;='Input sheet(dashboard)'!$D$27*12,IF(D258=12,SUM(S247:S258),0),0)</f>
        <v>0</v>
      </c>
      <c r="U258" s="3">
        <f>IF(B258&lt;='Input sheet(dashboard)'!$D$27*12,IF(S258&lt;AD258,AD258-S258,0),0)</f>
        <v>0</v>
      </c>
      <c r="V258" s="3">
        <f>IF(B258&lt;='Input sheet(dashboard)'!$D$27*12,V257*(1+'Input sheet(dashboard)'!$E$25)+U258,0)</f>
        <v>6310.6521818577603</v>
      </c>
      <c r="W258" s="17">
        <f>IF(B258&lt;='Input sheet(dashboard)'!$D$27*12,J258-I258+V258-N258,0)</f>
        <v>21546489.523784243</v>
      </c>
      <c r="X258" s="3">
        <f>IF(B258&lt;='Input sheet(dashboard)'!$D$27*12,'Input sheet(dashboard)'!$D$17*(1+'Input sheet(dashboard)'!$E$23)^(B258-1),0)</f>
        <v>72759.620790650428</v>
      </c>
      <c r="Y258" s="3"/>
      <c r="Z258" s="18"/>
      <c r="AA258" s="18"/>
      <c r="AB258" s="3">
        <f>IF(B258=1,'Input sheet(dashboard)'!$D$18*Calculations!X258,IF(Calculations!B258=12*'Input sheet(dashboard)'!$D$27,'Input sheet(dashboard)'!$D$18*-Calculations!X258,0))</f>
        <v>0</v>
      </c>
      <c r="AC258" s="3">
        <f>IF(B258&lt;='Input sheet(dashboard)'!$D$27*12,IF(MOD(B257,'Input sheet(dashboard)'!$D$19*12),0,'Input sheet(dashboard)'!$D$20*(1+'Input sheet(dashboard)'!$E$22)^Calculations!B258),0)</f>
        <v>0</v>
      </c>
      <c r="AD258" s="17">
        <f t="shared" si="30"/>
        <v>72759.620790650428</v>
      </c>
      <c r="AE258" s="17">
        <f>IF(B258&lt;='Input sheet(dashboard)'!$D$27*12,IF(D258=12,SUM(AD247:AD258),0),0)</f>
        <v>0</v>
      </c>
      <c r="AF258" s="17">
        <f t="shared" si="31"/>
        <v>162.97008574960637</v>
      </c>
      <c r="AG258" s="17">
        <f t="shared" si="32"/>
        <v>162.97008574960637</v>
      </c>
      <c r="AH258" s="3">
        <f>IF(B258&lt;='Input sheet(dashboard)'!$D$27*12,AH257*(1+'Input sheet(dashboard)'!$E$25)+AG258," ")</f>
        <v>17483557.716416512</v>
      </c>
    </row>
    <row r="259" spans="2:34">
      <c r="B259">
        <f t="shared" si="27"/>
        <v>256</v>
      </c>
      <c r="C259">
        <f t="shared" si="34"/>
        <v>22</v>
      </c>
      <c r="D259">
        <f t="shared" si="35"/>
        <v>4</v>
      </c>
      <c r="E259" s="15">
        <f>IF(C259&lt;='Input sheet(dashboard)'!$D$6, -PMT('Input sheet(dashboard)'!$E$5,'Input sheet(dashboard)'!$D$6*12,'Input sheet(dashboard)'!$D$3*'Input sheet(dashboard)'!$D$4),0)</f>
        <v>39834.137922259193</v>
      </c>
      <c r="F259" s="3">
        <f>I258*'Input sheet(dashboard)'!$E$5</f>
        <v>12642.038805463586</v>
      </c>
      <c r="G259" s="3">
        <f>IF(C259&lt;='Input sheet(dashboard)'!$D$6,E259*'Input sheet(dashboard)'!$D$7,0)</f>
        <v>3186.7310337807357</v>
      </c>
      <c r="H259" s="3">
        <f t="shared" si="28"/>
        <v>27192.099116795609</v>
      </c>
      <c r="I259" s="3">
        <f t="shared" si="29"/>
        <v>3443236.7578535159</v>
      </c>
      <c r="J259" s="3">
        <f>IF(B259&lt;='Input sheet(dashboard)'!$D$27*12,'Input sheet(dashboard)'!$D$3*(1+'Input sheet(dashboard)'!$E$24)^B259,0)</f>
        <v>25112504.040363178</v>
      </c>
      <c r="K259" s="3">
        <f>IF(B259&lt;='Input sheet(dashboard)'!$D$27*12,J259*'Input sheet(dashboard)'!$E$8,0)</f>
        <v>26010.175978902567</v>
      </c>
      <c r="L259" s="3">
        <f>IF(B259&lt;='Input sheet(dashboard)'!$D$27*12,'Input sheet(dashboard)'!$D$9*(1+'Input sheet(dashboard)'!$E$22)^B259,0)</f>
        <v>5080.3899676490782</v>
      </c>
      <c r="M259" s="3">
        <f>IF(B259=1,'Input sheet(dashboard)'!$D$3*'Input sheet(dashboard)'!$D$10,0)</f>
        <v>0</v>
      </c>
      <c r="N259" s="3">
        <f>IF(B259='Input sheet(dashboard)'!$D$27*12,J259*'Input sheet(dashboard)'!$D$11,0)</f>
        <v>0</v>
      </c>
      <c r="O259" s="3">
        <f>IF(SUM(F259:F270)&gt;=150000,150000/12*'Input sheet(dashboard)'!$D$28,SUM(F259:F270)/12*'Input sheet(dashboard)'!$D$28)</f>
        <v>1813.5849066834905</v>
      </c>
      <c r="P259" s="3">
        <f t="shared" si="33"/>
        <v>0</v>
      </c>
      <c r="Q259" s="3">
        <f>IF(B259&lt;='Input sheet(dashboard)'!$D$27*12,'Input sheet(dashboard)'!$D$12/12,0)</f>
        <v>192.5</v>
      </c>
      <c r="R259" s="3">
        <f>IF(B259&lt;='Input sheet(dashboard)'!$D$27*12,('Input sheet(dashboard)'!$D$15/12)*(1+'Input sheet(dashboard)'!$E$22)^Calculations!B259,0)</f>
        <v>564.48777418323084</v>
      </c>
      <c r="S259" s="3">
        <f>IF(B259&lt;='Input sheet(dashboard)'!$D$27*12,(E259+G259+K259+L259-O259+M259+Q259+R259),0)</f>
        <v>73054.837770091326</v>
      </c>
      <c r="T259" s="3">
        <f>IF(B259&lt;='Input sheet(dashboard)'!$D$27*12,IF(D259=12,SUM(S248:S259),0),0)</f>
        <v>0</v>
      </c>
      <c r="U259" s="3">
        <f>IF(B259&lt;='Input sheet(dashboard)'!$D$27*12,IF(S259&lt;AD259,AD259-S259,0),0)</f>
        <v>1.2147221115155844</v>
      </c>
      <c r="V259" s="3">
        <f>IF(B259&lt;='Input sheet(dashboard)'!$D$27*12,V258*(1+'Input sheet(dashboard)'!$E$25)+U259,0)</f>
        <v>6352.4698301211074</v>
      </c>
      <c r="W259" s="17">
        <f>IF(B259&lt;='Input sheet(dashboard)'!$D$27*12,J259-I259+V259-N259,0)</f>
        <v>21675619.752339784</v>
      </c>
      <c r="X259" s="3">
        <f>IF(B259&lt;='Input sheet(dashboard)'!$D$27*12,'Input sheet(dashboard)'!$D$17*(1+'Input sheet(dashboard)'!$E$23)^(B259-1),0)</f>
        <v>73056.052492202842</v>
      </c>
      <c r="Y259" s="3"/>
      <c r="Z259" s="18"/>
      <c r="AA259" s="18"/>
      <c r="AB259" s="3">
        <f>IF(B259=1,'Input sheet(dashboard)'!$D$18*Calculations!X259,IF(Calculations!B259=12*'Input sheet(dashboard)'!$D$27,'Input sheet(dashboard)'!$D$18*-Calculations!X259,0))</f>
        <v>0</v>
      </c>
      <c r="AC259" s="3">
        <f>IF(B259&lt;='Input sheet(dashboard)'!$D$27*12,IF(MOD(B258,'Input sheet(dashboard)'!$D$19*12),0,'Input sheet(dashboard)'!$D$20*(1+'Input sheet(dashboard)'!$E$22)^Calculations!B259),0)</f>
        <v>0</v>
      </c>
      <c r="AD259" s="17">
        <f t="shared" si="30"/>
        <v>73056.052492202842</v>
      </c>
      <c r="AE259" s="17">
        <f>IF(B259&lt;='Input sheet(dashboard)'!$D$27*12,IF(D259=12,SUM(AD248:AD259),0),0)</f>
        <v>0</v>
      </c>
      <c r="AF259" s="17">
        <f t="shared" si="31"/>
        <v>-1.2147221115155844</v>
      </c>
      <c r="AG259" s="17">
        <f t="shared" si="32"/>
        <v>0</v>
      </c>
      <c r="AH259" s="3">
        <f>IF(B259&lt;='Input sheet(dashboard)'!$D$27*12,AH258*(1+'Input sheet(dashboard)'!$E$25)+AG259," ")</f>
        <v>17596047.453193918</v>
      </c>
    </row>
    <row r="260" spans="2:34">
      <c r="B260">
        <f t="shared" ref="B260:B323" si="36">B259+1</f>
        <v>257</v>
      </c>
      <c r="C260">
        <f t="shared" si="34"/>
        <v>22</v>
      </c>
      <c r="D260">
        <f t="shared" si="35"/>
        <v>5</v>
      </c>
      <c r="E260" s="15">
        <f>IF(C260&lt;='Input sheet(dashboard)'!$D$6, -PMT('Input sheet(dashboard)'!$E$5,'Input sheet(dashboard)'!$D$6*12,'Input sheet(dashboard)'!$D$3*'Input sheet(dashboard)'!$D$4),0)</f>
        <v>39834.137922259193</v>
      </c>
      <c r="F260" s="3">
        <f>I259*'Input sheet(dashboard)'!$E$5</f>
        <v>12542.983735786505</v>
      </c>
      <c r="G260" s="3">
        <f>IF(C260&lt;='Input sheet(dashboard)'!$D$6,E260*'Input sheet(dashboard)'!$D$7,0)</f>
        <v>3186.7310337807357</v>
      </c>
      <c r="H260" s="3">
        <f t="shared" ref="H260:H323" si="37">E260-F260</f>
        <v>27291.15418647269</v>
      </c>
      <c r="I260" s="3">
        <f t="shared" ref="I260:I323" si="38">I259-H260</f>
        <v>3415945.6036670431</v>
      </c>
      <c r="J260" s="3">
        <f>IF(B260&lt;='Input sheet(dashboard)'!$D$27*12,'Input sheet(dashboard)'!$D$3*(1+'Input sheet(dashboard)'!$E$24)^B260,0)</f>
        <v>25214815.490340989</v>
      </c>
      <c r="K260" s="3">
        <f>IF(B260&lt;='Input sheet(dashboard)'!$D$27*12,J260*'Input sheet(dashboard)'!$E$8,0)</f>
        <v>26116.144655475095</v>
      </c>
      <c r="L260" s="3">
        <f>IF(B260&lt;='Input sheet(dashboard)'!$D$27*12,'Input sheet(dashboard)'!$D$9*(1+'Input sheet(dashboard)'!$E$22)^B260,0)</f>
        <v>5090.8547391693864</v>
      </c>
      <c r="M260" s="3">
        <f>IF(B260=1,'Input sheet(dashboard)'!$D$3*'Input sheet(dashboard)'!$D$10,0)</f>
        <v>0</v>
      </c>
      <c r="N260" s="3">
        <f>IF(B260='Input sheet(dashboard)'!$D$27*12,J260*'Input sheet(dashboard)'!$D$11,0)</f>
        <v>0</v>
      </c>
      <c r="O260" s="3">
        <f>IF(SUM(F260:F271)&gt;=150000,150000/12*'Input sheet(dashboard)'!$D$28,SUM(F260:F271)/12*'Input sheet(dashboard)'!$D$28)</f>
        <v>1798.4253114258775</v>
      </c>
      <c r="P260" s="3">
        <f t="shared" si="33"/>
        <v>0</v>
      </c>
      <c r="Q260" s="3">
        <f>IF(B260&lt;='Input sheet(dashboard)'!$D$27*12,'Input sheet(dashboard)'!$D$12/12,0)</f>
        <v>192.5</v>
      </c>
      <c r="R260" s="3">
        <f>IF(B260&lt;='Input sheet(dashboard)'!$D$27*12,('Input sheet(dashboard)'!$D$15/12)*(1+'Input sheet(dashboard)'!$E$22)^Calculations!B260,0)</f>
        <v>565.65052657437627</v>
      </c>
      <c r="S260" s="3">
        <f>IF(B260&lt;='Input sheet(dashboard)'!$D$27*12,(E260+G260+K260+L260-O260+M260+Q260+R260),0)</f>
        <v>73187.593565832911</v>
      </c>
      <c r="T260" s="3">
        <f>IF(B260&lt;='Input sheet(dashboard)'!$D$27*12,IF(D260=12,SUM(S249:S260),0),0)</f>
        <v>0</v>
      </c>
      <c r="U260" s="3">
        <f>IF(B260&lt;='Input sheet(dashboard)'!$D$27*12,IF(S260&lt;AD260,AD260-S260,0),0)</f>
        <v>166.09832736788667</v>
      </c>
      <c r="V260" s="3">
        <f>IF(B260&lt;='Input sheet(dashboard)'!$D$27*12,V259*(1+'Input sheet(dashboard)'!$E$25)+U260,0)</f>
        <v>6559.440139648882</v>
      </c>
      <c r="W260" s="17">
        <f>IF(B260&lt;='Input sheet(dashboard)'!$D$27*12,J260-I260+V260-N260,0)</f>
        <v>21805429.326813594</v>
      </c>
      <c r="X260" s="3">
        <f>IF(B260&lt;='Input sheet(dashboard)'!$D$27*12,'Input sheet(dashboard)'!$D$17*(1+'Input sheet(dashboard)'!$E$23)^(B260-1),0)</f>
        <v>73353.691893200797</v>
      </c>
      <c r="Y260" s="3"/>
      <c r="Z260" s="18"/>
      <c r="AA260" s="18"/>
      <c r="AB260" s="3">
        <f>IF(B260=1,'Input sheet(dashboard)'!$D$18*Calculations!X260,IF(Calculations!B260=12*'Input sheet(dashboard)'!$D$27,'Input sheet(dashboard)'!$D$18*-Calculations!X260,0))</f>
        <v>0</v>
      </c>
      <c r="AC260" s="3">
        <f>IF(B260&lt;='Input sheet(dashboard)'!$D$27*12,IF(MOD(B259,'Input sheet(dashboard)'!$D$19*12),0,'Input sheet(dashboard)'!$D$20*(1+'Input sheet(dashboard)'!$E$22)^Calculations!B260),0)</f>
        <v>0</v>
      </c>
      <c r="AD260" s="17">
        <f t="shared" ref="AD260:AD323" si="39">X260+Y260+AB260+AC260</f>
        <v>73353.691893200797</v>
      </c>
      <c r="AE260" s="17">
        <f>IF(B260&lt;='Input sheet(dashboard)'!$D$27*12,IF(D260=12,SUM(AD249:AD260),0),0)</f>
        <v>0</v>
      </c>
      <c r="AF260" s="17">
        <f t="shared" ref="AF260:AF323" si="40">S260-AD260</f>
        <v>-166.09832736788667</v>
      </c>
      <c r="AG260" s="17">
        <f t="shared" ref="AG260:AG323" si="41">IF(AF260&gt;0,AF260,0)</f>
        <v>0</v>
      </c>
      <c r="AH260" s="3">
        <f>IF(B260&lt;='Input sheet(dashboard)'!$D$27*12,AH259*(1+'Input sheet(dashboard)'!$E$25)+AG260," ")</f>
        <v>17709260.952324815</v>
      </c>
    </row>
    <row r="261" spans="2:34">
      <c r="B261">
        <f t="shared" si="36"/>
        <v>258</v>
      </c>
      <c r="C261">
        <f t="shared" si="34"/>
        <v>22</v>
      </c>
      <c r="D261">
        <f t="shared" si="35"/>
        <v>6</v>
      </c>
      <c r="E261" s="15">
        <f>IF(C261&lt;='Input sheet(dashboard)'!$D$6, -PMT('Input sheet(dashboard)'!$E$5,'Input sheet(dashboard)'!$D$6*12,'Input sheet(dashboard)'!$D$3*'Input sheet(dashboard)'!$D$4),0)</f>
        <v>39834.137922259193</v>
      </c>
      <c r="F261" s="3">
        <f>I260*'Input sheet(dashboard)'!$E$5</f>
        <v>12443.567829427175</v>
      </c>
      <c r="G261" s="3">
        <f>IF(C261&lt;='Input sheet(dashboard)'!$D$6,E261*'Input sheet(dashboard)'!$D$7,0)</f>
        <v>3186.7310337807357</v>
      </c>
      <c r="H261" s="3">
        <f t="shared" si="37"/>
        <v>27390.570092832018</v>
      </c>
      <c r="I261" s="3">
        <f t="shared" si="38"/>
        <v>3388555.0335742109</v>
      </c>
      <c r="J261" s="3">
        <f>IF(B261&lt;='Input sheet(dashboard)'!$D$27*12,'Input sheet(dashboard)'!$D$3*(1+'Input sheet(dashboard)'!$E$24)^B261,0)</f>
        <v>25317543.769830491</v>
      </c>
      <c r="K261" s="3">
        <f>IF(B261&lt;='Input sheet(dashboard)'!$D$27*12,J261*'Input sheet(dashboard)'!$E$8,0)</f>
        <v>26222.545061553166</v>
      </c>
      <c r="L261" s="3">
        <f>IF(B261&lt;='Input sheet(dashboard)'!$D$27*12,'Input sheet(dashboard)'!$D$9*(1+'Input sheet(dashboard)'!$E$22)^B261,0)</f>
        <v>5101.3410664056282</v>
      </c>
      <c r="M261" s="3">
        <f>IF(B261=1,'Input sheet(dashboard)'!$D$3*'Input sheet(dashboard)'!$D$10,0)</f>
        <v>0</v>
      </c>
      <c r="N261" s="3">
        <f>IF(B261='Input sheet(dashboard)'!$D$27*12,J261*'Input sheet(dashboard)'!$D$11,0)</f>
        <v>0</v>
      </c>
      <c r="O261" s="3">
        <f>IF(SUM(F261:F272)&gt;=150000,150000/12*'Input sheet(dashboard)'!$D$28,SUM(F261:F272)/12*'Input sheet(dashboard)'!$D$28)</f>
        <v>1783.2104929669188</v>
      </c>
      <c r="P261" s="3">
        <f t="shared" si="33"/>
        <v>0</v>
      </c>
      <c r="Q261" s="3">
        <f>IF(B261&lt;='Input sheet(dashboard)'!$D$27*12,'Input sheet(dashboard)'!$D$12/12,0)</f>
        <v>192.5</v>
      </c>
      <c r="R261" s="3">
        <f>IF(B261&lt;='Input sheet(dashboard)'!$D$27*12,('Input sheet(dashboard)'!$D$15/12)*(1+'Input sheet(dashboard)'!$E$22)^Calculations!B261,0)</f>
        <v>566.81567404506984</v>
      </c>
      <c r="S261" s="3">
        <f>IF(B261&lt;='Input sheet(dashboard)'!$D$27*12,(E261+G261+K261+L261-O261+M261+Q261+R261),0)</f>
        <v>73320.860265076873</v>
      </c>
      <c r="T261" s="3">
        <f>IF(B261&lt;='Input sheet(dashboard)'!$D$27*12,IF(D261=12,SUM(S250:S261),0),0)</f>
        <v>0</v>
      </c>
      <c r="U261" s="3">
        <f>IF(B261&lt;='Input sheet(dashboard)'!$D$27*12,IF(S261&lt;AD261,AD261-S261,0),0)</f>
        <v>331.68364888444194</v>
      </c>
      <c r="V261" s="3">
        <f>IF(B261&lt;='Input sheet(dashboard)'!$D$27*12,V260*(1+'Input sheet(dashboard)'!$E$25)+U261,0)</f>
        <v>6933.3274238965896</v>
      </c>
      <c r="W261" s="17">
        <f>IF(B261&lt;='Input sheet(dashboard)'!$D$27*12,J261-I261+V261-N261,0)</f>
        <v>21935922.063680176</v>
      </c>
      <c r="X261" s="3">
        <f>IF(B261&lt;='Input sheet(dashboard)'!$D$27*12,'Input sheet(dashboard)'!$D$17*(1+'Input sheet(dashboard)'!$E$23)^(B261-1),0)</f>
        <v>73652.543913961315</v>
      </c>
      <c r="Y261" s="3"/>
      <c r="Z261" s="18"/>
      <c r="AA261" s="18"/>
      <c r="AB261" s="3">
        <f>IF(B261=1,'Input sheet(dashboard)'!$D$18*Calculations!X261,IF(Calculations!B261=12*'Input sheet(dashboard)'!$D$27,'Input sheet(dashboard)'!$D$18*-Calculations!X261,0))</f>
        <v>0</v>
      </c>
      <c r="AC261" s="3">
        <f>IF(B261&lt;='Input sheet(dashboard)'!$D$27*12,IF(MOD(B260,'Input sheet(dashboard)'!$D$19*12),0,'Input sheet(dashboard)'!$D$20*(1+'Input sheet(dashboard)'!$E$22)^Calculations!B261),0)</f>
        <v>0</v>
      </c>
      <c r="AD261" s="17">
        <f t="shared" si="39"/>
        <v>73652.543913961315</v>
      </c>
      <c r="AE261" s="17">
        <f>IF(B261&lt;='Input sheet(dashboard)'!$D$27*12,IF(D261=12,SUM(AD250:AD261),0),0)</f>
        <v>0</v>
      </c>
      <c r="AF261" s="17">
        <f t="shared" si="40"/>
        <v>-331.68364888444194</v>
      </c>
      <c r="AG261" s="17">
        <f t="shared" si="41"/>
        <v>0</v>
      </c>
      <c r="AH261" s="3">
        <f>IF(B261&lt;='Input sheet(dashboard)'!$D$27*12,AH260*(1+'Input sheet(dashboard)'!$E$25)+AG261," ")</f>
        <v>17823202.87051798</v>
      </c>
    </row>
    <row r="262" spans="2:34">
      <c r="B262">
        <f t="shared" si="36"/>
        <v>259</v>
      </c>
      <c r="C262">
        <f t="shared" si="34"/>
        <v>22</v>
      </c>
      <c r="D262">
        <f t="shared" si="35"/>
        <v>7</v>
      </c>
      <c r="E262" s="15">
        <f>IF(C262&lt;='Input sheet(dashboard)'!$D$6, -PMT('Input sheet(dashboard)'!$E$5,'Input sheet(dashboard)'!$D$6*12,'Input sheet(dashboard)'!$D$3*'Input sheet(dashboard)'!$D$4),0)</f>
        <v>39834.137922259193</v>
      </c>
      <c r="F262" s="3">
        <f>I261*'Input sheet(dashboard)'!$E$5</f>
        <v>12343.789771933829</v>
      </c>
      <c r="G262" s="3">
        <f>IF(C262&lt;='Input sheet(dashboard)'!$D$6,E262*'Input sheet(dashboard)'!$D$7,0)</f>
        <v>3186.7310337807357</v>
      </c>
      <c r="H262" s="3">
        <f t="shared" si="37"/>
        <v>27490.348150325364</v>
      </c>
      <c r="I262" s="3">
        <f t="shared" si="38"/>
        <v>3361064.6854238855</v>
      </c>
      <c r="J262" s="3">
        <f>IF(B262&lt;='Input sheet(dashboard)'!$D$27*12,'Input sheet(dashboard)'!$D$3*(1+'Input sheet(dashboard)'!$E$24)^B262,0)</f>
        <v>25420690.577046718</v>
      </c>
      <c r="K262" s="3">
        <f>IF(B262&lt;='Input sheet(dashboard)'!$D$27*12,J262*'Input sheet(dashboard)'!$E$8,0)</f>
        <v>26329.378956056233</v>
      </c>
      <c r="L262" s="3">
        <f>IF(B262&lt;='Input sheet(dashboard)'!$D$27*12,'Input sheet(dashboard)'!$D$9*(1+'Input sheet(dashboard)'!$E$22)^B262,0)</f>
        <v>5111.8489937590493</v>
      </c>
      <c r="M262" s="3">
        <f>IF(B262=1,'Input sheet(dashboard)'!$D$3*'Input sheet(dashboard)'!$D$10,0)</f>
        <v>0</v>
      </c>
      <c r="N262" s="3">
        <f>IF(B262='Input sheet(dashboard)'!$D$27*12,J262*'Input sheet(dashboard)'!$D$11,0)</f>
        <v>0</v>
      </c>
      <c r="O262" s="3">
        <f>IF(SUM(F262:F273)&gt;=150000,150000/12*'Input sheet(dashboard)'!$D$28,SUM(F262:F273)/12*'Input sheet(dashboard)'!$D$28)</f>
        <v>1767.9402501401646</v>
      </c>
      <c r="P262" s="3">
        <f t="shared" si="33"/>
        <v>0</v>
      </c>
      <c r="Q262" s="3">
        <f>IF(B262&lt;='Input sheet(dashboard)'!$D$27*12,'Input sheet(dashboard)'!$D$12/12,0)</f>
        <v>192.5</v>
      </c>
      <c r="R262" s="3">
        <f>IF(B262&lt;='Input sheet(dashboard)'!$D$27*12,('Input sheet(dashboard)'!$D$15/12)*(1+'Input sheet(dashboard)'!$E$22)^Calculations!B262,0)</f>
        <v>567.98322152878313</v>
      </c>
      <c r="S262" s="3">
        <f>IF(B262&lt;='Input sheet(dashboard)'!$D$27*12,(E262+G262+K262+L262-O262+M262+Q262+R262),0)</f>
        <v>73454.639877243841</v>
      </c>
      <c r="T262" s="3">
        <f>IF(B262&lt;='Input sheet(dashboard)'!$D$27*12,IF(D262=12,SUM(S251:S262),0),0)</f>
        <v>0</v>
      </c>
      <c r="U262" s="3">
        <f>IF(B262&lt;='Input sheet(dashboard)'!$D$27*12,IF(S262&lt;AD262,AD262-S262,0),0)</f>
        <v>497.97361760355125</v>
      </c>
      <c r="V262" s="3">
        <f>IF(B262&lt;='Input sheet(dashboard)'!$D$27*12,V261*(1+'Input sheet(dashboard)'!$E$25)+U262,0)</f>
        <v>7475.9102789080043</v>
      </c>
      <c r="W262" s="17">
        <f>IF(B262&lt;='Input sheet(dashboard)'!$D$27*12,J262-I262+V262-N262,0)</f>
        <v>22067101.801901743</v>
      </c>
      <c r="X262" s="3">
        <f>IF(B262&lt;='Input sheet(dashboard)'!$D$27*12,'Input sheet(dashboard)'!$D$17*(1+'Input sheet(dashboard)'!$E$23)^(B262-1),0)</f>
        <v>73952.613494847392</v>
      </c>
      <c r="Y262" s="3"/>
      <c r="Z262" s="18"/>
      <c r="AA262" s="18"/>
      <c r="AB262" s="3">
        <f>IF(B262=1,'Input sheet(dashboard)'!$D$18*Calculations!X262,IF(Calculations!B262=12*'Input sheet(dashboard)'!$D$27,'Input sheet(dashboard)'!$D$18*-Calculations!X262,0))</f>
        <v>0</v>
      </c>
      <c r="AC262" s="3">
        <f>IF(B262&lt;='Input sheet(dashboard)'!$D$27*12,IF(MOD(B261,'Input sheet(dashboard)'!$D$19*12),0,'Input sheet(dashboard)'!$D$20*(1+'Input sheet(dashboard)'!$E$22)^Calculations!B262),0)</f>
        <v>0</v>
      </c>
      <c r="AD262" s="17">
        <f t="shared" si="39"/>
        <v>73952.613494847392</v>
      </c>
      <c r="AE262" s="17">
        <f>IF(B262&lt;='Input sheet(dashboard)'!$D$27*12,IF(D262=12,SUM(AD251:AD262),0),0)</f>
        <v>0</v>
      </c>
      <c r="AF262" s="17">
        <f t="shared" si="40"/>
        <v>-497.97361760355125</v>
      </c>
      <c r="AG262" s="17">
        <f t="shared" si="41"/>
        <v>0</v>
      </c>
      <c r="AH262" s="3">
        <f>IF(B262&lt;='Input sheet(dashboard)'!$D$27*12,AH261*(1+'Input sheet(dashboard)'!$E$25)+AG262," ")</f>
        <v>17937877.894443594</v>
      </c>
    </row>
    <row r="263" spans="2:34">
      <c r="B263">
        <f t="shared" si="36"/>
        <v>260</v>
      </c>
      <c r="C263">
        <f t="shared" si="34"/>
        <v>22</v>
      </c>
      <c r="D263">
        <f t="shared" si="35"/>
        <v>8</v>
      </c>
      <c r="E263" s="15">
        <f>IF(C263&lt;='Input sheet(dashboard)'!$D$6, -PMT('Input sheet(dashboard)'!$E$5,'Input sheet(dashboard)'!$D$6*12,'Input sheet(dashboard)'!$D$3*'Input sheet(dashboard)'!$D$4),0)</f>
        <v>39834.137922259193</v>
      </c>
      <c r="F263" s="3">
        <f>I262*'Input sheet(dashboard)'!$E$5</f>
        <v>12243.648244066429</v>
      </c>
      <c r="G263" s="3">
        <f>IF(C263&lt;='Input sheet(dashboard)'!$D$6,E263*'Input sheet(dashboard)'!$D$7,0)</f>
        <v>3186.7310337807357</v>
      </c>
      <c r="H263" s="3">
        <f t="shared" si="37"/>
        <v>27590.489678192764</v>
      </c>
      <c r="I263" s="3">
        <f t="shared" si="38"/>
        <v>3333474.1957456926</v>
      </c>
      <c r="J263" s="3">
        <f>IF(B263&lt;='Input sheet(dashboard)'!$D$27*12,'Input sheet(dashboard)'!$D$3*(1+'Input sheet(dashboard)'!$E$24)^B263,0)</f>
        <v>25524257.617123429</v>
      </c>
      <c r="K263" s="3">
        <f>IF(B263&lt;='Input sheet(dashboard)'!$D$27*12,J263*'Input sheet(dashboard)'!$E$8,0)</f>
        <v>26436.648105069791</v>
      </c>
      <c r="L263" s="3">
        <f>IF(B263&lt;='Input sheet(dashboard)'!$D$27*12,'Input sheet(dashboard)'!$D$9*(1+'Input sheet(dashboard)'!$E$22)^B263,0)</f>
        <v>5122.3785657223534</v>
      </c>
      <c r="M263" s="3">
        <f>IF(B263=1,'Input sheet(dashboard)'!$D$3*'Input sheet(dashboard)'!$D$10,0)</f>
        <v>0</v>
      </c>
      <c r="N263" s="3">
        <f>IF(B263='Input sheet(dashboard)'!$D$27*12,J263*'Input sheet(dashboard)'!$D$11,0)</f>
        <v>0</v>
      </c>
      <c r="O263" s="3">
        <f>IF(SUM(F263:F274)&gt;=150000,150000/12*'Input sheet(dashboard)'!$D$28,SUM(F263:F274)/12*'Input sheet(dashboard)'!$D$28)</f>
        <v>1752.6143810463586</v>
      </c>
      <c r="P263" s="3">
        <f t="shared" si="33"/>
        <v>0</v>
      </c>
      <c r="Q263" s="3">
        <f>IF(B263&lt;='Input sheet(dashboard)'!$D$27*12,'Input sheet(dashboard)'!$D$12/12,0)</f>
        <v>192.5</v>
      </c>
      <c r="R263" s="3">
        <f>IF(B263&lt;='Input sheet(dashboard)'!$D$27*12,('Input sheet(dashboard)'!$D$15/12)*(1+'Input sheet(dashboard)'!$E$22)^Calculations!B263,0)</f>
        <v>569.15317396915032</v>
      </c>
      <c r="S263" s="3">
        <f>IF(B263&lt;='Input sheet(dashboard)'!$D$27*12,(E263+G263+K263+L263-O263+M263+Q263+R263),0)</f>
        <v>73588.934419754863</v>
      </c>
      <c r="T263" s="3">
        <f>IF(B263&lt;='Input sheet(dashboard)'!$D$27*12,IF(D263=12,SUM(S252:S263),0),0)</f>
        <v>0</v>
      </c>
      <c r="U263" s="3">
        <f>IF(B263&lt;='Input sheet(dashboard)'!$D$27*12,IF(S263&lt;AD263,AD263-S263,0),0)</f>
        <v>664.97117659484502</v>
      </c>
      <c r="V263" s="3">
        <f>IF(B263&lt;='Input sheet(dashboard)'!$D$27*12,V262*(1+'Input sheet(dashboard)'!$E$25)+U263,0)</f>
        <v>8188.9816873370273</v>
      </c>
      <c r="W263" s="17">
        <f>IF(B263&lt;='Input sheet(dashboard)'!$D$27*12,J263-I263+V263-N263,0)</f>
        <v>22198972.403065074</v>
      </c>
      <c r="X263" s="3">
        <f>IF(B263&lt;='Input sheet(dashboard)'!$D$27*12,'Input sheet(dashboard)'!$D$17*(1+'Input sheet(dashboard)'!$E$23)^(B263-1),0)</f>
        <v>74253.905596349709</v>
      </c>
      <c r="Y263" s="3"/>
      <c r="Z263" s="18"/>
      <c r="AA263" s="18"/>
      <c r="AB263" s="3">
        <f>IF(B263=1,'Input sheet(dashboard)'!$D$18*Calculations!X263,IF(Calculations!B263=12*'Input sheet(dashboard)'!$D$27,'Input sheet(dashboard)'!$D$18*-Calculations!X263,0))</f>
        <v>0</v>
      </c>
      <c r="AC263" s="3">
        <f>IF(B263&lt;='Input sheet(dashboard)'!$D$27*12,IF(MOD(B262,'Input sheet(dashboard)'!$D$19*12),0,'Input sheet(dashboard)'!$D$20*(1+'Input sheet(dashboard)'!$E$22)^Calculations!B263),0)</f>
        <v>0</v>
      </c>
      <c r="AD263" s="17">
        <f t="shared" si="39"/>
        <v>74253.905596349709</v>
      </c>
      <c r="AE263" s="17">
        <f>IF(B263&lt;='Input sheet(dashboard)'!$D$27*12,IF(D263=12,SUM(AD252:AD263),0),0)</f>
        <v>0</v>
      </c>
      <c r="AF263" s="17">
        <f t="shared" si="40"/>
        <v>-664.97117659484502</v>
      </c>
      <c r="AG263" s="17">
        <f t="shared" si="41"/>
        <v>0</v>
      </c>
      <c r="AH263" s="3">
        <f>IF(B263&lt;='Input sheet(dashboard)'!$D$27*12,AH262*(1+'Input sheet(dashboard)'!$E$25)+AG263," ")</f>
        <v>18053290.740926009</v>
      </c>
    </row>
    <row r="264" spans="2:34">
      <c r="B264">
        <f t="shared" si="36"/>
        <v>261</v>
      </c>
      <c r="C264">
        <f t="shared" si="34"/>
        <v>22</v>
      </c>
      <c r="D264">
        <f t="shared" si="35"/>
        <v>9</v>
      </c>
      <c r="E264" s="15">
        <f>IF(C264&lt;='Input sheet(dashboard)'!$D$6, -PMT('Input sheet(dashboard)'!$E$5,'Input sheet(dashboard)'!$D$6*12,'Input sheet(dashboard)'!$D$3*'Input sheet(dashboard)'!$D$4),0)</f>
        <v>39834.137922259193</v>
      </c>
      <c r="F264" s="3">
        <f>I263*'Input sheet(dashboard)'!$E$5</f>
        <v>12143.14192177923</v>
      </c>
      <c r="G264" s="3">
        <f>IF(C264&lt;='Input sheet(dashboard)'!$D$6,E264*'Input sheet(dashboard)'!$D$7,0)</f>
        <v>3186.7310337807357</v>
      </c>
      <c r="H264" s="3">
        <f t="shared" si="37"/>
        <v>27690.996000479965</v>
      </c>
      <c r="I264" s="3">
        <f t="shared" si="38"/>
        <v>3305783.1997452127</v>
      </c>
      <c r="J264" s="3">
        <f>IF(B264&lt;='Input sheet(dashboard)'!$D$27*12,'Input sheet(dashboard)'!$D$3*(1+'Input sheet(dashboard)'!$E$24)^B264,0)</f>
        <v>25628246.602141321</v>
      </c>
      <c r="K264" s="3">
        <f>IF(B264&lt;='Input sheet(dashboard)'!$D$27*12,J264*'Input sheet(dashboard)'!$E$8,0)</f>
        <v>26544.354281874599</v>
      </c>
      <c r="L264" s="3">
        <f>IF(B264&lt;='Input sheet(dashboard)'!$D$27*12,'Input sheet(dashboard)'!$D$9*(1+'Input sheet(dashboard)'!$E$22)^B264,0)</f>
        <v>5132.929826879893</v>
      </c>
      <c r="M264" s="3">
        <f>IF(B264=1,'Input sheet(dashboard)'!$D$3*'Input sheet(dashboard)'!$D$10,0)</f>
        <v>0</v>
      </c>
      <c r="N264" s="3">
        <f>IF(B264='Input sheet(dashboard)'!$D$27*12,J264*'Input sheet(dashboard)'!$D$11,0)</f>
        <v>0</v>
      </c>
      <c r="O264" s="3">
        <f>IF(SUM(F264:F275)&gt;=150000,150000/12*'Input sheet(dashboard)'!$D$28,SUM(F264:F275)/12*'Input sheet(dashboard)'!$D$28)</f>
        <v>1737.2326830507654</v>
      </c>
      <c r="P264" s="3">
        <f t="shared" si="33"/>
        <v>0</v>
      </c>
      <c r="Q264" s="3">
        <f>IF(B264&lt;='Input sheet(dashboard)'!$D$27*12,'Input sheet(dashboard)'!$D$12/12,0)</f>
        <v>192.5</v>
      </c>
      <c r="R264" s="3">
        <f>IF(B264&lt;='Input sheet(dashboard)'!$D$27*12,('Input sheet(dashboard)'!$D$15/12)*(1+'Input sheet(dashboard)'!$E$22)^Calculations!B264,0)</f>
        <v>570.32553631998803</v>
      </c>
      <c r="S264" s="3">
        <f>IF(B264&lt;='Input sheet(dashboard)'!$D$27*12,(E264+G264+K264+L264-O264+M264+Q264+R264),0)</f>
        <v>73723.745918063636</v>
      </c>
      <c r="T264" s="3">
        <f>IF(B264&lt;='Input sheet(dashboard)'!$D$27*12,IF(D264=12,SUM(S253:S264),0),0)</f>
        <v>0</v>
      </c>
      <c r="U264" s="3">
        <f>IF(B264&lt;='Input sheet(dashboard)'!$D$27*12,IF(S264&lt;AD264,AD264-S264,0),0)</f>
        <v>14520.492152784645</v>
      </c>
      <c r="V264" s="3">
        <f>IF(B264&lt;='Input sheet(dashboard)'!$D$27*12,V263*(1+'Input sheet(dashboard)'!$E$25)+U264,0)</f>
        <v>22762.161994868264</v>
      </c>
      <c r="W264" s="17">
        <f>IF(B264&lt;='Input sheet(dashboard)'!$D$27*12,J264-I264+V264-N264,0)</f>
        <v>22345225.564390976</v>
      </c>
      <c r="X264" s="3">
        <f>IF(B264&lt;='Input sheet(dashboard)'!$D$27*12,'Input sheet(dashboard)'!$D$17*(1+'Input sheet(dashboard)'!$E$23)^(B264-1),0)</f>
        <v>74556.42519916856</v>
      </c>
      <c r="Y264" s="3"/>
      <c r="Z264" s="18"/>
      <c r="AA264" s="18"/>
      <c r="AB264" s="3">
        <f>IF(B264=1,'Input sheet(dashboard)'!$D$18*Calculations!X264,IF(Calculations!B264=12*'Input sheet(dashboard)'!$D$27,'Input sheet(dashboard)'!$D$18*-Calculations!X264,0))</f>
        <v>0</v>
      </c>
      <c r="AC264" s="3">
        <f>IF(B264&lt;='Input sheet(dashboard)'!$D$27*12,IF(MOD(B263,'Input sheet(dashboard)'!$D$19*12),0,'Input sheet(dashboard)'!$D$20*(1+'Input sheet(dashboard)'!$E$22)^Calculations!B264),0)</f>
        <v>13687.812871679715</v>
      </c>
      <c r="AD264" s="17">
        <f t="shared" si="39"/>
        <v>88244.238070848281</v>
      </c>
      <c r="AE264" s="17">
        <f>IF(B264&lt;='Input sheet(dashboard)'!$D$27*12,IF(D264=12,SUM(AD253:AD264),0),0)</f>
        <v>0</v>
      </c>
      <c r="AF264" s="17">
        <f t="shared" si="40"/>
        <v>-14520.492152784645</v>
      </c>
      <c r="AG264" s="17">
        <f t="shared" si="41"/>
        <v>0</v>
      </c>
      <c r="AH264" s="3">
        <f>IF(B264&lt;='Input sheet(dashboard)'!$D$27*12,AH263*(1+'Input sheet(dashboard)'!$E$25)+AG264," ")</f>
        <v>18169446.157137774</v>
      </c>
    </row>
    <row r="265" spans="2:34">
      <c r="B265">
        <f t="shared" si="36"/>
        <v>262</v>
      </c>
      <c r="C265">
        <f t="shared" si="34"/>
        <v>22</v>
      </c>
      <c r="D265">
        <f t="shared" si="35"/>
        <v>10</v>
      </c>
      <c r="E265" s="15">
        <f>IF(C265&lt;='Input sheet(dashboard)'!$D$6, -PMT('Input sheet(dashboard)'!$E$5,'Input sheet(dashboard)'!$D$6*12,'Input sheet(dashboard)'!$D$3*'Input sheet(dashboard)'!$D$4),0)</f>
        <v>39834.137922259193</v>
      </c>
      <c r="F265" s="3">
        <f>I264*'Input sheet(dashboard)'!$E$5</f>
        <v>12042.269476203262</v>
      </c>
      <c r="G265" s="3">
        <f>IF(C265&lt;='Input sheet(dashboard)'!$D$6,E265*'Input sheet(dashboard)'!$D$7,0)</f>
        <v>3186.7310337807357</v>
      </c>
      <c r="H265" s="3">
        <f t="shared" si="37"/>
        <v>27791.868446055931</v>
      </c>
      <c r="I265" s="3">
        <f t="shared" si="38"/>
        <v>3277991.3312991569</v>
      </c>
      <c r="J265" s="3">
        <f>IF(B265&lt;='Input sheet(dashboard)'!$D$27*12,'Input sheet(dashboard)'!$D$3*(1+'Input sheet(dashboard)'!$E$24)^B265,0)</f>
        <v>25732659.251156311</v>
      </c>
      <c r="K265" s="3">
        <f>IF(B265&lt;='Input sheet(dashboard)'!$D$27*12,J265*'Input sheet(dashboard)'!$E$8,0)</f>
        <v>26652.499266975974</v>
      </c>
      <c r="L265" s="3">
        <f>IF(B265&lt;='Input sheet(dashboard)'!$D$27*12,'Input sheet(dashboard)'!$D$9*(1+'Input sheet(dashboard)'!$E$22)^B265,0)</f>
        <v>5143.5028219078577</v>
      </c>
      <c r="M265" s="3">
        <f>IF(B265=1,'Input sheet(dashboard)'!$D$3*'Input sheet(dashboard)'!$D$10,0)</f>
        <v>0</v>
      </c>
      <c r="N265" s="3">
        <f>IF(B265='Input sheet(dashboard)'!$D$27*12,J265*'Input sheet(dashboard)'!$D$11,0)</f>
        <v>0</v>
      </c>
      <c r="O265" s="3">
        <f>IF(SUM(F265:F276)&gt;=150000,150000/12*'Input sheet(dashboard)'!$D$28,SUM(F265:F276)/12*'Input sheet(dashboard)'!$D$28)</f>
        <v>1721.7949527804976</v>
      </c>
      <c r="P265" s="3">
        <f t="shared" si="33"/>
        <v>0</v>
      </c>
      <c r="Q265" s="3">
        <f>IF(B265&lt;='Input sheet(dashboard)'!$D$27*12,'Input sheet(dashboard)'!$D$12/12,0)</f>
        <v>192.5</v>
      </c>
      <c r="R265" s="3">
        <f>IF(B265&lt;='Input sheet(dashboard)'!$D$27*12,('Input sheet(dashboard)'!$D$15/12)*(1+'Input sheet(dashboard)'!$E$22)^Calculations!B265,0)</f>
        <v>571.50031354531745</v>
      </c>
      <c r="S265" s="3">
        <f>IF(B265&lt;='Input sheet(dashboard)'!$D$27*12,(E265+G265+K265+L265-O265+M265+Q265+R265),0)</f>
        <v>73859.076405688567</v>
      </c>
      <c r="T265" s="3">
        <f>IF(B265&lt;='Input sheet(dashboard)'!$D$27*12,IF(D265=12,SUM(S254:S265),0),0)</f>
        <v>0</v>
      </c>
      <c r="U265" s="3">
        <f>IF(B265&lt;='Input sheet(dashboard)'!$D$27*12,IF(S265&lt;AD265,AD265-S265,0),0)</f>
        <v>1001.1008986077359</v>
      </c>
      <c r="V265" s="3">
        <f>IF(B265&lt;='Input sheet(dashboard)'!$D$27*12,V264*(1+'Input sheet(dashboard)'!$E$25)+U265,0)</f>
        <v>23909.715329119757</v>
      </c>
      <c r="W265" s="17">
        <f>IF(B265&lt;='Input sheet(dashboard)'!$D$27*12,J265-I265+V265-N265,0)</f>
        <v>22478577.635186274</v>
      </c>
      <c r="X265" s="3">
        <f>IF(B265&lt;='Input sheet(dashboard)'!$D$27*12,'Input sheet(dashboard)'!$D$17*(1+'Input sheet(dashboard)'!$E$23)^(B265-1),0)</f>
        <v>74860.177304296303</v>
      </c>
      <c r="Y265" s="3"/>
      <c r="Z265" s="18"/>
      <c r="AA265" s="18"/>
      <c r="AB265" s="3">
        <f>IF(B265=1,'Input sheet(dashboard)'!$D$18*Calculations!X265,IF(Calculations!B265=12*'Input sheet(dashboard)'!$D$27,'Input sheet(dashboard)'!$D$18*-Calculations!X265,0))</f>
        <v>0</v>
      </c>
      <c r="AC265" s="3">
        <f>IF(B265&lt;='Input sheet(dashboard)'!$D$27*12,IF(MOD(B264,'Input sheet(dashboard)'!$D$19*12),0,'Input sheet(dashboard)'!$D$20*(1+'Input sheet(dashboard)'!$E$22)^Calculations!B265),0)</f>
        <v>0</v>
      </c>
      <c r="AD265" s="17">
        <f t="shared" si="39"/>
        <v>74860.177304296303</v>
      </c>
      <c r="AE265" s="17">
        <f>IF(B265&lt;='Input sheet(dashboard)'!$D$27*12,IF(D265=12,SUM(AD254:AD265),0),0)</f>
        <v>0</v>
      </c>
      <c r="AF265" s="17">
        <f t="shared" si="40"/>
        <v>-1001.1008986077359</v>
      </c>
      <c r="AG265" s="17">
        <f t="shared" si="41"/>
        <v>0</v>
      </c>
      <c r="AH265" s="3">
        <f>IF(B265&lt;='Input sheet(dashboard)'!$D$27*12,AH264*(1+'Input sheet(dashboard)'!$E$25)+AG265," ")</f>
        <v>18286348.920794886</v>
      </c>
    </row>
    <row r="266" spans="2:34">
      <c r="B266">
        <f t="shared" si="36"/>
        <v>263</v>
      </c>
      <c r="C266">
        <f t="shared" si="34"/>
        <v>22</v>
      </c>
      <c r="D266">
        <f t="shared" si="35"/>
        <v>11</v>
      </c>
      <c r="E266" s="15">
        <f>IF(C266&lt;='Input sheet(dashboard)'!$D$6, -PMT('Input sheet(dashboard)'!$E$5,'Input sheet(dashboard)'!$D$6*12,'Input sheet(dashboard)'!$D$3*'Input sheet(dashboard)'!$D$4),0)</f>
        <v>39834.137922259193</v>
      </c>
      <c r="F266" s="3">
        <f>I265*'Input sheet(dashboard)'!$E$5</f>
        <v>11941.029573628772</v>
      </c>
      <c r="G266" s="3">
        <f>IF(C266&lt;='Input sheet(dashboard)'!$D$6,E266*'Input sheet(dashboard)'!$D$7,0)</f>
        <v>3186.7310337807357</v>
      </c>
      <c r="H266" s="3">
        <f t="shared" si="37"/>
        <v>27893.10834863042</v>
      </c>
      <c r="I266" s="3">
        <f t="shared" si="38"/>
        <v>3250098.2229505265</v>
      </c>
      <c r="J266" s="3">
        <f>IF(B266&lt;='Input sheet(dashboard)'!$D$27*12,'Input sheet(dashboard)'!$D$3*(1+'Input sheet(dashboard)'!$E$24)^B266,0)</f>
        <v>25837497.290227965</v>
      </c>
      <c r="K266" s="3">
        <f>IF(B266&lt;='Input sheet(dashboard)'!$D$27*12,J266*'Input sheet(dashboard)'!$E$8,0)</f>
        <v>26761.084848133232</v>
      </c>
      <c r="L266" s="3">
        <f>IF(B266&lt;='Input sheet(dashboard)'!$D$27*12,'Input sheet(dashboard)'!$D$9*(1+'Input sheet(dashboard)'!$E$22)^B266,0)</f>
        <v>5154.0975955744625</v>
      </c>
      <c r="M266" s="3">
        <f>IF(B266=1,'Input sheet(dashboard)'!$D$3*'Input sheet(dashboard)'!$D$10,0)</f>
        <v>0</v>
      </c>
      <c r="N266" s="3">
        <f>IF(B266='Input sheet(dashboard)'!$D$27*12,J266*'Input sheet(dashboard)'!$D$11,0)</f>
        <v>0</v>
      </c>
      <c r="O266" s="3">
        <f>IF(SUM(F266:F277)&gt;=150000,150000/12*'Input sheet(dashboard)'!$D$28,SUM(F266:F277)/12*'Input sheet(dashboard)'!$D$28)</f>
        <v>1706.3009861218216</v>
      </c>
      <c r="P266" s="3">
        <f t="shared" si="33"/>
        <v>0</v>
      </c>
      <c r="Q266" s="3">
        <f>IF(B266&lt;='Input sheet(dashboard)'!$D$27*12,'Input sheet(dashboard)'!$D$12/12,0)</f>
        <v>192.5</v>
      </c>
      <c r="R266" s="3">
        <f>IF(B266&lt;='Input sheet(dashboard)'!$D$27*12,('Input sheet(dashboard)'!$D$15/12)*(1+'Input sheet(dashboard)'!$E$22)^Calculations!B266,0)</f>
        <v>572.67751061938475</v>
      </c>
      <c r="S266" s="3">
        <f>IF(B266&lt;='Input sheet(dashboard)'!$D$27*12,(E266+G266+K266+L266-O266+M266+Q266+R266),0)</f>
        <v>73994.927924245188</v>
      </c>
      <c r="T266" s="3">
        <f>IF(B266&lt;='Input sheet(dashboard)'!$D$27*12,IF(D266=12,SUM(S255:S266),0),0)</f>
        <v>0</v>
      </c>
      <c r="U266" s="3">
        <f>IF(B266&lt;='Input sheet(dashboard)'!$D$27*12,IF(S266&lt;AD266,AD266-S266,0),0)</f>
        <v>1170.2390088546817</v>
      </c>
      <c r="V266" s="3">
        <f>IF(B266&lt;='Input sheet(dashboard)'!$D$27*12,V265*(1+'Input sheet(dashboard)'!$E$25)+U266,0)</f>
        <v>25233.790166323608</v>
      </c>
      <c r="W266" s="17">
        <f>IF(B266&lt;='Input sheet(dashboard)'!$D$27*12,J266-I266+V266-N266,0)</f>
        <v>22612632.857443761</v>
      </c>
      <c r="X266" s="3">
        <f>IF(B266&lt;='Input sheet(dashboard)'!$D$27*12,'Input sheet(dashboard)'!$D$17*(1+'Input sheet(dashboard)'!$E$23)^(B266-1),0)</f>
        <v>75165.16693309987</v>
      </c>
      <c r="Y266" s="3"/>
      <c r="Z266" s="18"/>
      <c r="AA266" s="18"/>
      <c r="AB266" s="3">
        <f>IF(B266=1,'Input sheet(dashboard)'!$D$18*Calculations!X266,IF(Calculations!B266=12*'Input sheet(dashboard)'!$D$27,'Input sheet(dashboard)'!$D$18*-Calculations!X266,0))</f>
        <v>0</v>
      </c>
      <c r="AC266" s="3">
        <f>IF(B266&lt;='Input sheet(dashboard)'!$D$27*12,IF(MOD(B265,'Input sheet(dashboard)'!$D$19*12),0,'Input sheet(dashboard)'!$D$20*(1+'Input sheet(dashboard)'!$E$22)^Calculations!B266),0)</f>
        <v>0</v>
      </c>
      <c r="AD266" s="17">
        <f t="shared" si="39"/>
        <v>75165.16693309987</v>
      </c>
      <c r="AE266" s="17">
        <f>IF(B266&lt;='Input sheet(dashboard)'!$D$27*12,IF(D266=12,SUM(AD255:AD266),0),0)</f>
        <v>0</v>
      </c>
      <c r="AF266" s="17">
        <f t="shared" si="40"/>
        <v>-1170.2390088546817</v>
      </c>
      <c r="AG266" s="17">
        <f t="shared" si="41"/>
        <v>0</v>
      </c>
      <c r="AH266" s="3">
        <f>IF(B266&lt;='Input sheet(dashboard)'!$D$27*12,AH265*(1+'Input sheet(dashboard)'!$E$25)+AG266," ")</f>
        <v>18404003.84035331</v>
      </c>
    </row>
    <row r="267" spans="2:34">
      <c r="B267">
        <f t="shared" si="36"/>
        <v>264</v>
      </c>
      <c r="C267">
        <f t="shared" si="34"/>
        <v>22</v>
      </c>
      <c r="D267">
        <f t="shared" si="35"/>
        <v>12</v>
      </c>
      <c r="E267" s="15">
        <f>IF(C267&lt;='Input sheet(dashboard)'!$D$6, -PMT('Input sheet(dashboard)'!$E$5,'Input sheet(dashboard)'!$D$6*12,'Input sheet(dashboard)'!$D$3*'Input sheet(dashboard)'!$D$4),0)</f>
        <v>39834.137922259193</v>
      </c>
      <c r="F267" s="3">
        <f>I266*'Input sheet(dashboard)'!$E$5</f>
        <v>11839.420875487576</v>
      </c>
      <c r="G267" s="3">
        <f>IF(C267&lt;='Input sheet(dashboard)'!$D$6,E267*'Input sheet(dashboard)'!$D$7,0)</f>
        <v>3186.7310337807357</v>
      </c>
      <c r="H267" s="3">
        <f t="shared" si="37"/>
        <v>27994.717046771617</v>
      </c>
      <c r="I267" s="3">
        <f t="shared" si="38"/>
        <v>3222103.5059037548</v>
      </c>
      <c r="J267" s="3">
        <f>IF(B267&lt;='Input sheet(dashboard)'!$D$27*12,'Input sheet(dashboard)'!$D$3*(1+'Input sheet(dashboard)'!$E$24)^B267,0)</f>
        <v>25942762.452448037</v>
      </c>
      <c r="K267" s="3">
        <f>IF(B267&lt;='Input sheet(dashboard)'!$D$27*12,J267*'Input sheet(dashboard)'!$E$8,0)</f>
        <v>26870.112820389248</v>
      </c>
      <c r="L267" s="3">
        <f>IF(B267&lt;='Input sheet(dashboard)'!$D$27*12,'Input sheet(dashboard)'!$D$9*(1+'Input sheet(dashboard)'!$E$22)^B267,0)</f>
        <v>5164.7141927401362</v>
      </c>
      <c r="M267" s="3">
        <f>IF(B267=1,'Input sheet(dashboard)'!$D$3*'Input sheet(dashboard)'!$D$10,0)</f>
        <v>0</v>
      </c>
      <c r="N267" s="3">
        <f>IF(B267='Input sheet(dashboard)'!$D$27*12,J267*'Input sheet(dashboard)'!$D$11,0)</f>
        <v>0</v>
      </c>
      <c r="O267" s="3">
        <f>IF(SUM(F267:F278)&gt;=150000,150000/12*'Input sheet(dashboard)'!$D$28,SUM(F267:F278)/12*'Input sheet(dashboard)'!$D$28)</f>
        <v>1690.7505782174601</v>
      </c>
      <c r="P267" s="3">
        <f t="shared" si="33"/>
        <v>22500</v>
      </c>
      <c r="Q267" s="3">
        <f>IF(B267&lt;='Input sheet(dashboard)'!$D$27*12,'Input sheet(dashboard)'!$D$12/12,0)</f>
        <v>192.5</v>
      </c>
      <c r="R267" s="3">
        <f>IF(B267&lt;='Input sheet(dashboard)'!$D$27*12,('Input sheet(dashboard)'!$D$15/12)*(1+'Input sheet(dashboard)'!$E$22)^Calculations!B267,0)</f>
        <v>573.85713252668177</v>
      </c>
      <c r="S267" s="3">
        <f>IF(B267&lt;='Input sheet(dashboard)'!$D$27*12,(E267+G267+K267+L267-O267+M267+Q267+R267),0)</f>
        <v>74131.302523478545</v>
      </c>
      <c r="T267" s="3">
        <f>IF(B267&lt;='Input sheet(dashboard)'!$D$27*12,IF(D267=12,SUM(S256:S267),0),0)</f>
        <v>880688.97626613139</v>
      </c>
      <c r="U267" s="3">
        <f>IF(B267&lt;='Input sheet(dashboard)'!$D$27*12,IF(S267&lt;AD267,AD267-S267,0),0)</f>
        <v>1340.096603925369</v>
      </c>
      <c r="V267" s="3">
        <f>IF(B267&lt;='Input sheet(dashboard)'!$D$27*12,V266*(1+'Input sheet(dashboard)'!$E$25)+U267,0)</f>
        <v>26736.241735968611</v>
      </c>
      <c r="W267" s="17">
        <f>IF(B267&lt;='Input sheet(dashboard)'!$D$27*12,J267-I267+V267-N267,0)</f>
        <v>22747395.188280251</v>
      </c>
      <c r="X267" s="3">
        <f>IF(B267&lt;='Input sheet(dashboard)'!$D$27*12,'Input sheet(dashboard)'!$D$17*(1+'Input sheet(dashboard)'!$E$23)^(B267-1),0)</f>
        <v>75471.399127403914</v>
      </c>
      <c r="Y267" s="3"/>
      <c r="Z267" s="18"/>
      <c r="AA267" s="18"/>
      <c r="AB267" s="3">
        <f>IF(B267=1,'Input sheet(dashboard)'!$D$18*Calculations!X267,IF(Calculations!B267=12*'Input sheet(dashboard)'!$D$27,'Input sheet(dashboard)'!$D$18*-Calculations!X267,0))</f>
        <v>0</v>
      </c>
      <c r="AC267" s="3">
        <f>IF(B267&lt;='Input sheet(dashboard)'!$D$27*12,IF(MOD(B266,'Input sheet(dashboard)'!$D$19*12),0,'Input sheet(dashboard)'!$D$20*(1+'Input sheet(dashboard)'!$E$22)^Calculations!B267),0)</f>
        <v>0</v>
      </c>
      <c r="AD267" s="17">
        <f t="shared" si="39"/>
        <v>75471.399127403914</v>
      </c>
      <c r="AE267" s="17">
        <f>IF(B267&lt;='Input sheet(dashboard)'!$D$27*12,IF(D267=12,SUM(AD256:AD267),0),0)</f>
        <v>899404.16240940825</v>
      </c>
      <c r="AF267" s="17">
        <f t="shared" si="40"/>
        <v>-1340.096603925369</v>
      </c>
      <c r="AG267" s="17">
        <f t="shared" si="41"/>
        <v>0</v>
      </c>
      <c r="AH267" s="3">
        <f>IF(B267&lt;='Input sheet(dashboard)'!$D$27*12,AH266*(1+'Input sheet(dashboard)'!$E$25)+AG267," ")</f>
        <v>18522415.755206764</v>
      </c>
    </row>
    <row r="268" spans="2:34">
      <c r="B268">
        <f t="shared" si="36"/>
        <v>265</v>
      </c>
      <c r="C268">
        <f t="shared" si="34"/>
        <v>23</v>
      </c>
      <c r="D268">
        <f t="shared" si="35"/>
        <v>1</v>
      </c>
      <c r="E268" s="15">
        <f>IF(C268&lt;='Input sheet(dashboard)'!$D$6, -PMT('Input sheet(dashboard)'!$E$5,'Input sheet(dashboard)'!$D$6*12,'Input sheet(dashboard)'!$D$3*'Input sheet(dashboard)'!$D$4),0)</f>
        <v>39834.137922259193</v>
      </c>
      <c r="F268" s="3">
        <f>I267*'Input sheet(dashboard)'!$E$5</f>
        <v>11737.442038335381</v>
      </c>
      <c r="G268" s="3">
        <f>IF(C268&lt;='Input sheet(dashboard)'!$D$6,E268*'Input sheet(dashboard)'!$D$7,0)</f>
        <v>3186.7310337807357</v>
      </c>
      <c r="H268" s="3">
        <f t="shared" si="37"/>
        <v>28096.695883923814</v>
      </c>
      <c r="I268" s="3">
        <f t="shared" si="38"/>
        <v>3194006.8100198312</v>
      </c>
      <c r="J268" s="3">
        <f>IF(B268&lt;='Input sheet(dashboard)'!$D$27*12,'Input sheet(dashboard)'!$D$3*(1+'Input sheet(dashboard)'!$E$24)^B268,0)</f>
        <v>26048456.477969095</v>
      </c>
      <c r="K268" s="3">
        <f>IF(B268&lt;='Input sheet(dashboard)'!$D$27*12,J268*'Input sheet(dashboard)'!$E$8,0)</f>
        <v>26979.584986100108</v>
      </c>
      <c r="L268" s="3">
        <f>IF(B268&lt;='Input sheet(dashboard)'!$D$27*12,'Input sheet(dashboard)'!$D$9*(1+'Input sheet(dashboard)'!$E$22)^B268,0)</f>
        <v>5175.3526583577141</v>
      </c>
      <c r="M268" s="3">
        <f>IF(B268=1,'Input sheet(dashboard)'!$D$3*'Input sheet(dashboard)'!$D$10,0)</f>
        <v>0</v>
      </c>
      <c r="N268" s="3">
        <f>IF(B268='Input sheet(dashboard)'!$D$27*12,J268*'Input sheet(dashboard)'!$D$11,0)</f>
        <v>0</v>
      </c>
      <c r="O268" s="3">
        <f>IF(SUM(F268:F279)&gt;=150000,150000/12*'Input sheet(dashboard)'!$D$28,SUM(F268:F279)/12*'Input sheet(dashboard)'!$D$28)</f>
        <v>1675.1435234638845</v>
      </c>
      <c r="P268" s="3">
        <f t="shared" si="33"/>
        <v>0</v>
      </c>
      <c r="Q268" s="3">
        <f>IF(B268&lt;='Input sheet(dashboard)'!$D$27*12,'Input sheet(dashboard)'!$D$12/12,0)</f>
        <v>192.5</v>
      </c>
      <c r="R268" s="3">
        <f>IF(B268&lt;='Input sheet(dashboard)'!$D$27*12,('Input sheet(dashboard)'!$D$15/12)*(1+'Input sheet(dashboard)'!$E$22)^Calculations!B268,0)</f>
        <v>575.03918426196822</v>
      </c>
      <c r="S268" s="3">
        <f>IF(B268&lt;='Input sheet(dashboard)'!$D$27*12,(E268+G268+K268+L268-O268+M268+Q268+R268),0)</f>
        <v>74268.202261295854</v>
      </c>
      <c r="T268" s="3">
        <f>IF(B268&lt;='Input sheet(dashboard)'!$D$27*12,IF(D268=12,SUM(S257:S268),0),0)</f>
        <v>0</v>
      </c>
      <c r="U268" s="3">
        <f>IF(B268&lt;='Input sheet(dashboard)'!$D$27*12,IF(S268&lt;AD268,AD268-S268,0),0)</f>
        <v>1510.6766882782395</v>
      </c>
      <c r="V268" s="3">
        <f>IF(B268&lt;='Input sheet(dashboard)'!$D$27*12,V267*(1+'Input sheet(dashboard)'!$E$25)+U268,0)</f>
        <v>28418.940208604403</v>
      </c>
      <c r="W268" s="17">
        <f>IF(B268&lt;='Input sheet(dashboard)'!$D$27*12,J268-I268+V268-N268,0)</f>
        <v>22882868.608157866</v>
      </c>
      <c r="X268" s="3">
        <f>IF(B268&lt;='Input sheet(dashboard)'!$D$27*12,'Input sheet(dashboard)'!$D$17*(1+'Input sheet(dashboard)'!$E$23)^(B268-1),0)</f>
        <v>75778.878949574093</v>
      </c>
      <c r="Y268" s="3"/>
      <c r="Z268" s="18"/>
      <c r="AA268" s="18"/>
      <c r="AB268" s="3">
        <f>IF(B268=1,'Input sheet(dashboard)'!$D$18*Calculations!X268,IF(Calculations!B268=12*'Input sheet(dashboard)'!$D$27,'Input sheet(dashboard)'!$D$18*-Calculations!X268,0))</f>
        <v>0</v>
      </c>
      <c r="AC268" s="3">
        <f>IF(B268&lt;='Input sheet(dashboard)'!$D$27*12,IF(MOD(B267,'Input sheet(dashboard)'!$D$19*12),0,'Input sheet(dashboard)'!$D$20*(1+'Input sheet(dashboard)'!$E$22)^Calculations!B268),0)</f>
        <v>0</v>
      </c>
      <c r="AD268" s="17">
        <f t="shared" si="39"/>
        <v>75778.878949574093</v>
      </c>
      <c r="AE268" s="17">
        <f>IF(B268&lt;='Input sheet(dashboard)'!$D$27*12,IF(D268=12,SUM(AD257:AD268),0),0)</f>
        <v>0</v>
      </c>
      <c r="AF268" s="17">
        <f t="shared" si="40"/>
        <v>-1510.6766882782395</v>
      </c>
      <c r="AG268" s="17">
        <f t="shared" si="41"/>
        <v>0</v>
      </c>
      <c r="AH268" s="3">
        <f>IF(B268&lt;='Input sheet(dashboard)'!$D$27*12,AH267*(1+'Input sheet(dashboard)'!$E$25)+AG268," ")</f>
        <v>18641589.535885766</v>
      </c>
    </row>
    <row r="269" spans="2:34">
      <c r="B269">
        <f t="shared" si="36"/>
        <v>266</v>
      </c>
      <c r="C269">
        <f t="shared" si="34"/>
        <v>23</v>
      </c>
      <c r="D269">
        <f t="shared" si="35"/>
        <v>2</v>
      </c>
      <c r="E269" s="15">
        <f>IF(C269&lt;='Input sheet(dashboard)'!$D$6, -PMT('Input sheet(dashboard)'!$E$5,'Input sheet(dashboard)'!$D$6*12,'Input sheet(dashboard)'!$D$3*'Input sheet(dashboard)'!$D$4),0)</f>
        <v>39834.137922259193</v>
      </c>
      <c r="F269" s="3">
        <f>I268*'Input sheet(dashboard)'!$E$5</f>
        <v>11635.091713833997</v>
      </c>
      <c r="G269" s="3">
        <f>IF(C269&lt;='Input sheet(dashboard)'!$D$6,E269*'Input sheet(dashboard)'!$D$7,0)</f>
        <v>3186.7310337807357</v>
      </c>
      <c r="H269" s="3">
        <f t="shared" si="37"/>
        <v>28199.046208425196</v>
      </c>
      <c r="I269" s="3">
        <f t="shared" si="38"/>
        <v>3165807.7638114057</v>
      </c>
      <c r="J269" s="3">
        <f>IF(B269&lt;='Input sheet(dashboard)'!$D$27*12,'Input sheet(dashboard)'!$D$3*(1+'Input sheet(dashboard)'!$E$24)^B269,0)</f>
        <v>26154581.114033323</v>
      </c>
      <c r="K269" s="3">
        <f>IF(B269&lt;='Input sheet(dashboard)'!$D$27*12,J269*'Input sheet(dashboard)'!$E$8,0)</f>
        <v>27089.503154964947</v>
      </c>
      <c r="L269" s="3">
        <f>IF(B269&lt;='Input sheet(dashboard)'!$D$27*12,'Input sheet(dashboard)'!$D$9*(1+'Input sheet(dashboard)'!$E$22)^B269,0)</f>
        <v>5186.0130374726259</v>
      </c>
      <c r="M269" s="3">
        <f>IF(B269=1,'Input sheet(dashboard)'!$D$3*'Input sheet(dashboard)'!$D$10,0)</f>
        <v>0</v>
      </c>
      <c r="N269" s="3">
        <f>IF(B269='Input sheet(dashboard)'!$D$27*12,J269*'Input sheet(dashboard)'!$D$11,0)</f>
        <v>0</v>
      </c>
      <c r="O269" s="3">
        <f>IF(SUM(F269:F280)&gt;=150000,150000/12*'Input sheet(dashboard)'!$D$28,SUM(F269:F280)/12*'Input sheet(dashboard)'!$D$28)</f>
        <v>1659.4796155085971</v>
      </c>
      <c r="P269" s="3">
        <f t="shared" si="33"/>
        <v>0</v>
      </c>
      <c r="Q269" s="3">
        <f>IF(B269&lt;='Input sheet(dashboard)'!$D$27*12,'Input sheet(dashboard)'!$D$12/12,0)</f>
        <v>192.5</v>
      </c>
      <c r="R269" s="3">
        <f>IF(B269&lt;='Input sheet(dashboard)'!$D$27*12,('Input sheet(dashboard)'!$D$15/12)*(1+'Input sheet(dashboard)'!$E$22)^Calculations!B269,0)</f>
        <v>576.22367083029178</v>
      </c>
      <c r="S269" s="3">
        <f>IF(B269&lt;='Input sheet(dashboard)'!$D$27*12,(E269+G269+K269+L269-O269+M269+Q269+R269),0)</f>
        <v>74405.62920379921</v>
      </c>
      <c r="T269" s="3">
        <f>IF(B269&lt;='Input sheet(dashboard)'!$D$27*12,IF(D269=12,SUM(S258:S269),0),0)</f>
        <v>0</v>
      </c>
      <c r="U269" s="3">
        <f>IF(B269&lt;='Input sheet(dashboard)'!$D$27*12,IF(S269&lt;AD269,AD269-S269,0),0)</f>
        <v>1681.982278801559</v>
      </c>
      <c r="V269" s="3">
        <f>IF(B269&lt;='Input sheet(dashboard)'!$D$27*12,V268*(1+'Input sheet(dashboard)'!$E$25)+U269,0)</f>
        <v>30283.770804402509</v>
      </c>
      <c r="W269" s="17">
        <f>IF(B269&lt;='Input sheet(dashboard)'!$D$27*12,J269-I269+V269-N269,0)</f>
        <v>23019057.121026319</v>
      </c>
      <c r="X269" s="3">
        <f>IF(B269&lt;='Input sheet(dashboard)'!$D$27*12,'Input sheet(dashboard)'!$D$17*(1+'Input sheet(dashboard)'!$E$23)^(B269-1),0)</f>
        <v>76087.611482600769</v>
      </c>
      <c r="Y269" s="3"/>
      <c r="Z269" s="18"/>
      <c r="AA269" s="18"/>
      <c r="AB269" s="3">
        <f>IF(B269=1,'Input sheet(dashboard)'!$D$18*Calculations!X269,IF(Calculations!B269=12*'Input sheet(dashboard)'!$D$27,'Input sheet(dashboard)'!$D$18*-Calculations!X269,0))</f>
        <v>0</v>
      </c>
      <c r="AC269" s="3">
        <f>IF(B269&lt;='Input sheet(dashboard)'!$D$27*12,IF(MOD(B268,'Input sheet(dashboard)'!$D$19*12),0,'Input sheet(dashboard)'!$D$20*(1+'Input sheet(dashboard)'!$E$22)^Calculations!B269),0)</f>
        <v>0</v>
      </c>
      <c r="AD269" s="17">
        <f t="shared" si="39"/>
        <v>76087.611482600769</v>
      </c>
      <c r="AE269" s="17">
        <f>IF(B269&lt;='Input sheet(dashboard)'!$D$27*12,IF(D269=12,SUM(AD258:AD269),0),0)</f>
        <v>0</v>
      </c>
      <c r="AF269" s="17">
        <f t="shared" si="40"/>
        <v>-1681.982278801559</v>
      </c>
      <c r="AG269" s="17">
        <f t="shared" si="41"/>
        <v>0</v>
      </c>
      <c r="AH269" s="3">
        <f>IF(B269&lt;='Input sheet(dashboard)'!$D$27*12,AH268*(1+'Input sheet(dashboard)'!$E$25)+AG269," ")</f>
        <v>18761530.084257979</v>
      </c>
    </row>
    <row r="270" spans="2:34">
      <c r="B270">
        <f t="shared" si="36"/>
        <v>267</v>
      </c>
      <c r="C270">
        <f t="shared" si="34"/>
        <v>23</v>
      </c>
      <c r="D270">
        <f t="shared" si="35"/>
        <v>3</v>
      </c>
      <c r="E270" s="15">
        <f>IF(C270&lt;='Input sheet(dashboard)'!$D$6, -PMT('Input sheet(dashboard)'!$E$5,'Input sheet(dashboard)'!$D$6*12,'Input sheet(dashboard)'!$D$3*'Input sheet(dashboard)'!$D$4),0)</f>
        <v>39834.137922259193</v>
      </c>
      <c r="F270" s="3">
        <f>I269*'Input sheet(dashboard)'!$E$5</f>
        <v>11532.368548733533</v>
      </c>
      <c r="G270" s="3">
        <f>IF(C270&lt;='Input sheet(dashboard)'!$D$6,E270*'Input sheet(dashboard)'!$D$7,0)</f>
        <v>3186.7310337807357</v>
      </c>
      <c r="H270" s="3">
        <f t="shared" si="37"/>
        <v>28301.769373525662</v>
      </c>
      <c r="I270" s="3">
        <f t="shared" si="38"/>
        <v>3137505.9944378799</v>
      </c>
      <c r="J270" s="3">
        <f>IF(B270&lt;='Input sheet(dashboard)'!$D$27*12,'Input sheet(dashboard)'!$D$3*(1+'Input sheet(dashboard)'!$E$24)^B270,0)</f>
        <v>26261138.115001362</v>
      </c>
      <c r="K270" s="3">
        <f>IF(B270&lt;='Input sheet(dashboard)'!$D$27*12,J270*'Input sheet(dashboard)'!$E$8,0)</f>
        <v>27199.869144055803</v>
      </c>
      <c r="L270" s="3">
        <f>IF(B270&lt;='Input sheet(dashboard)'!$D$27*12,'Input sheet(dashboard)'!$D$9*(1+'Input sheet(dashboard)'!$E$22)^B270,0)</f>
        <v>5196.6953752230893</v>
      </c>
      <c r="M270" s="3">
        <f>IF(B270=1,'Input sheet(dashboard)'!$D$3*'Input sheet(dashboard)'!$D$10,0)</f>
        <v>0</v>
      </c>
      <c r="N270" s="3">
        <f>IF(B270='Input sheet(dashboard)'!$D$27*12,J270*'Input sheet(dashboard)'!$D$11,0)</f>
        <v>0</v>
      </c>
      <c r="O270" s="3">
        <f>IF(SUM(F270:F281)&gt;=150000,150000/12*'Input sheet(dashboard)'!$D$28,SUM(F270:F281)/12*'Input sheet(dashboard)'!$D$28)</f>
        <v>1643.7586472474002</v>
      </c>
      <c r="P270" s="3">
        <f t="shared" si="33"/>
        <v>0</v>
      </c>
      <c r="Q270" s="3">
        <f>IF(B270&lt;='Input sheet(dashboard)'!$D$27*12,'Input sheet(dashboard)'!$D$12/12,0)</f>
        <v>192.5</v>
      </c>
      <c r="R270" s="3">
        <f>IF(B270&lt;='Input sheet(dashboard)'!$D$27*12,('Input sheet(dashboard)'!$D$15/12)*(1+'Input sheet(dashboard)'!$E$22)^Calculations!B270,0)</f>
        <v>577.41059724700983</v>
      </c>
      <c r="S270" s="3">
        <f>IF(B270&lt;='Input sheet(dashboard)'!$D$27*12,(E270+G270+K270+L270-O270+M270+Q270+R270),0)</f>
        <v>74543.585425318437</v>
      </c>
      <c r="T270" s="3">
        <f>IF(B270&lt;='Input sheet(dashboard)'!$D$27*12,IF(D270=12,SUM(S259:S270),0),0)</f>
        <v>0</v>
      </c>
      <c r="U270" s="3">
        <f>IF(B270&lt;='Input sheet(dashboard)'!$D$27*12,IF(S270&lt;AD270,AD270-S270,0),0)</f>
        <v>1854.0164048645966</v>
      </c>
      <c r="V270" s="3">
        <f>IF(B270&lt;='Input sheet(dashboard)'!$D$27*12,V269*(1+'Input sheet(dashboard)'!$E$25)+U270,0)</f>
        <v>32332.633902467074</v>
      </c>
      <c r="W270" s="17">
        <f>IF(B270&lt;='Input sheet(dashboard)'!$D$27*12,J270-I270+V270-N270,0)</f>
        <v>23155964.754465949</v>
      </c>
      <c r="X270" s="3">
        <f>IF(B270&lt;='Input sheet(dashboard)'!$D$27*12,'Input sheet(dashboard)'!$D$17*(1+'Input sheet(dashboard)'!$E$23)^(B270-1),0)</f>
        <v>76397.601830183034</v>
      </c>
      <c r="Y270" s="3"/>
      <c r="Z270" s="18"/>
      <c r="AA270" s="18"/>
      <c r="AB270" s="3">
        <f>IF(B270=1,'Input sheet(dashboard)'!$D$18*Calculations!X270,IF(Calculations!B270=12*'Input sheet(dashboard)'!$D$27,'Input sheet(dashboard)'!$D$18*-Calculations!X270,0))</f>
        <v>0</v>
      </c>
      <c r="AC270" s="3">
        <f>IF(B270&lt;='Input sheet(dashboard)'!$D$27*12,IF(MOD(B269,'Input sheet(dashboard)'!$D$19*12),0,'Input sheet(dashboard)'!$D$20*(1+'Input sheet(dashboard)'!$E$22)^Calculations!B270),0)</f>
        <v>0</v>
      </c>
      <c r="AD270" s="17">
        <f t="shared" si="39"/>
        <v>76397.601830183034</v>
      </c>
      <c r="AE270" s="17">
        <f>IF(B270&lt;='Input sheet(dashboard)'!$D$27*12,IF(D270=12,SUM(AD259:AD270),0),0)</f>
        <v>0</v>
      </c>
      <c r="AF270" s="17">
        <f t="shared" si="40"/>
        <v>-1854.0164048645966</v>
      </c>
      <c r="AG270" s="17">
        <f t="shared" si="41"/>
        <v>0</v>
      </c>
      <c r="AH270" s="3">
        <f>IF(B270&lt;='Input sheet(dashboard)'!$D$27*12,AH269*(1+'Input sheet(dashboard)'!$E$25)+AG270," ")</f>
        <v>18882242.33372983</v>
      </c>
    </row>
    <row r="271" spans="2:34">
      <c r="B271">
        <f t="shared" si="36"/>
        <v>268</v>
      </c>
      <c r="C271">
        <f t="shared" si="34"/>
        <v>23</v>
      </c>
      <c r="D271">
        <f t="shared" si="35"/>
        <v>4</v>
      </c>
      <c r="E271" s="15">
        <f>IF(C271&lt;='Input sheet(dashboard)'!$D$6, -PMT('Input sheet(dashboard)'!$E$5,'Input sheet(dashboard)'!$D$6*12,'Input sheet(dashboard)'!$D$3*'Input sheet(dashboard)'!$D$4),0)</f>
        <v>39834.137922259193</v>
      </c>
      <c r="F271" s="3">
        <f>I270*'Input sheet(dashboard)'!$E$5</f>
        <v>11429.271184854493</v>
      </c>
      <c r="G271" s="3">
        <f>IF(C271&lt;='Input sheet(dashboard)'!$D$6,E271*'Input sheet(dashboard)'!$D$7,0)</f>
        <v>3186.7310337807357</v>
      </c>
      <c r="H271" s="3">
        <f t="shared" si="37"/>
        <v>28404.8667374047</v>
      </c>
      <c r="I271" s="3">
        <f t="shared" si="38"/>
        <v>3109101.127700475</v>
      </c>
      <c r="J271" s="3">
        <f>IF(B271&lt;='Input sheet(dashboard)'!$D$27*12,'Input sheet(dashboard)'!$D$3*(1+'Input sheet(dashboard)'!$E$24)^B271,0)</f>
        <v>26368129.242381364</v>
      </c>
      <c r="K271" s="3">
        <f>IF(B271&lt;='Input sheet(dashboard)'!$D$27*12,J271*'Input sheet(dashboard)'!$E$8,0)</f>
        <v>27310.684777847724</v>
      </c>
      <c r="L271" s="3">
        <f>IF(B271&lt;='Input sheet(dashboard)'!$D$27*12,'Input sheet(dashboard)'!$D$9*(1+'Input sheet(dashboard)'!$E$22)^B271,0)</f>
        <v>5207.3997168402975</v>
      </c>
      <c r="M271" s="3">
        <f>IF(B271=1,'Input sheet(dashboard)'!$D$3*'Input sheet(dashboard)'!$D$10,0)</f>
        <v>0</v>
      </c>
      <c r="N271" s="3">
        <f>IF(B271='Input sheet(dashboard)'!$D$27*12,J271*'Input sheet(dashboard)'!$D$11,0)</f>
        <v>0</v>
      </c>
      <c r="O271" s="3">
        <f>IF(SUM(F271:F282)&gt;=150000,150000/12*'Input sheet(dashboard)'!$D$28,SUM(F271:F282)/12*'Input sheet(dashboard)'!$D$28)</f>
        <v>1627.9804108216595</v>
      </c>
      <c r="P271" s="3">
        <f t="shared" ref="P271:P334" si="42">IF(D271=12,IF(SUM(F260:F272)&gt;=150000,150000*0.15,SUM(F260:F272)*0.15),0)</f>
        <v>0</v>
      </c>
      <c r="Q271" s="3">
        <f>IF(B271&lt;='Input sheet(dashboard)'!$D$27*12,'Input sheet(dashboard)'!$D$12/12,0)</f>
        <v>192.5</v>
      </c>
      <c r="R271" s="3">
        <f>IF(B271&lt;='Input sheet(dashboard)'!$D$27*12,('Input sheet(dashboard)'!$D$15/12)*(1+'Input sheet(dashboard)'!$E$22)^Calculations!B271,0)</f>
        <v>578.59996853781081</v>
      </c>
      <c r="S271" s="3">
        <f>IF(B271&lt;='Input sheet(dashboard)'!$D$27*12,(E271+G271+K271+L271-O271+M271+Q271+R271),0)</f>
        <v>74682.073008444087</v>
      </c>
      <c r="T271" s="3">
        <f>IF(B271&lt;='Input sheet(dashboard)'!$D$27*12,IF(D271=12,SUM(S260:S271),0),0)</f>
        <v>0</v>
      </c>
      <c r="U271" s="3">
        <f>IF(B271&lt;='Input sheet(dashboard)'!$D$27*12,IF(S271&lt;AD271,AD271-S271,0),0)</f>
        <v>2026.7821083689923</v>
      </c>
      <c r="V271" s="3">
        <f>IF(B271&lt;='Input sheet(dashboard)'!$D$27*12,V270*(1+'Input sheet(dashboard)'!$E$25)+U271,0)</f>
        <v>34567.445150900254</v>
      </c>
      <c r="W271" s="17">
        <f>IF(B271&lt;='Input sheet(dashboard)'!$D$27*12,J271-I271+V271-N271,0)</f>
        <v>23293595.559831791</v>
      </c>
      <c r="X271" s="3">
        <f>IF(B271&lt;='Input sheet(dashboard)'!$D$27*12,'Input sheet(dashboard)'!$D$17*(1+'Input sheet(dashboard)'!$E$23)^(B271-1),0)</f>
        <v>76708.85511681308</v>
      </c>
      <c r="Y271" s="3"/>
      <c r="Z271" s="18"/>
      <c r="AA271" s="18"/>
      <c r="AB271" s="3">
        <f>IF(B271=1,'Input sheet(dashboard)'!$D$18*Calculations!X271,IF(Calculations!B271=12*'Input sheet(dashboard)'!$D$27,'Input sheet(dashboard)'!$D$18*-Calculations!X271,0))</f>
        <v>0</v>
      </c>
      <c r="AC271" s="3">
        <f>IF(B271&lt;='Input sheet(dashboard)'!$D$27*12,IF(MOD(B270,'Input sheet(dashboard)'!$D$19*12),0,'Input sheet(dashboard)'!$D$20*(1+'Input sheet(dashboard)'!$E$22)^Calculations!B271),0)</f>
        <v>0</v>
      </c>
      <c r="AD271" s="17">
        <f t="shared" si="39"/>
        <v>76708.85511681308</v>
      </c>
      <c r="AE271" s="17">
        <f>IF(B271&lt;='Input sheet(dashboard)'!$D$27*12,IF(D271=12,SUM(AD260:AD271),0),0)</f>
        <v>0</v>
      </c>
      <c r="AF271" s="17">
        <f t="shared" si="40"/>
        <v>-2026.7821083689923</v>
      </c>
      <c r="AG271" s="17">
        <f t="shared" si="41"/>
        <v>0</v>
      </c>
      <c r="AH271" s="3">
        <f>IF(B271&lt;='Input sheet(dashboard)'!$D$27*12,AH270*(1+'Input sheet(dashboard)'!$E$25)+AG271," ")</f>
        <v>19003731.249449428</v>
      </c>
    </row>
    <row r="272" spans="2:34">
      <c r="B272">
        <f t="shared" si="36"/>
        <v>269</v>
      </c>
      <c r="C272">
        <f t="shared" ref="C272:C335" si="43">C260+1</f>
        <v>23</v>
      </c>
      <c r="D272">
        <f t="shared" ref="D272:D335" si="44">D260</f>
        <v>5</v>
      </c>
      <c r="E272" s="15">
        <f>IF(C272&lt;='Input sheet(dashboard)'!$D$6, -PMT('Input sheet(dashboard)'!$E$5,'Input sheet(dashboard)'!$D$6*12,'Input sheet(dashboard)'!$D$3*'Input sheet(dashboard)'!$D$4),0)</f>
        <v>39834.137922259193</v>
      </c>
      <c r="F272" s="3">
        <f>I271*'Input sheet(dashboard)'!$E$5</f>
        <v>11325.798259069814</v>
      </c>
      <c r="G272" s="3">
        <f>IF(C272&lt;='Input sheet(dashboard)'!$D$6,E272*'Input sheet(dashboard)'!$D$7,0)</f>
        <v>3186.7310337807357</v>
      </c>
      <c r="H272" s="3">
        <f t="shared" si="37"/>
        <v>28508.339663189377</v>
      </c>
      <c r="I272" s="3">
        <f t="shared" si="38"/>
        <v>3080592.7880372857</v>
      </c>
      <c r="J272" s="3">
        <f>IF(B272&lt;='Input sheet(dashboard)'!$D$27*12,'Input sheet(dashboard)'!$D$3*(1+'Input sheet(dashboard)'!$E$24)^B272,0)</f>
        <v>26475556.264858063</v>
      </c>
      <c r="K272" s="3">
        <f>IF(B272&lt;='Input sheet(dashboard)'!$D$27*12,J272*'Input sheet(dashboard)'!$E$8,0)</f>
        <v>27421.951888248877</v>
      </c>
      <c r="L272" s="3">
        <f>IF(B272&lt;='Input sheet(dashboard)'!$D$27*12,'Input sheet(dashboard)'!$D$9*(1+'Input sheet(dashboard)'!$E$22)^B272,0)</f>
        <v>5218.1261076486135</v>
      </c>
      <c r="M272" s="3">
        <f>IF(B272=1,'Input sheet(dashboard)'!$D$3*'Input sheet(dashboard)'!$D$10,0)</f>
        <v>0</v>
      </c>
      <c r="N272" s="3">
        <f>IF(B272='Input sheet(dashboard)'!$D$27*12,J272*'Input sheet(dashboard)'!$D$11,0)</f>
        <v>0</v>
      </c>
      <c r="O272" s="3">
        <f>IF(SUM(F272:F283)&gt;=150000,150000/12*'Input sheet(dashboard)'!$D$28,SUM(F272:F283)/12*'Input sheet(dashboard)'!$D$28)</f>
        <v>1612.144697615556</v>
      </c>
      <c r="P272" s="3">
        <f t="shared" si="42"/>
        <v>0</v>
      </c>
      <c r="Q272" s="3">
        <f>IF(B272&lt;='Input sheet(dashboard)'!$D$27*12,'Input sheet(dashboard)'!$D$12/12,0)</f>
        <v>192.5</v>
      </c>
      <c r="R272" s="3">
        <f>IF(B272&lt;='Input sheet(dashboard)'!$D$27*12,('Input sheet(dashboard)'!$D$15/12)*(1+'Input sheet(dashboard)'!$E$22)^Calculations!B272,0)</f>
        <v>579.79178973873479</v>
      </c>
      <c r="S272" s="3">
        <f>IF(B272&lt;='Input sheet(dashboard)'!$D$27*12,(E272+G272+K272+L272-O272+M272+Q272+R272),0)</f>
        <v>74821.094044060592</v>
      </c>
      <c r="T272" s="3">
        <f>IF(B272&lt;='Input sheet(dashboard)'!$D$27*12,IF(D272=12,SUM(S261:S272),0),0)</f>
        <v>0</v>
      </c>
      <c r="U272" s="3">
        <f>IF(B272&lt;='Input sheet(dashboard)'!$D$27*12,IF(S272&lt;AD272,AD272-S272,0),0)</f>
        <v>2200.2824438003299</v>
      </c>
      <c r="V272" s="3">
        <f>IF(B272&lt;='Input sheet(dashboard)'!$D$27*12,V271*(1+'Input sheet(dashboard)'!$E$25)+U272,0)</f>
        <v>36990.13557762737</v>
      </c>
      <c r="W272" s="17">
        <f>IF(B272&lt;='Input sheet(dashboard)'!$D$27*12,J272-I272+V272-N272,0)</f>
        <v>23431953.612398405</v>
      </c>
      <c r="X272" s="3">
        <f>IF(B272&lt;='Input sheet(dashboard)'!$D$27*12,'Input sheet(dashboard)'!$D$17*(1+'Input sheet(dashboard)'!$E$23)^(B272-1),0)</f>
        <v>77021.376487860922</v>
      </c>
      <c r="Y272" s="3"/>
      <c r="Z272" s="18"/>
      <c r="AA272" s="18"/>
      <c r="AB272" s="3">
        <f>IF(B272=1,'Input sheet(dashboard)'!$D$18*Calculations!X272,IF(Calculations!B272=12*'Input sheet(dashboard)'!$D$27,'Input sheet(dashboard)'!$D$18*-Calculations!X272,0))</f>
        <v>0</v>
      </c>
      <c r="AC272" s="3">
        <f>IF(B272&lt;='Input sheet(dashboard)'!$D$27*12,IF(MOD(B271,'Input sheet(dashboard)'!$D$19*12),0,'Input sheet(dashboard)'!$D$20*(1+'Input sheet(dashboard)'!$E$22)^Calculations!B272),0)</f>
        <v>0</v>
      </c>
      <c r="AD272" s="17">
        <f t="shared" si="39"/>
        <v>77021.376487860922</v>
      </c>
      <c r="AE272" s="17">
        <f>IF(B272&lt;='Input sheet(dashboard)'!$D$27*12,IF(D272=12,SUM(AD261:AD272),0),0)</f>
        <v>0</v>
      </c>
      <c r="AF272" s="17">
        <f t="shared" si="40"/>
        <v>-2200.2824438003299</v>
      </c>
      <c r="AG272" s="17">
        <f t="shared" si="41"/>
        <v>0</v>
      </c>
      <c r="AH272" s="3">
        <f>IF(B272&lt;='Input sheet(dashboard)'!$D$27*12,AH271*(1+'Input sheet(dashboard)'!$E$25)+AG272," ")</f>
        <v>19126001.828510799</v>
      </c>
    </row>
    <row r="273" spans="2:34">
      <c r="B273">
        <f t="shared" si="36"/>
        <v>270</v>
      </c>
      <c r="C273">
        <f t="shared" si="43"/>
        <v>23</v>
      </c>
      <c r="D273">
        <f t="shared" si="44"/>
        <v>6</v>
      </c>
      <c r="E273" s="15">
        <f>IF(C273&lt;='Input sheet(dashboard)'!$D$6, -PMT('Input sheet(dashboard)'!$E$5,'Input sheet(dashboard)'!$D$6*12,'Input sheet(dashboard)'!$D$3*'Input sheet(dashboard)'!$D$4),0)</f>
        <v>39834.137922259193</v>
      </c>
      <c r="F273" s="3">
        <f>I272*'Input sheet(dashboard)'!$E$5</f>
        <v>11221.948403286859</v>
      </c>
      <c r="G273" s="3">
        <f>IF(C273&lt;='Input sheet(dashboard)'!$D$6,E273*'Input sheet(dashboard)'!$D$7,0)</f>
        <v>3186.7310337807357</v>
      </c>
      <c r="H273" s="3">
        <f t="shared" si="37"/>
        <v>28612.189518972336</v>
      </c>
      <c r="I273" s="3">
        <f t="shared" si="38"/>
        <v>3051980.5985183134</v>
      </c>
      <c r="J273" s="3">
        <f>IF(B273&lt;='Input sheet(dashboard)'!$D$27*12,'Input sheet(dashboard)'!$D$3*(1+'Input sheet(dashboard)'!$E$24)^B273,0)</f>
        <v>26583420.958322044</v>
      </c>
      <c r="K273" s="3">
        <f>IF(B273&lt;='Input sheet(dashboard)'!$D$27*12,J273*'Input sheet(dashboard)'!$E$8,0)</f>
        <v>27533.672314630854</v>
      </c>
      <c r="L273" s="3">
        <f>IF(B273&lt;='Input sheet(dashboard)'!$D$27*12,'Input sheet(dashboard)'!$D$9*(1+'Input sheet(dashboard)'!$E$22)^B273,0)</f>
        <v>5228.8745930657615</v>
      </c>
      <c r="M273" s="3">
        <f>IF(B273=1,'Input sheet(dashboard)'!$D$3*'Input sheet(dashboard)'!$D$10,0)</f>
        <v>0</v>
      </c>
      <c r="N273" s="3">
        <f>IF(B273='Input sheet(dashboard)'!$D$27*12,J273*'Input sheet(dashboard)'!$D$11,0)</f>
        <v>0</v>
      </c>
      <c r="O273" s="3">
        <f>IF(SUM(F273:F284)&gt;=150000,150000/12*'Input sheet(dashboard)'!$D$28,SUM(F273:F284)/12*'Input sheet(dashboard)'!$D$28)</f>
        <v>1596.2512982533283</v>
      </c>
      <c r="P273" s="3">
        <f t="shared" si="42"/>
        <v>0</v>
      </c>
      <c r="Q273" s="3">
        <f>IF(B273&lt;='Input sheet(dashboard)'!$D$27*12,'Input sheet(dashboard)'!$D$12/12,0)</f>
        <v>192.5</v>
      </c>
      <c r="R273" s="3">
        <f>IF(B273&lt;='Input sheet(dashboard)'!$D$27*12,('Input sheet(dashboard)'!$D$15/12)*(1+'Input sheet(dashboard)'!$E$22)^Calculations!B273,0)</f>
        <v>580.98606589619578</v>
      </c>
      <c r="S273" s="3">
        <f>IF(B273&lt;='Input sheet(dashboard)'!$D$27*12,(E273+G273+K273+L273-O273+M273+Q273+R273),0)</f>
        <v>74960.650631379423</v>
      </c>
      <c r="T273" s="3">
        <f>IF(B273&lt;='Input sheet(dashboard)'!$D$27*12,IF(D273=12,SUM(S262:S273),0),0)</f>
        <v>0</v>
      </c>
      <c r="U273" s="3">
        <f>IF(B273&lt;='Input sheet(dashboard)'!$D$27*12,IF(S273&lt;AD273,AD273-S273,0),0)</f>
        <v>2374.5204782800283</v>
      </c>
      <c r="V273" s="3">
        <f>IF(B273&lt;='Input sheet(dashboard)'!$D$27*12,V272*(1+'Input sheet(dashboard)'!$E$25)+U273,0)</f>
        <v>39602.651701986964</v>
      </c>
      <c r="W273" s="17">
        <f>IF(B273&lt;='Input sheet(dashboard)'!$D$27*12,J273-I273+V273-N273,0)</f>
        <v>23571043.011505719</v>
      </c>
      <c r="X273" s="3">
        <f>IF(B273&lt;='Input sheet(dashboard)'!$D$27*12,'Input sheet(dashboard)'!$D$17*(1+'Input sheet(dashboard)'!$E$23)^(B273-1),0)</f>
        <v>77335.171109659452</v>
      </c>
      <c r="Y273" s="3"/>
      <c r="Z273" s="18"/>
      <c r="AA273" s="18"/>
      <c r="AB273" s="3">
        <f>IF(B273=1,'Input sheet(dashboard)'!$D$18*Calculations!X273,IF(Calculations!B273=12*'Input sheet(dashboard)'!$D$27,'Input sheet(dashboard)'!$D$18*-Calculations!X273,0))</f>
        <v>0</v>
      </c>
      <c r="AC273" s="3">
        <f>IF(B273&lt;='Input sheet(dashboard)'!$D$27*12,IF(MOD(B272,'Input sheet(dashboard)'!$D$19*12),0,'Input sheet(dashboard)'!$D$20*(1+'Input sheet(dashboard)'!$E$22)^Calculations!B273),0)</f>
        <v>0</v>
      </c>
      <c r="AD273" s="17">
        <f t="shared" si="39"/>
        <v>77335.171109659452</v>
      </c>
      <c r="AE273" s="17">
        <f>IF(B273&lt;='Input sheet(dashboard)'!$D$27*12,IF(D273=12,SUM(AD262:AD273),0),0)</f>
        <v>0</v>
      </c>
      <c r="AF273" s="17">
        <f t="shared" si="40"/>
        <v>-2374.5204782800283</v>
      </c>
      <c r="AG273" s="17">
        <f t="shared" si="41"/>
        <v>0</v>
      </c>
      <c r="AH273" s="3">
        <f>IF(B273&lt;='Input sheet(dashboard)'!$D$27*12,AH272*(1+'Input sheet(dashboard)'!$E$25)+AG273," ")</f>
        <v>19249059.100159418</v>
      </c>
    </row>
    <row r="274" spans="2:34">
      <c r="B274">
        <f t="shared" si="36"/>
        <v>271</v>
      </c>
      <c r="C274">
        <f t="shared" si="43"/>
        <v>23</v>
      </c>
      <c r="D274">
        <f t="shared" si="44"/>
        <v>7</v>
      </c>
      <c r="E274" s="15">
        <f>IF(C274&lt;='Input sheet(dashboard)'!$D$6, -PMT('Input sheet(dashboard)'!$E$5,'Input sheet(dashboard)'!$D$6*12,'Input sheet(dashboard)'!$D$3*'Input sheet(dashboard)'!$D$4),0)</f>
        <v>39834.137922259193</v>
      </c>
      <c r="F274" s="3">
        <f>I273*'Input sheet(dashboard)'!$E$5</f>
        <v>11117.720244429309</v>
      </c>
      <c r="G274" s="3">
        <f>IF(C274&lt;='Input sheet(dashboard)'!$D$6,E274*'Input sheet(dashboard)'!$D$7,0)</f>
        <v>3186.7310337807357</v>
      </c>
      <c r="H274" s="3">
        <f t="shared" si="37"/>
        <v>28716.417677829886</v>
      </c>
      <c r="I274" s="3">
        <f t="shared" si="38"/>
        <v>3023264.1808404834</v>
      </c>
      <c r="J274" s="3">
        <f>IF(B274&lt;='Input sheet(dashboard)'!$D$27*12,'Input sheet(dashboard)'!$D$3*(1+'Input sheet(dashboard)'!$E$24)^B274,0)</f>
        <v>26691725.105899081</v>
      </c>
      <c r="K274" s="3">
        <f>IF(B274&lt;='Input sheet(dashboard)'!$D$27*12,J274*'Input sheet(dashboard)'!$E$8,0)</f>
        <v>27645.847903859074</v>
      </c>
      <c r="L274" s="3">
        <f>IF(B274&lt;='Input sheet(dashboard)'!$D$27*12,'Input sheet(dashboard)'!$D$9*(1+'Input sheet(dashboard)'!$E$22)^B274,0)</f>
        <v>5239.6452186030183</v>
      </c>
      <c r="M274" s="3">
        <f>IF(B274=1,'Input sheet(dashboard)'!$D$3*'Input sheet(dashboard)'!$D$10,0)</f>
        <v>0</v>
      </c>
      <c r="N274" s="3">
        <f>IF(B274='Input sheet(dashboard)'!$D$27*12,J274*'Input sheet(dashboard)'!$D$11,0)</f>
        <v>0</v>
      </c>
      <c r="O274" s="3">
        <f>IF(SUM(F274:F285)&gt;=150000,150000/12*'Input sheet(dashboard)'!$D$28,SUM(F274:F285)/12*'Input sheet(dashboard)'!$D$28)</f>
        <v>1580.3000025965009</v>
      </c>
      <c r="P274" s="3">
        <f t="shared" si="42"/>
        <v>0</v>
      </c>
      <c r="Q274" s="3">
        <f>IF(B274&lt;='Input sheet(dashboard)'!$D$27*12,'Input sheet(dashboard)'!$D$12/12,0)</f>
        <v>192.5</v>
      </c>
      <c r="R274" s="3">
        <f>IF(B274&lt;='Input sheet(dashboard)'!$D$27*12,('Input sheet(dashboard)'!$D$15/12)*(1+'Input sheet(dashboard)'!$E$22)^Calculations!B274,0)</f>
        <v>582.18280206700206</v>
      </c>
      <c r="S274" s="3">
        <f>IF(B274&lt;='Input sheet(dashboard)'!$D$27*12,(E274+G274+K274+L274-O274+M274+Q274+R274),0)</f>
        <v>75100.744877972524</v>
      </c>
      <c r="T274" s="3">
        <f>IF(B274&lt;='Input sheet(dashboard)'!$D$27*12,IF(D274=12,SUM(S263:S274),0),0)</f>
        <v>0</v>
      </c>
      <c r="U274" s="3">
        <f>IF(B274&lt;='Input sheet(dashboard)'!$D$27*12,IF(S274&lt;AD274,AD274-S274,0),0)</f>
        <v>2549.4992916173069</v>
      </c>
      <c r="V274" s="3">
        <f>IF(B274&lt;='Input sheet(dashboard)'!$D$27*12,V273*(1+'Input sheet(dashboard)'!$E$25)+U274,0)</f>
        <v>42406.955647090836</v>
      </c>
      <c r="W274" s="17">
        <f>IF(B274&lt;='Input sheet(dashboard)'!$D$27*12,J274-I274+V274-N274,0)</f>
        <v>23710867.880705688</v>
      </c>
      <c r="X274" s="3">
        <f>IF(B274&lt;='Input sheet(dashboard)'!$D$27*12,'Input sheet(dashboard)'!$D$17*(1+'Input sheet(dashboard)'!$E$23)^(B274-1),0)</f>
        <v>77650.244169589831</v>
      </c>
      <c r="Y274" s="3"/>
      <c r="Z274" s="18"/>
      <c r="AA274" s="18"/>
      <c r="AB274" s="3">
        <f>IF(B274=1,'Input sheet(dashboard)'!$D$18*Calculations!X274,IF(Calculations!B274=12*'Input sheet(dashboard)'!$D$27,'Input sheet(dashboard)'!$D$18*-Calculations!X274,0))</f>
        <v>0</v>
      </c>
      <c r="AC274" s="3">
        <f>IF(B274&lt;='Input sheet(dashboard)'!$D$27*12,IF(MOD(B273,'Input sheet(dashboard)'!$D$19*12),0,'Input sheet(dashboard)'!$D$20*(1+'Input sheet(dashboard)'!$E$22)^Calculations!B274),0)</f>
        <v>0</v>
      </c>
      <c r="AD274" s="17">
        <f t="shared" si="39"/>
        <v>77650.244169589831</v>
      </c>
      <c r="AE274" s="17">
        <f>IF(B274&lt;='Input sheet(dashboard)'!$D$27*12,IF(D274=12,SUM(AD263:AD274),0),0)</f>
        <v>0</v>
      </c>
      <c r="AF274" s="17">
        <f t="shared" si="40"/>
        <v>-2549.4992916173069</v>
      </c>
      <c r="AG274" s="17">
        <f t="shared" si="41"/>
        <v>0</v>
      </c>
      <c r="AH274" s="3">
        <f>IF(B274&lt;='Input sheet(dashboard)'!$D$27*12,AH273*(1+'Input sheet(dashboard)'!$E$25)+AG274," ")</f>
        <v>19372908.125999078</v>
      </c>
    </row>
    <row r="275" spans="2:34">
      <c r="B275">
        <f t="shared" si="36"/>
        <v>272</v>
      </c>
      <c r="C275">
        <f t="shared" si="43"/>
        <v>23</v>
      </c>
      <c r="D275">
        <f t="shared" si="44"/>
        <v>8</v>
      </c>
      <c r="E275" s="15">
        <f>IF(C275&lt;='Input sheet(dashboard)'!$D$6, -PMT('Input sheet(dashboard)'!$E$5,'Input sheet(dashboard)'!$D$6*12,'Input sheet(dashboard)'!$D$3*'Input sheet(dashboard)'!$D$4),0)</f>
        <v>39834.137922259193</v>
      </c>
      <c r="F275" s="3">
        <f>I274*'Input sheet(dashboard)'!$E$5</f>
        <v>11013.112404419024</v>
      </c>
      <c r="G275" s="3">
        <f>IF(C275&lt;='Input sheet(dashboard)'!$D$6,E275*'Input sheet(dashboard)'!$D$7,0)</f>
        <v>3186.7310337807357</v>
      </c>
      <c r="H275" s="3">
        <f t="shared" si="37"/>
        <v>28821.025517840171</v>
      </c>
      <c r="I275" s="3">
        <f t="shared" si="38"/>
        <v>2994443.155322643</v>
      </c>
      <c r="J275" s="3">
        <f>IF(B275&lt;='Input sheet(dashboard)'!$D$27*12,'Input sheet(dashboard)'!$D$3*(1+'Input sheet(dashboard)'!$E$24)^B275,0)</f>
        <v>26800470.497979634</v>
      </c>
      <c r="K275" s="3">
        <f>IF(B275&lt;='Input sheet(dashboard)'!$D$27*12,J275*'Input sheet(dashboard)'!$E$8,0)</f>
        <v>27758.480510323316</v>
      </c>
      <c r="L275" s="3">
        <f>IF(B275&lt;='Input sheet(dashboard)'!$D$27*12,'Input sheet(dashboard)'!$D$9*(1+'Input sheet(dashboard)'!$E$22)^B275,0)</f>
        <v>5250.438029865405</v>
      </c>
      <c r="M275" s="3">
        <f>IF(B275=1,'Input sheet(dashboard)'!$D$3*'Input sheet(dashboard)'!$D$10,0)</f>
        <v>0</v>
      </c>
      <c r="N275" s="3">
        <f>IF(B275='Input sheet(dashboard)'!$D$27*12,J275*'Input sheet(dashboard)'!$D$11,0)</f>
        <v>0</v>
      </c>
      <c r="O275" s="3">
        <f>IF(SUM(F275:F286)&gt;=150000,150000/12*'Input sheet(dashboard)'!$D$28,SUM(F275:F286)/12*'Input sheet(dashboard)'!$D$28)</f>
        <v>1564.2905997411106</v>
      </c>
      <c r="P275" s="3">
        <f t="shared" si="42"/>
        <v>0</v>
      </c>
      <c r="Q275" s="3">
        <f>IF(B275&lt;='Input sheet(dashboard)'!$D$27*12,'Input sheet(dashboard)'!$D$12/12,0)</f>
        <v>192.5</v>
      </c>
      <c r="R275" s="3">
        <f>IF(B275&lt;='Input sheet(dashboard)'!$D$27*12,('Input sheet(dashboard)'!$D$15/12)*(1+'Input sheet(dashboard)'!$E$22)^Calculations!B275,0)</f>
        <v>583.38200331837822</v>
      </c>
      <c r="S275" s="3">
        <f>IF(B275&lt;='Input sheet(dashboard)'!$D$27*12,(E275+G275+K275+L275-O275+M275+Q275+R275),0)</f>
        <v>75241.378899805903</v>
      </c>
      <c r="T275" s="3">
        <f>IF(B275&lt;='Input sheet(dashboard)'!$D$27*12,IF(D275=12,SUM(S264:S275),0),0)</f>
        <v>0</v>
      </c>
      <c r="U275" s="3">
        <f>IF(B275&lt;='Input sheet(dashboard)'!$D$27*12,IF(S275&lt;AD275,AD275-S275,0),0)</f>
        <v>2725.2219763613684</v>
      </c>
      <c r="V275" s="3">
        <f>IF(B275&lt;='Input sheet(dashboard)'!$D$27*12,V274*(1+'Input sheet(dashboard)'!$E$25)+U275,0)</f>
        <v>45405.025252959167</v>
      </c>
      <c r="W275" s="17">
        <f>IF(B275&lt;='Input sheet(dashboard)'!$D$27*12,J275-I275+V275-N275,0)</f>
        <v>23851432.367909953</v>
      </c>
      <c r="X275" s="3">
        <f>IF(B275&lt;='Input sheet(dashboard)'!$D$27*12,'Input sheet(dashboard)'!$D$17*(1+'Input sheet(dashboard)'!$E$23)^(B275-1),0)</f>
        <v>77966.600876167271</v>
      </c>
      <c r="Y275" s="3"/>
      <c r="Z275" s="18"/>
      <c r="AA275" s="18"/>
      <c r="AB275" s="3">
        <f>IF(B275=1,'Input sheet(dashboard)'!$D$18*Calculations!X275,IF(Calculations!B275=12*'Input sheet(dashboard)'!$D$27,'Input sheet(dashboard)'!$D$18*-Calculations!X275,0))</f>
        <v>0</v>
      </c>
      <c r="AC275" s="3">
        <f>IF(B275&lt;='Input sheet(dashboard)'!$D$27*12,IF(MOD(B274,'Input sheet(dashboard)'!$D$19*12),0,'Input sheet(dashboard)'!$D$20*(1+'Input sheet(dashboard)'!$E$22)^Calculations!B275),0)</f>
        <v>0</v>
      </c>
      <c r="AD275" s="17">
        <f t="shared" si="39"/>
        <v>77966.600876167271</v>
      </c>
      <c r="AE275" s="17">
        <f>IF(B275&lt;='Input sheet(dashboard)'!$D$27*12,IF(D275=12,SUM(AD264:AD275),0),0)</f>
        <v>0</v>
      </c>
      <c r="AF275" s="17">
        <f t="shared" si="40"/>
        <v>-2725.2219763613684</v>
      </c>
      <c r="AG275" s="17">
        <f t="shared" si="41"/>
        <v>0</v>
      </c>
      <c r="AH275" s="3">
        <f>IF(B275&lt;='Input sheet(dashboard)'!$D$27*12,AH274*(1+'Input sheet(dashboard)'!$E$25)+AG275," ")</f>
        <v>19497554.000200085</v>
      </c>
    </row>
    <row r="276" spans="2:34">
      <c r="B276">
        <f t="shared" si="36"/>
        <v>273</v>
      </c>
      <c r="C276">
        <f t="shared" si="43"/>
        <v>23</v>
      </c>
      <c r="D276">
        <f t="shared" si="44"/>
        <v>9</v>
      </c>
      <c r="E276" s="15">
        <f>IF(C276&lt;='Input sheet(dashboard)'!$D$6, -PMT('Input sheet(dashboard)'!$E$5,'Input sheet(dashboard)'!$D$6*12,'Input sheet(dashboard)'!$D$3*'Input sheet(dashboard)'!$D$4),0)</f>
        <v>39834.137922259193</v>
      </c>
      <c r="F276" s="3">
        <f>I275*'Input sheet(dashboard)'!$E$5</f>
        <v>10908.123500157813</v>
      </c>
      <c r="G276" s="3">
        <f>IF(C276&lt;='Input sheet(dashboard)'!$D$6,E276*'Input sheet(dashboard)'!$D$7,0)</f>
        <v>3186.7310337807357</v>
      </c>
      <c r="H276" s="3">
        <f t="shared" si="37"/>
        <v>28926.01442210138</v>
      </c>
      <c r="I276" s="3">
        <f t="shared" si="38"/>
        <v>2965517.1409005416</v>
      </c>
      <c r="J276" s="3">
        <f>IF(B276&lt;='Input sheet(dashboard)'!$D$27*12,'Input sheet(dashboard)'!$D$3*(1+'Input sheet(dashboard)'!$E$24)^B276,0)</f>
        <v>26909658.932248414</v>
      </c>
      <c r="K276" s="3">
        <f>IF(B276&lt;='Input sheet(dashboard)'!$D$27*12,J276*'Input sheet(dashboard)'!$E$8,0)</f>
        <v>27871.571995968359</v>
      </c>
      <c r="L276" s="3">
        <f>IF(B276&lt;='Input sheet(dashboard)'!$D$27*12,'Input sheet(dashboard)'!$D$9*(1+'Input sheet(dashboard)'!$E$22)^B276,0)</f>
        <v>5261.2530725518836</v>
      </c>
      <c r="M276" s="3">
        <f>IF(B276=1,'Input sheet(dashboard)'!$D$3*'Input sheet(dashboard)'!$D$10,0)</f>
        <v>0</v>
      </c>
      <c r="N276" s="3">
        <f>IF(B276='Input sheet(dashboard)'!$D$27*12,J276*'Input sheet(dashboard)'!$D$11,0)</f>
        <v>0</v>
      </c>
      <c r="O276" s="3">
        <f>IF(SUM(F276:F287)&gt;=150000,150000/12*'Input sheet(dashboard)'!$D$28,SUM(F276:F287)/12*'Input sheet(dashboard)'!$D$28)</f>
        <v>1548.2228780149144</v>
      </c>
      <c r="P276" s="3">
        <f t="shared" si="42"/>
        <v>0</v>
      </c>
      <c r="Q276" s="3">
        <f>IF(B276&lt;='Input sheet(dashboard)'!$D$27*12,'Input sheet(dashboard)'!$D$12/12,0)</f>
        <v>192.5</v>
      </c>
      <c r="R276" s="3">
        <f>IF(B276&lt;='Input sheet(dashboard)'!$D$27*12,('Input sheet(dashboard)'!$D$15/12)*(1+'Input sheet(dashboard)'!$E$22)^Calculations!B276,0)</f>
        <v>584.58367472798705</v>
      </c>
      <c r="S276" s="3">
        <f>IF(B276&lt;='Input sheet(dashboard)'!$D$27*12,(E276+G276+K276+L276-O276+M276+Q276+R276),0)</f>
        <v>75382.554821273239</v>
      </c>
      <c r="T276" s="3">
        <f>IF(B276&lt;='Input sheet(dashboard)'!$D$27*12,IF(D276=12,SUM(S265:S276),0),0)</f>
        <v>0</v>
      </c>
      <c r="U276" s="3">
        <f>IF(B276&lt;='Input sheet(dashboard)'!$D$27*12,IF(S276&lt;AD276,AD276-S276,0),0)</f>
        <v>2901.691637853859</v>
      </c>
      <c r="V276" s="3">
        <f>IF(B276&lt;='Input sheet(dashboard)'!$D$27*12,V275*(1+'Input sheet(dashboard)'!$E$25)+U276,0)</f>
        <v>48598.854190436032</v>
      </c>
      <c r="W276" s="17">
        <f>IF(B276&lt;='Input sheet(dashboard)'!$D$27*12,J276-I276+V276-N276,0)</f>
        <v>23992740.645538308</v>
      </c>
      <c r="X276" s="3">
        <f>IF(B276&lt;='Input sheet(dashboard)'!$D$27*12,'Input sheet(dashboard)'!$D$17*(1+'Input sheet(dashboard)'!$E$23)^(B276-1),0)</f>
        <v>78284.246459127098</v>
      </c>
      <c r="Y276" s="3"/>
      <c r="Z276" s="18"/>
      <c r="AA276" s="18"/>
      <c r="AB276" s="3">
        <f>IF(B276=1,'Input sheet(dashboard)'!$D$18*Calculations!X276,IF(Calculations!B276=12*'Input sheet(dashboard)'!$D$27,'Input sheet(dashboard)'!$D$18*-Calculations!X276,0))</f>
        <v>0</v>
      </c>
      <c r="AC276" s="3">
        <f>IF(B276&lt;='Input sheet(dashboard)'!$D$27*12,IF(MOD(B275,'Input sheet(dashboard)'!$D$19*12),0,'Input sheet(dashboard)'!$D$20*(1+'Input sheet(dashboard)'!$E$22)^Calculations!B276),0)</f>
        <v>0</v>
      </c>
      <c r="AD276" s="17">
        <f t="shared" si="39"/>
        <v>78284.246459127098</v>
      </c>
      <c r="AE276" s="17">
        <f>IF(B276&lt;='Input sheet(dashboard)'!$D$27*12,IF(D276=12,SUM(AD265:AD276),0),0)</f>
        <v>0</v>
      </c>
      <c r="AF276" s="17">
        <f t="shared" si="40"/>
        <v>-2901.691637853859</v>
      </c>
      <c r="AG276" s="17">
        <f t="shared" si="41"/>
        <v>0</v>
      </c>
      <c r="AH276" s="3">
        <f>IF(B276&lt;='Input sheet(dashboard)'!$D$27*12,AH275*(1+'Input sheet(dashboard)'!$E$25)+AG276," ")</f>
        <v>19623001.849708792</v>
      </c>
    </row>
    <row r="277" spans="2:34">
      <c r="B277">
        <f t="shared" si="36"/>
        <v>274</v>
      </c>
      <c r="C277">
        <f t="shared" si="43"/>
        <v>23</v>
      </c>
      <c r="D277">
        <f t="shared" si="44"/>
        <v>10</v>
      </c>
      <c r="E277" s="15">
        <f>IF(C277&lt;='Input sheet(dashboard)'!$D$6, -PMT('Input sheet(dashboard)'!$E$5,'Input sheet(dashboard)'!$D$6*12,'Input sheet(dashboard)'!$D$3*'Input sheet(dashboard)'!$D$4),0)</f>
        <v>39834.137922259193</v>
      </c>
      <c r="F277" s="3">
        <f>I276*'Input sheet(dashboard)'!$E$5</f>
        <v>10802.752143509158</v>
      </c>
      <c r="G277" s="3">
        <f>IF(C277&lt;='Input sheet(dashboard)'!$D$6,E277*'Input sheet(dashboard)'!$D$7,0)</f>
        <v>3186.7310337807357</v>
      </c>
      <c r="H277" s="3">
        <f t="shared" si="37"/>
        <v>29031.385778750035</v>
      </c>
      <c r="I277" s="3">
        <f t="shared" si="38"/>
        <v>2936485.7551217917</v>
      </c>
      <c r="J277" s="3">
        <f>IF(B277&lt;='Input sheet(dashboard)'!$D$27*12,'Input sheet(dashboard)'!$D$3*(1+'Input sheet(dashboard)'!$E$24)^B277,0)</f>
        <v>27019292.213714156</v>
      </c>
      <c r="K277" s="3">
        <f>IF(B277&lt;='Input sheet(dashboard)'!$D$27*12,J277*'Input sheet(dashboard)'!$E$8,0)</f>
        <v>27985.124230324804</v>
      </c>
      <c r="L277" s="3">
        <f>IF(B277&lt;='Input sheet(dashboard)'!$D$27*12,'Input sheet(dashboard)'!$D$9*(1+'Input sheet(dashboard)'!$E$22)^B277,0)</f>
        <v>5272.0903924555469</v>
      </c>
      <c r="M277" s="3">
        <f>IF(B277=1,'Input sheet(dashboard)'!$D$3*'Input sheet(dashboard)'!$D$10,0)</f>
        <v>0</v>
      </c>
      <c r="N277" s="3">
        <f>IF(B277='Input sheet(dashboard)'!$D$27*12,J277*'Input sheet(dashboard)'!$D$11,0)</f>
        <v>0</v>
      </c>
      <c r="O277" s="3">
        <f>IF(SUM(F277:F288)&gt;=150000,150000/12*'Input sheet(dashboard)'!$D$28,SUM(F277:F288)/12*'Input sheet(dashboard)'!$D$28)</f>
        <v>1532.0966249745927</v>
      </c>
      <c r="P277" s="3">
        <f t="shared" si="42"/>
        <v>0</v>
      </c>
      <c r="Q277" s="3">
        <f>IF(B277&lt;='Input sheet(dashboard)'!$D$27*12,'Input sheet(dashboard)'!$D$12/12,0)</f>
        <v>192.5</v>
      </c>
      <c r="R277" s="3">
        <f>IF(B277&lt;='Input sheet(dashboard)'!$D$27*12,('Input sheet(dashboard)'!$D$15/12)*(1+'Input sheet(dashboard)'!$E$22)^Calculations!B277,0)</f>
        <v>585.78782138394968</v>
      </c>
      <c r="S277" s="3">
        <f>IF(B277&lt;='Input sheet(dashboard)'!$D$27*12,(E277+G277+K277+L277-O277+M277+Q277+R277),0)</f>
        <v>75524.274775229627</v>
      </c>
      <c r="T277" s="3">
        <f>IF(B277&lt;='Input sheet(dashboard)'!$D$27*12,IF(D277=12,SUM(S266:S277),0),0)</f>
        <v>0</v>
      </c>
      <c r="U277" s="3">
        <f>IF(B277&lt;='Input sheet(dashboard)'!$D$27*12,IF(S277&lt;AD277,AD277-S277,0),0)</f>
        <v>3078.9113942815748</v>
      </c>
      <c r="V277" s="3">
        <f>IF(B277&lt;='Input sheet(dashboard)'!$D$27*12,V276*(1+'Input sheet(dashboard)'!$E$25)+U277,0)</f>
        <v>51990.452075890542</v>
      </c>
      <c r="W277" s="17">
        <f>IF(B277&lt;='Input sheet(dashboard)'!$D$27*12,J277-I277+V277-N277,0)</f>
        <v>24134796.910668254</v>
      </c>
      <c r="X277" s="3">
        <f>IF(B277&lt;='Input sheet(dashboard)'!$D$27*12,'Input sheet(dashboard)'!$D$17*(1+'Input sheet(dashboard)'!$E$23)^(B277-1),0)</f>
        <v>78603.186169511202</v>
      </c>
      <c r="Y277" s="3"/>
      <c r="Z277" s="18"/>
      <c r="AA277" s="18"/>
      <c r="AB277" s="3">
        <f>IF(B277=1,'Input sheet(dashboard)'!$D$18*Calculations!X277,IF(Calculations!B277=12*'Input sheet(dashboard)'!$D$27,'Input sheet(dashboard)'!$D$18*-Calculations!X277,0))</f>
        <v>0</v>
      </c>
      <c r="AC277" s="3">
        <f>IF(B277&lt;='Input sheet(dashboard)'!$D$27*12,IF(MOD(B276,'Input sheet(dashboard)'!$D$19*12),0,'Input sheet(dashboard)'!$D$20*(1+'Input sheet(dashboard)'!$E$22)^Calculations!B277),0)</f>
        <v>0</v>
      </c>
      <c r="AD277" s="17">
        <f t="shared" si="39"/>
        <v>78603.186169511202</v>
      </c>
      <c r="AE277" s="17">
        <f>IF(B277&lt;='Input sheet(dashboard)'!$D$27*12,IF(D277=12,SUM(AD266:AD277),0),0)</f>
        <v>0</v>
      </c>
      <c r="AF277" s="17">
        <f t="shared" si="40"/>
        <v>-3078.9113942815748</v>
      </c>
      <c r="AG277" s="17">
        <f t="shared" si="41"/>
        <v>0</v>
      </c>
      <c r="AH277" s="3">
        <f>IF(B277&lt;='Input sheet(dashboard)'!$D$27*12,AH276*(1+'Input sheet(dashboard)'!$E$25)+AG277," ")</f>
        <v>19749256.83445847</v>
      </c>
    </row>
    <row r="278" spans="2:34">
      <c r="B278">
        <f t="shared" si="36"/>
        <v>275</v>
      </c>
      <c r="C278">
        <f t="shared" si="43"/>
        <v>23</v>
      </c>
      <c r="D278">
        <f t="shared" si="44"/>
        <v>11</v>
      </c>
      <c r="E278" s="15">
        <f>IF(C278&lt;='Input sheet(dashboard)'!$D$6, -PMT('Input sheet(dashboard)'!$E$5,'Input sheet(dashboard)'!$D$6*12,'Input sheet(dashboard)'!$D$3*'Input sheet(dashboard)'!$D$4),0)</f>
        <v>39834.137922259193</v>
      </c>
      <c r="F278" s="3">
        <f>I277*'Input sheet(dashboard)'!$E$5</f>
        <v>10696.996941279845</v>
      </c>
      <c r="G278" s="3">
        <f>IF(C278&lt;='Input sheet(dashboard)'!$D$6,E278*'Input sheet(dashboard)'!$D$7,0)</f>
        <v>3186.7310337807357</v>
      </c>
      <c r="H278" s="3">
        <f t="shared" si="37"/>
        <v>29137.140980979348</v>
      </c>
      <c r="I278" s="3">
        <f t="shared" si="38"/>
        <v>2907348.6141408123</v>
      </c>
      <c r="J278" s="3">
        <f>IF(B278&lt;='Input sheet(dashboard)'!$D$27*12,'Input sheet(dashboard)'!$D$3*(1+'Input sheet(dashboard)'!$E$24)^B278,0)</f>
        <v>27129372.154739399</v>
      </c>
      <c r="K278" s="3">
        <f>IF(B278&lt;='Input sheet(dashboard)'!$D$27*12,J278*'Input sheet(dashboard)'!$E$8,0)</f>
        <v>28099.139090539928</v>
      </c>
      <c r="L278" s="3">
        <f>IF(B278&lt;='Input sheet(dashboard)'!$D$27*12,'Input sheet(dashboard)'!$D$9*(1+'Input sheet(dashboard)'!$E$22)^B278,0)</f>
        <v>5282.9500354638158</v>
      </c>
      <c r="M278" s="3">
        <f>IF(B278=1,'Input sheet(dashboard)'!$D$3*'Input sheet(dashboard)'!$D$10,0)</f>
        <v>0</v>
      </c>
      <c r="N278" s="3">
        <f>IF(B278='Input sheet(dashboard)'!$D$27*12,J278*'Input sheet(dashboard)'!$D$11,0)</f>
        <v>0</v>
      </c>
      <c r="O278" s="3">
        <f>IF(SUM(F278:F289)&gt;=150000,150000/12*'Input sheet(dashboard)'!$D$28,SUM(F278:F289)/12*'Input sheet(dashboard)'!$D$28)</f>
        <v>1515.9116274029395</v>
      </c>
      <c r="P278" s="3">
        <f t="shared" si="42"/>
        <v>0</v>
      </c>
      <c r="Q278" s="3">
        <f>IF(B278&lt;='Input sheet(dashboard)'!$D$27*12,'Input sheet(dashboard)'!$D$12/12,0)</f>
        <v>192.5</v>
      </c>
      <c r="R278" s="3">
        <f>IF(B278&lt;='Input sheet(dashboard)'!$D$27*12,('Input sheet(dashboard)'!$D$15/12)*(1+'Input sheet(dashboard)'!$E$22)^Calculations!B278,0)</f>
        <v>586.99444838486841</v>
      </c>
      <c r="S278" s="3">
        <f>IF(B278&lt;='Input sheet(dashboard)'!$D$27*12,(E278+G278+K278+L278-O278+M278+Q278+R278),0)</f>
        <v>75666.540903025598</v>
      </c>
      <c r="T278" s="3">
        <f>IF(B278&lt;='Input sheet(dashboard)'!$D$27*12,IF(D278=12,SUM(S267:S278),0),0)</f>
        <v>0</v>
      </c>
      <c r="U278" s="3">
        <f>IF(B278&lt;='Input sheet(dashboard)'!$D$27*12,IF(S278&lt;AD278,AD278-S278,0),0)</f>
        <v>3256.8843767293583</v>
      </c>
      <c r="V278" s="3">
        <f>IF(B278&lt;='Input sheet(dashboard)'!$D$27*12,V277*(1+'Input sheet(dashboard)'!$E$25)+U278,0)</f>
        <v>55581.844586708867</v>
      </c>
      <c r="W278" s="17">
        <f>IF(B278&lt;='Input sheet(dashboard)'!$D$27*12,J278-I278+V278-N278,0)</f>
        <v>24277605.385185294</v>
      </c>
      <c r="X278" s="3">
        <f>IF(B278&lt;='Input sheet(dashboard)'!$D$27*12,'Input sheet(dashboard)'!$D$17*(1+'Input sheet(dashboard)'!$E$23)^(B278-1),0)</f>
        <v>78923.425279754956</v>
      </c>
      <c r="Y278" s="3"/>
      <c r="Z278" s="18"/>
      <c r="AA278" s="18"/>
      <c r="AB278" s="3">
        <f>IF(B278=1,'Input sheet(dashboard)'!$D$18*Calculations!X278,IF(Calculations!B278=12*'Input sheet(dashboard)'!$D$27,'Input sheet(dashboard)'!$D$18*-Calculations!X278,0))</f>
        <v>0</v>
      </c>
      <c r="AC278" s="3">
        <f>IF(B278&lt;='Input sheet(dashboard)'!$D$27*12,IF(MOD(B277,'Input sheet(dashboard)'!$D$19*12),0,'Input sheet(dashboard)'!$D$20*(1+'Input sheet(dashboard)'!$E$22)^Calculations!B278),0)</f>
        <v>0</v>
      </c>
      <c r="AD278" s="17">
        <f t="shared" si="39"/>
        <v>78923.425279754956</v>
      </c>
      <c r="AE278" s="17">
        <f>IF(B278&lt;='Input sheet(dashboard)'!$D$27*12,IF(D278=12,SUM(AD267:AD278),0),0)</f>
        <v>0</v>
      </c>
      <c r="AF278" s="17">
        <f t="shared" si="40"/>
        <v>-3256.8843767293583</v>
      </c>
      <c r="AG278" s="17">
        <f t="shared" si="41"/>
        <v>0</v>
      </c>
      <c r="AH278" s="3">
        <f>IF(B278&lt;='Input sheet(dashboard)'!$D$27*12,AH277*(1+'Input sheet(dashboard)'!$E$25)+AG278," ")</f>
        <v>19876324.147581566</v>
      </c>
    </row>
    <row r="279" spans="2:34">
      <c r="B279">
        <f t="shared" si="36"/>
        <v>276</v>
      </c>
      <c r="C279">
        <f t="shared" si="43"/>
        <v>23</v>
      </c>
      <c r="D279">
        <f t="shared" si="44"/>
        <v>12</v>
      </c>
      <c r="E279" s="15">
        <f>IF(C279&lt;='Input sheet(dashboard)'!$D$6, -PMT('Input sheet(dashboard)'!$E$5,'Input sheet(dashboard)'!$D$6*12,'Input sheet(dashboard)'!$D$3*'Input sheet(dashboard)'!$D$4),0)</f>
        <v>39834.137922259193</v>
      </c>
      <c r="F279" s="3">
        <f>I278*'Input sheet(dashboard)'!$E$5</f>
        <v>10590.856495201553</v>
      </c>
      <c r="G279" s="3">
        <f>IF(C279&lt;='Input sheet(dashboard)'!$D$6,E279*'Input sheet(dashboard)'!$D$7,0)</f>
        <v>3186.7310337807357</v>
      </c>
      <c r="H279" s="3">
        <f t="shared" si="37"/>
        <v>29243.281427057642</v>
      </c>
      <c r="I279" s="3">
        <f t="shared" si="38"/>
        <v>2878105.3327137548</v>
      </c>
      <c r="J279" s="3">
        <f>IF(B279&lt;='Input sheet(dashboard)'!$D$27*12,'Input sheet(dashboard)'!$D$3*(1+'Input sheet(dashboard)'!$E$24)^B279,0)</f>
        <v>27239900.575070467</v>
      </c>
      <c r="K279" s="3">
        <f>IF(B279&lt;='Input sheet(dashboard)'!$D$27*12,J279*'Input sheet(dashboard)'!$E$8,0)</f>
        <v>28213.61846140874</v>
      </c>
      <c r="L279" s="3">
        <f>IF(B279&lt;='Input sheet(dashboard)'!$D$27*12,'Input sheet(dashboard)'!$D$9*(1+'Input sheet(dashboard)'!$E$22)^B279,0)</f>
        <v>5293.8320475586324</v>
      </c>
      <c r="M279" s="3">
        <f>IF(B279=1,'Input sheet(dashboard)'!$D$3*'Input sheet(dashboard)'!$D$10,0)</f>
        <v>0</v>
      </c>
      <c r="N279" s="3">
        <f>IF(B279='Input sheet(dashboard)'!$D$27*12,J279*'Input sheet(dashboard)'!$D$11,0)</f>
        <v>0</v>
      </c>
      <c r="O279" s="3">
        <f>IF(SUM(F279:F290)&gt;=150000,150000/12*'Input sheet(dashboard)'!$D$28,SUM(F279:F290)/12*'Input sheet(dashboard)'!$D$28)</f>
        <v>1499.6676713060433</v>
      </c>
      <c r="P279" s="3">
        <f t="shared" si="42"/>
        <v>21674.371691853474</v>
      </c>
      <c r="Q279" s="3">
        <f>IF(B279&lt;='Input sheet(dashboard)'!$D$27*12,'Input sheet(dashboard)'!$D$12/12,0)</f>
        <v>192.5</v>
      </c>
      <c r="R279" s="3">
        <f>IF(B279&lt;='Input sheet(dashboard)'!$D$27*12,('Input sheet(dashboard)'!$D$15/12)*(1+'Input sheet(dashboard)'!$E$22)^Calculations!B279,0)</f>
        <v>588.20356083984802</v>
      </c>
      <c r="S279" s="3">
        <f>IF(B279&lt;='Input sheet(dashboard)'!$D$27*12,(E279+G279+K279+L279-O279+M279+Q279+R279),0)</f>
        <v>75809.355354541098</v>
      </c>
      <c r="T279" s="3">
        <f>IF(B279&lt;='Input sheet(dashboard)'!$D$27*12,IF(D279=12,SUM(S268:S279),0),0)</f>
        <v>900406.08420614561</v>
      </c>
      <c r="U279" s="3">
        <f>IF(B279&lt;='Input sheet(dashboard)'!$D$27*12,IF(S279&lt;AD279,AD279-S279,0),0)</f>
        <v>3435.6137292331114</v>
      </c>
      <c r="V279" s="3">
        <f>IF(B279&lt;='Input sheet(dashboard)'!$D$27*12,V278*(1+'Input sheet(dashboard)'!$E$25)+U279,0)</f>
        <v>59375.073577582392</v>
      </c>
      <c r="W279" s="17">
        <f>IF(B279&lt;='Input sheet(dashboard)'!$D$27*12,J279-I279+V279-N279,0)</f>
        <v>24421170.315934293</v>
      </c>
      <c r="X279" s="3">
        <f>IF(B279&lt;='Input sheet(dashboard)'!$D$27*12,'Input sheet(dashboard)'!$D$17*(1+'Input sheet(dashboard)'!$E$23)^(B279-1),0)</f>
        <v>79244.969083774209</v>
      </c>
      <c r="Y279" s="3"/>
      <c r="Z279" s="18"/>
      <c r="AA279" s="18"/>
      <c r="AB279" s="3">
        <f>IF(B279=1,'Input sheet(dashboard)'!$D$18*Calculations!X279,IF(Calculations!B279=12*'Input sheet(dashboard)'!$D$27,'Input sheet(dashboard)'!$D$18*-Calculations!X279,0))</f>
        <v>0</v>
      </c>
      <c r="AC279" s="3">
        <f>IF(B279&lt;='Input sheet(dashboard)'!$D$27*12,IF(MOD(B278,'Input sheet(dashboard)'!$D$19*12),0,'Input sheet(dashboard)'!$D$20*(1+'Input sheet(dashboard)'!$E$22)^Calculations!B279),0)</f>
        <v>0</v>
      </c>
      <c r="AD279" s="17">
        <f t="shared" si="39"/>
        <v>79244.969083774209</v>
      </c>
      <c r="AE279" s="17">
        <f>IF(B279&lt;='Input sheet(dashboard)'!$D$27*12,IF(D279=12,SUM(AD268:AD279),0),0)</f>
        <v>930002.16701461584</v>
      </c>
      <c r="AF279" s="17">
        <f t="shared" si="40"/>
        <v>-3435.6137292331114</v>
      </c>
      <c r="AG279" s="17">
        <f t="shared" si="41"/>
        <v>0</v>
      </c>
      <c r="AH279" s="3">
        <f>IF(B279&lt;='Input sheet(dashboard)'!$D$27*12,AH278*(1+'Input sheet(dashboard)'!$E$25)+AG279," ")</f>
        <v>20004209.015623294</v>
      </c>
    </row>
    <row r="280" spans="2:34">
      <c r="B280">
        <f t="shared" si="36"/>
        <v>277</v>
      </c>
      <c r="C280">
        <f t="shared" si="43"/>
        <v>24</v>
      </c>
      <c r="D280">
        <f t="shared" si="44"/>
        <v>1</v>
      </c>
      <c r="E280" s="15">
        <f>IF(C280&lt;='Input sheet(dashboard)'!$D$6, -PMT('Input sheet(dashboard)'!$E$5,'Input sheet(dashboard)'!$D$6*12,'Input sheet(dashboard)'!$D$3*'Input sheet(dashboard)'!$D$4),0)</f>
        <v>39834.137922259193</v>
      </c>
      <c r="F280" s="3">
        <f>I279*'Input sheet(dashboard)'!$E$5</f>
        <v>10484.32940191237</v>
      </c>
      <c r="G280" s="3">
        <f>IF(C280&lt;='Input sheet(dashboard)'!$D$6,E280*'Input sheet(dashboard)'!$D$7,0)</f>
        <v>3186.7310337807357</v>
      </c>
      <c r="H280" s="3">
        <f t="shared" si="37"/>
        <v>29349.808520346822</v>
      </c>
      <c r="I280" s="3">
        <f t="shared" si="38"/>
        <v>2848755.524193408</v>
      </c>
      <c r="J280" s="3">
        <f>IF(B280&lt;='Input sheet(dashboard)'!$D$27*12,'Input sheet(dashboard)'!$D$3*(1+'Input sheet(dashboard)'!$E$24)^B280,0)</f>
        <v>27350879.301867578</v>
      </c>
      <c r="K280" s="3">
        <f>IF(B280&lt;='Input sheet(dashboard)'!$D$27*12,J280*'Input sheet(dashboard)'!$E$8,0)</f>
        <v>28328.564235405145</v>
      </c>
      <c r="L280" s="3">
        <f>IF(B280&lt;='Input sheet(dashboard)'!$D$27*12,'Input sheet(dashboard)'!$D$9*(1+'Input sheet(dashboard)'!$E$22)^B280,0)</f>
        <v>5304.7364748166483</v>
      </c>
      <c r="M280" s="3">
        <f>IF(B280=1,'Input sheet(dashboard)'!$D$3*'Input sheet(dashboard)'!$D$10,0)</f>
        <v>0</v>
      </c>
      <c r="N280" s="3">
        <f>IF(B280='Input sheet(dashboard)'!$D$27*12,J280*'Input sheet(dashboard)'!$D$11,0)</f>
        <v>0</v>
      </c>
      <c r="O280" s="3">
        <f>IF(SUM(F280:F291)&gt;=150000,150000/12*'Input sheet(dashboard)'!$D$28,SUM(F280:F291)/12*'Input sheet(dashboard)'!$D$28)</f>
        <v>1483.3645419104587</v>
      </c>
      <c r="P280" s="3">
        <f t="shared" si="42"/>
        <v>0</v>
      </c>
      <c r="Q280" s="3">
        <f>IF(B280&lt;='Input sheet(dashboard)'!$D$27*12,'Input sheet(dashboard)'!$D$12/12,0)</f>
        <v>192.5</v>
      </c>
      <c r="R280" s="3">
        <f>IF(B280&lt;='Input sheet(dashboard)'!$D$27*12,('Input sheet(dashboard)'!$D$15/12)*(1+'Input sheet(dashboard)'!$E$22)^Calculations!B280,0)</f>
        <v>589.4151638685164</v>
      </c>
      <c r="S280" s="3">
        <f>IF(B280&lt;='Input sheet(dashboard)'!$D$27*12,(E280+G280+K280+L280-O280+M280+Q280+R280),0)</f>
        <v>75952.720288219774</v>
      </c>
      <c r="T280" s="3">
        <f>IF(B280&lt;='Input sheet(dashboard)'!$D$27*12,IF(D280=12,SUM(S269:S280),0),0)</f>
        <v>0</v>
      </c>
      <c r="U280" s="3">
        <f>IF(B280&lt;='Input sheet(dashboard)'!$D$27*12,IF(S280&lt;AD280,AD280-S280,0),0)</f>
        <v>3615.1026088331128</v>
      </c>
      <c r="V280" s="3">
        <f>IF(B280&lt;='Input sheet(dashboard)'!$D$27*12,V279*(1+'Input sheet(dashboard)'!$E$25)+U280,0)</f>
        <v>63372.197197597343</v>
      </c>
      <c r="W280" s="17">
        <f>IF(B280&lt;='Input sheet(dashboard)'!$D$27*12,J280-I280+V280-N280,0)</f>
        <v>24565495.974871766</v>
      </c>
      <c r="X280" s="3">
        <f>IF(B280&lt;='Input sheet(dashboard)'!$D$27*12,'Input sheet(dashboard)'!$D$17*(1+'Input sheet(dashboard)'!$E$23)^(B280-1),0)</f>
        <v>79567.822897052887</v>
      </c>
      <c r="Y280" s="3"/>
      <c r="Z280" s="18"/>
      <c r="AA280" s="18"/>
      <c r="AB280" s="3">
        <f>IF(B280=1,'Input sheet(dashboard)'!$D$18*Calculations!X280,IF(Calculations!B280=12*'Input sheet(dashboard)'!$D$27,'Input sheet(dashboard)'!$D$18*-Calculations!X280,0))</f>
        <v>0</v>
      </c>
      <c r="AC280" s="3">
        <f>IF(B280&lt;='Input sheet(dashboard)'!$D$27*12,IF(MOD(B279,'Input sheet(dashboard)'!$D$19*12),0,'Input sheet(dashboard)'!$D$20*(1+'Input sheet(dashboard)'!$E$22)^Calculations!B280),0)</f>
        <v>0</v>
      </c>
      <c r="AD280" s="17">
        <f t="shared" si="39"/>
        <v>79567.822897052887</v>
      </c>
      <c r="AE280" s="17">
        <f>IF(B280&lt;='Input sheet(dashboard)'!$D$27*12,IF(D280=12,SUM(AD269:AD280),0),0)</f>
        <v>0</v>
      </c>
      <c r="AF280" s="17">
        <f t="shared" si="40"/>
        <v>-3615.1026088331128</v>
      </c>
      <c r="AG280" s="17">
        <f t="shared" si="41"/>
        <v>0</v>
      </c>
      <c r="AH280" s="3">
        <f>IF(B280&lt;='Input sheet(dashboard)'!$D$27*12,AH279*(1+'Input sheet(dashboard)'!$E$25)+AG280," ")</f>
        <v>20132916.698756617</v>
      </c>
    </row>
    <row r="281" spans="2:34">
      <c r="B281">
        <f t="shared" si="36"/>
        <v>278</v>
      </c>
      <c r="C281">
        <f t="shared" si="43"/>
        <v>24</v>
      </c>
      <c r="D281">
        <f t="shared" si="44"/>
        <v>2</v>
      </c>
      <c r="E281" s="15">
        <f>IF(C281&lt;='Input sheet(dashboard)'!$D$6, -PMT('Input sheet(dashboard)'!$E$5,'Input sheet(dashboard)'!$D$6*12,'Input sheet(dashboard)'!$D$3*'Input sheet(dashboard)'!$D$4),0)</f>
        <v>39834.137922259193</v>
      </c>
      <c r="F281" s="3">
        <f>I280*'Input sheet(dashboard)'!$E$5</f>
        <v>10377.414252938224</v>
      </c>
      <c r="G281" s="3">
        <f>IF(C281&lt;='Input sheet(dashboard)'!$D$6,E281*'Input sheet(dashboard)'!$D$7,0)</f>
        <v>3186.7310337807357</v>
      </c>
      <c r="H281" s="3">
        <f t="shared" si="37"/>
        <v>29456.723669320971</v>
      </c>
      <c r="I281" s="3">
        <f t="shared" si="38"/>
        <v>2819298.8005240872</v>
      </c>
      <c r="J281" s="3">
        <f>IF(B281&lt;='Input sheet(dashboard)'!$D$27*12,'Input sheet(dashboard)'!$D$3*(1+'Input sheet(dashboard)'!$E$24)^B281,0)</f>
        <v>27462310.169735011</v>
      </c>
      <c r="K281" s="3">
        <f>IF(B281&lt;='Input sheet(dashboard)'!$D$27*12,J281*'Input sheet(dashboard)'!$E$8,0)</f>
        <v>28443.978312713218</v>
      </c>
      <c r="L281" s="3">
        <f>IF(B281&lt;='Input sheet(dashboard)'!$D$27*12,'Input sheet(dashboard)'!$D$9*(1+'Input sheet(dashboard)'!$E$22)^B281,0)</f>
        <v>5315.6633634094333</v>
      </c>
      <c r="M281" s="3">
        <f>IF(B281=1,'Input sheet(dashboard)'!$D$3*'Input sheet(dashboard)'!$D$10,0)</f>
        <v>0</v>
      </c>
      <c r="N281" s="3">
        <f>IF(B281='Input sheet(dashboard)'!$D$27*12,J281*'Input sheet(dashboard)'!$D$11,0)</f>
        <v>0</v>
      </c>
      <c r="O281" s="3">
        <f>IF(SUM(F281:F292)&gt;=150000,150000/12*'Input sheet(dashboard)'!$D$28,SUM(F281:F292)/12*'Input sheet(dashboard)'!$D$28)</f>
        <v>1467.0020236603655</v>
      </c>
      <c r="P281" s="3">
        <f t="shared" si="42"/>
        <v>0</v>
      </c>
      <c r="Q281" s="3">
        <f>IF(B281&lt;='Input sheet(dashboard)'!$D$27*12,'Input sheet(dashboard)'!$D$12/12,0)</f>
        <v>192.5</v>
      </c>
      <c r="R281" s="3">
        <f>IF(B281&lt;='Input sheet(dashboard)'!$D$27*12,('Input sheet(dashboard)'!$D$15/12)*(1+'Input sheet(dashboard)'!$E$22)^Calculations!B281,0)</f>
        <v>590.62926260104814</v>
      </c>
      <c r="S281" s="3">
        <f>IF(B281&lt;='Input sheet(dashboard)'!$D$27*12,(E281+G281+K281+L281-O281+M281+Q281+R281),0)</f>
        <v>76096.637871103274</v>
      </c>
      <c r="T281" s="3">
        <f>IF(B281&lt;='Input sheet(dashboard)'!$D$27*12,IF(D281=12,SUM(S270:S281),0),0)</f>
        <v>0</v>
      </c>
      <c r="U281" s="3">
        <f>IF(B281&lt;='Input sheet(dashboard)'!$D$27*12,IF(S281&lt;AD281,AD281-S281,0),0)</f>
        <v>3795.3541856276133</v>
      </c>
      <c r="V281" s="3">
        <f>IF(B281&lt;='Input sheet(dashboard)'!$D$27*12,V280*(1+'Input sheet(dashboard)'!$E$25)+U281,0)</f>
        <v>67575.290008131371</v>
      </c>
      <c r="W281" s="17">
        <f>IF(B281&lt;='Input sheet(dashboard)'!$D$27*12,J281-I281+V281-N281,0)</f>
        <v>24710586.659219056</v>
      </c>
      <c r="X281" s="3">
        <f>IF(B281&lt;='Input sheet(dashboard)'!$D$27*12,'Input sheet(dashboard)'!$D$17*(1+'Input sheet(dashboard)'!$E$23)^(B281-1),0)</f>
        <v>79891.992056730887</v>
      </c>
      <c r="Y281" s="3"/>
      <c r="Z281" s="18"/>
      <c r="AA281" s="18"/>
      <c r="AB281" s="3">
        <f>IF(B281=1,'Input sheet(dashboard)'!$D$18*Calculations!X281,IF(Calculations!B281=12*'Input sheet(dashboard)'!$D$27,'Input sheet(dashboard)'!$D$18*-Calculations!X281,0))</f>
        <v>0</v>
      </c>
      <c r="AC281" s="3">
        <f>IF(B281&lt;='Input sheet(dashboard)'!$D$27*12,IF(MOD(B280,'Input sheet(dashboard)'!$D$19*12),0,'Input sheet(dashboard)'!$D$20*(1+'Input sheet(dashboard)'!$E$22)^Calculations!B281),0)</f>
        <v>0</v>
      </c>
      <c r="AD281" s="17">
        <f t="shared" si="39"/>
        <v>79891.992056730887</v>
      </c>
      <c r="AE281" s="17">
        <f>IF(B281&lt;='Input sheet(dashboard)'!$D$27*12,IF(D281=12,SUM(AD270:AD281),0),0)</f>
        <v>0</v>
      </c>
      <c r="AF281" s="17">
        <f t="shared" si="40"/>
        <v>-3795.3541856276133</v>
      </c>
      <c r="AG281" s="17">
        <f t="shared" si="41"/>
        <v>0</v>
      </c>
      <c r="AH281" s="3">
        <f>IF(B281&lt;='Input sheet(dashboard)'!$D$27*12,AH280*(1+'Input sheet(dashboard)'!$E$25)+AG281," ")</f>
        <v>20262452.490998607</v>
      </c>
    </row>
    <row r="282" spans="2:34">
      <c r="B282">
        <f t="shared" si="36"/>
        <v>279</v>
      </c>
      <c r="C282">
        <f t="shared" si="43"/>
        <v>24</v>
      </c>
      <c r="D282">
        <f t="shared" si="44"/>
        <v>3</v>
      </c>
      <c r="E282" s="15">
        <f>IF(C282&lt;='Input sheet(dashboard)'!$D$6, -PMT('Input sheet(dashboard)'!$E$5,'Input sheet(dashboard)'!$D$6*12,'Input sheet(dashboard)'!$D$3*'Input sheet(dashboard)'!$D$4),0)</f>
        <v>39834.137922259193</v>
      </c>
      <c r="F282" s="3">
        <f>I281*'Input sheet(dashboard)'!$E$5</f>
        <v>10270.109634674282</v>
      </c>
      <c r="G282" s="3">
        <f>IF(C282&lt;='Input sheet(dashboard)'!$D$6,E282*'Input sheet(dashboard)'!$D$7,0)</f>
        <v>3186.7310337807357</v>
      </c>
      <c r="H282" s="3">
        <f t="shared" si="37"/>
        <v>29564.028287584912</v>
      </c>
      <c r="I282" s="3">
        <f t="shared" si="38"/>
        <v>2789734.7722365023</v>
      </c>
      <c r="J282" s="3">
        <f>IF(B282&lt;='Input sheet(dashboard)'!$D$27*12,'Input sheet(dashboard)'!$D$3*(1+'Input sheet(dashboard)'!$E$24)^B282,0)</f>
        <v>27574195.020751458</v>
      </c>
      <c r="K282" s="3">
        <f>IF(B282&lt;='Input sheet(dashboard)'!$D$27*12,J282*'Input sheet(dashboard)'!$E$8,0)</f>
        <v>28559.862601258621</v>
      </c>
      <c r="L282" s="3">
        <f>IF(B282&lt;='Input sheet(dashboard)'!$D$27*12,'Input sheet(dashboard)'!$D$9*(1+'Input sheet(dashboard)'!$E$22)^B282,0)</f>
        <v>5326.6127596036595</v>
      </c>
      <c r="M282" s="3">
        <f>IF(B282=1,'Input sheet(dashboard)'!$D$3*'Input sheet(dashboard)'!$D$10,0)</f>
        <v>0</v>
      </c>
      <c r="N282" s="3">
        <f>IF(B282='Input sheet(dashboard)'!$D$27*12,J282*'Input sheet(dashboard)'!$D$11,0)</f>
        <v>0</v>
      </c>
      <c r="O282" s="3">
        <f>IF(SUM(F282:F293)&gt;=150000,150000/12*'Input sheet(dashboard)'!$D$28,SUM(F282:F293)/12*'Input sheet(dashboard)'!$D$28)</f>
        <v>1450.5799002147187</v>
      </c>
      <c r="P282" s="3">
        <f t="shared" si="42"/>
        <v>0</v>
      </c>
      <c r="Q282" s="3">
        <f>IF(B282&lt;='Input sheet(dashboard)'!$D$27*12,'Input sheet(dashboard)'!$D$12/12,0)</f>
        <v>192.5</v>
      </c>
      <c r="R282" s="3">
        <f>IF(B282&lt;='Input sheet(dashboard)'!$D$27*12,('Input sheet(dashboard)'!$D$15/12)*(1+'Input sheet(dashboard)'!$E$22)^Calculations!B282,0)</f>
        <v>591.84586217818435</v>
      </c>
      <c r="S282" s="3">
        <f>IF(B282&lt;='Input sheet(dashboard)'!$D$27*12,(E282+G282+K282+L282-O282+M282+Q282+R282),0)</f>
        <v>76241.110278865672</v>
      </c>
      <c r="T282" s="3">
        <f>IF(B282&lt;='Input sheet(dashboard)'!$D$27*12,IF(D282=12,SUM(S271:S282),0),0)</f>
        <v>0</v>
      </c>
      <c r="U282" s="3">
        <f>IF(B282&lt;='Input sheet(dashboard)'!$D$27*12,IF(S282&lt;AD282,AD282-S282,0),0)</f>
        <v>3976.3716428265907</v>
      </c>
      <c r="V282" s="3">
        <f>IF(B282&lt;='Input sheet(dashboard)'!$D$27*12,V281*(1+'Input sheet(dashboard)'!$E$25)+U282,0)</f>
        <v>71986.443101562487</v>
      </c>
      <c r="W282" s="17">
        <f>IF(B282&lt;='Input sheet(dashboard)'!$D$27*12,J282-I282+V282-N282,0)</f>
        <v>24856446.691616517</v>
      </c>
      <c r="X282" s="3">
        <f>IF(B282&lt;='Input sheet(dashboard)'!$D$27*12,'Input sheet(dashboard)'!$D$17*(1+'Input sheet(dashboard)'!$E$23)^(B282-1),0)</f>
        <v>80217.481921692262</v>
      </c>
      <c r="Y282" s="3"/>
      <c r="Z282" s="18"/>
      <c r="AA282" s="18"/>
      <c r="AB282" s="3">
        <f>IF(B282=1,'Input sheet(dashboard)'!$D$18*Calculations!X282,IF(Calculations!B282=12*'Input sheet(dashboard)'!$D$27,'Input sheet(dashboard)'!$D$18*-Calculations!X282,0))</f>
        <v>0</v>
      </c>
      <c r="AC282" s="3">
        <f>IF(B282&lt;='Input sheet(dashboard)'!$D$27*12,IF(MOD(B281,'Input sheet(dashboard)'!$D$19*12),0,'Input sheet(dashboard)'!$D$20*(1+'Input sheet(dashboard)'!$E$22)^Calculations!B282),0)</f>
        <v>0</v>
      </c>
      <c r="AD282" s="17">
        <f t="shared" si="39"/>
        <v>80217.481921692262</v>
      </c>
      <c r="AE282" s="17">
        <f>IF(B282&lt;='Input sheet(dashboard)'!$D$27*12,IF(D282=12,SUM(AD271:AD282),0),0)</f>
        <v>0</v>
      </c>
      <c r="AF282" s="17">
        <f t="shared" si="40"/>
        <v>-3976.3716428265907</v>
      </c>
      <c r="AG282" s="17">
        <f t="shared" si="41"/>
        <v>0</v>
      </c>
      <c r="AH282" s="3">
        <f>IF(B282&lt;='Input sheet(dashboard)'!$D$27*12,AH281*(1+'Input sheet(dashboard)'!$E$25)+AG282," ")</f>
        <v>20392821.720428206</v>
      </c>
    </row>
    <row r="283" spans="2:34">
      <c r="B283">
        <f t="shared" si="36"/>
        <v>280</v>
      </c>
      <c r="C283">
        <f t="shared" si="43"/>
        <v>24</v>
      </c>
      <c r="D283">
        <f t="shared" si="44"/>
        <v>4</v>
      </c>
      <c r="E283" s="15">
        <f>IF(C283&lt;='Input sheet(dashboard)'!$D$6, -PMT('Input sheet(dashboard)'!$E$5,'Input sheet(dashboard)'!$D$6*12,'Input sheet(dashboard)'!$D$3*'Input sheet(dashboard)'!$D$4),0)</f>
        <v>39834.137922259193</v>
      </c>
      <c r="F283" s="3">
        <f>I282*'Input sheet(dashboard)'!$E$5</f>
        <v>10162.414128366236</v>
      </c>
      <c r="G283" s="3">
        <f>IF(C283&lt;='Input sheet(dashboard)'!$D$6,E283*'Input sheet(dashboard)'!$D$7,0)</f>
        <v>3186.7310337807357</v>
      </c>
      <c r="H283" s="3">
        <f t="shared" si="37"/>
        <v>29671.723793892957</v>
      </c>
      <c r="I283" s="3">
        <f t="shared" si="38"/>
        <v>2760063.0484426091</v>
      </c>
      <c r="J283" s="3">
        <f>IF(B283&lt;='Input sheet(dashboard)'!$D$27*12,'Input sheet(dashboard)'!$D$3*(1+'Input sheet(dashboard)'!$E$24)^B283,0)</f>
        <v>27686535.704500463</v>
      </c>
      <c r="K283" s="3">
        <f>IF(B283&lt;='Input sheet(dashboard)'!$D$27*12,J283*'Input sheet(dashboard)'!$E$8,0)</f>
        <v>28676.219016740142</v>
      </c>
      <c r="L283" s="3">
        <f>IF(B283&lt;='Input sheet(dashboard)'!$D$27*12,'Input sheet(dashboard)'!$D$9*(1+'Input sheet(dashboard)'!$E$22)^B283,0)</f>
        <v>5337.5847097612977</v>
      </c>
      <c r="M283" s="3">
        <f>IF(B283=1,'Input sheet(dashboard)'!$D$3*'Input sheet(dashboard)'!$D$10,0)</f>
        <v>0</v>
      </c>
      <c r="N283" s="3">
        <f>IF(B283='Input sheet(dashboard)'!$D$27*12,J283*'Input sheet(dashboard)'!$D$11,0)</f>
        <v>0</v>
      </c>
      <c r="O283" s="3">
        <f>IF(SUM(F283:F294)&gt;=150000,150000/12*'Input sheet(dashboard)'!$D$28,SUM(F283:F294)/12*'Input sheet(dashboard)'!$D$28)</f>
        <v>1434.0979544443901</v>
      </c>
      <c r="P283" s="3">
        <f t="shared" si="42"/>
        <v>0</v>
      </c>
      <c r="Q283" s="3">
        <f>IF(B283&lt;='Input sheet(dashboard)'!$D$27*12,'Input sheet(dashboard)'!$D$12/12,0)</f>
        <v>192.5</v>
      </c>
      <c r="R283" s="3">
        <f>IF(B283&lt;='Input sheet(dashboard)'!$D$27*12,('Input sheet(dashboard)'!$D$15/12)*(1+'Input sheet(dashboard)'!$E$22)^Calculations!B283,0)</f>
        <v>593.06496775125527</v>
      </c>
      <c r="S283" s="3">
        <f>IF(B283&lt;='Input sheet(dashboard)'!$D$27*12,(E283+G283+K283+L283-O283+M283+Q283+R283),0)</f>
        <v>76386.139695848251</v>
      </c>
      <c r="T283" s="3">
        <f>IF(B283&lt;='Input sheet(dashboard)'!$D$27*12,IF(D283=12,SUM(S272:S283),0),0)</f>
        <v>0</v>
      </c>
      <c r="U283" s="3">
        <f>IF(B283&lt;='Input sheet(dashboard)'!$D$27*12,IF(S283&lt;AD283,AD283-S283,0),0)</f>
        <v>4158.1581768055621</v>
      </c>
      <c r="V283" s="3">
        <f>IF(B283&lt;='Input sheet(dashboard)'!$D$27*12,V282*(1+'Input sheet(dashboard)'!$E$25)+U283,0)</f>
        <v>76607.764220795551</v>
      </c>
      <c r="W283" s="17">
        <f>IF(B283&lt;='Input sheet(dashboard)'!$D$27*12,J283-I283+V283-N283,0)</f>
        <v>25003080.42027865</v>
      </c>
      <c r="X283" s="3">
        <f>IF(B283&lt;='Input sheet(dashboard)'!$D$27*12,'Input sheet(dashboard)'!$D$17*(1+'Input sheet(dashboard)'!$E$23)^(B283-1),0)</f>
        <v>80544.297872653813</v>
      </c>
      <c r="Y283" s="3"/>
      <c r="Z283" s="18"/>
      <c r="AA283" s="18"/>
      <c r="AB283" s="3">
        <f>IF(B283=1,'Input sheet(dashboard)'!$D$18*Calculations!X283,IF(Calculations!B283=12*'Input sheet(dashboard)'!$D$27,'Input sheet(dashboard)'!$D$18*-Calculations!X283,0))</f>
        <v>0</v>
      </c>
      <c r="AC283" s="3">
        <f>IF(B283&lt;='Input sheet(dashboard)'!$D$27*12,IF(MOD(B282,'Input sheet(dashboard)'!$D$19*12),0,'Input sheet(dashboard)'!$D$20*(1+'Input sheet(dashboard)'!$E$22)^Calculations!B283),0)</f>
        <v>0</v>
      </c>
      <c r="AD283" s="17">
        <f t="shared" si="39"/>
        <v>80544.297872653813</v>
      </c>
      <c r="AE283" s="17">
        <f>IF(B283&lt;='Input sheet(dashboard)'!$D$27*12,IF(D283=12,SUM(AD272:AD283),0),0)</f>
        <v>0</v>
      </c>
      <c r="AF283" s="17">
        <f t="shared" si="40"/>
        <v>-4158.1581768055621</v>
      </c>
      <c r="AG283" s="17">
        <f t="shared" si="41"/>
        <v>0</v>
      </c>
      <c r="AH283" s="3">
        <f>IF(B283&lt;='Input sheet(dashboard)'!$D$27*12,AH282*(1+'Input sheet(dashboard)'!$E$25)+AG283," ")</f>
        <v>20524029.749405373</v>
      </c>
    </row>
    <row r="284" spans="2:34">
      <c r="B284">
        <f t="shared" si="36"/>
        <v>281</v>
      </c>
      <c r="C284">
        <f t="shared" si="43"/>
        <v>24</v>
      </c>
      <c r="D284">
        <f t="shared" si="44"/>
        <v>5</v>
      </c>
      <c r="E284" s="15">
        <f>IF(C284&lt;='Input sheet(dashboard)'!$D$6, -PMT('Input sheet(dashboard)'!$E$5,'Input sheet(dashboard)'!$D$6*12,'Input sheet(dashboard)'!$D$3*'Input sheet(dashboard)'!$D$4),0)</f>
        <v>39834.137922259193</v>
      </c>
      <c r="F284" s="3">
        <f>I283*'Input sheet(dashboard)'!$E$5</f>
        <v>10054.326310091561</v>
      </c>
      <c r="G284" s="3">
        <f>IF(C284&lt;='Input sheet(dashboard)'!$D$6,E284*'Input sheet(dashboard)'!$D$7,0)</f>
        <v>3186.7310337807357</v>
      </c>
      <c r="H284" s="3">
        <f t="shared" si="37"/>
        <v>29779.811612167632</v>
      </c>
      <c r="I284" s="3">
        <f t="shared" si="38"/>
        <v>2730283.2368304413</v>
      </c>
      <c r="J284" s="3">
        <f>IF(B284&lt;='Input sheet(dashboard)'!$D$27*12,'Input sheet(dashboard)'!$D$3*(1+'Input sheet(dashboard)'!$E$24)^B284,0)</f>
        <v>27799334.078101002</v>
      </c>
      <c r="K284" s="3">
        <f>IF(B284&lt;='Input sheet(dashboard)'!$D$27*12,J284*'Input sheet(dashboard)'!$E$8,0)</f>
        <v>28793.049482661358</v>
      </c>
      <c r="L284" s="3">
        <f>IF(B284&lt;='Input sheet(dashboard)'!$D$27*12,'Input sheet(dashboard)'!$D$9*(1+'Input sheet(dashboard)'!$E$22)^B284,0)</f>
        <v>5348.5792603398222</v>
      </c>
      <c r="M284" s="3">
        <f>IF(B284=1,'Input sheet(dashboard)'!$D$3*'Input sheet(dashboard)'!$D$10,0)</f>
        <v>0</v>
      </c>
      <c r="N284" s="3">
        <f>IF(B284='Input sheet(dashboard)'!$D$27*12,J284*'Input sheet(dashboard)'!$D$11,0)</f>
        <v>0</v>
      </c>
      <c r="O284" s="3">
        <f>IF(SUM(F284:F295)&gt;=150000,150000/12*'Input sheet(dashboard)'!$D$28,SUM(F284:F295)/12*'Input sheet(dashboard)'!$D$28)</f>
        <v>1417.5559684292948</v>
      </c>
      <c r="P284" s="3">
        <f t="shared" si="42"/>
        <v>0</v>
      </c>
      <c r="Q284" s="3">
        <f>IF(B284&lt;='Input sheet(dashboard)'!$D$27*12,'Input sheet(dashboard)'!$D$12/12,0)</f>
        <v>192.5</v>
      </c>
      <c r="R284" s="3">
        <f>IF(B284&lt;='Input sheet(dashboard)'!$D$27*12,('Input sheet(dashboard)'!$D$15/12)*(1+'Input sheet(dashboard)'!$E$22)^Calculations!B284,0)</f>
        <v>594.28658448220244</v>
      </c>
      <c r="S284" s="3">
        <f>IF(B284&lt;='Input sheet(dashboard)'!$D$27*12,(E284+G284+K284+L284-O284+M284+Q284+R284),0)</f>
        <v>76531.728315094006</v>
      </c>
      <c r="T284" s="3">
        <f>IF(B284&lt;='Input sheet(dashboard)'!$D$27*12,IF(D284=12,SUM(S273:S284),0),0)</f>
        <v>0</v>
      </c>
      <c r="U284" s="3">
        <f>IF(B284&lt;='Input sheet(dashboard)'!$D$27*12,IF(S284&lt;AD284,AD284-S284,0),0)</f>
        <v>4340.7169971600524</v>
      </c>
      <c r="V284" s="3">
        <f>IF(B284&lt;='Input sheet(dashboard)'!$D$27*12,V283*(1+'Input sheet(dashboard)'!$E$25)+U284,0)</f>
        <v>81441.37787961225</v>
      </c>
      <c r="W284" s="17">
        <f>IF(B284&lt;='Input sheet(dashboard)'!$D$27*12,J284-I284+V284-N284,0)</f>
        <v>25150492.219150171</v>
      </c>
      <c r="X284" s="3">
        <f>IF(B284&lt;='Input sheet(dashboard)'!$D$27*12,'Input sheet(dashboard)'!$D$17*(1+'Input sheet(dashboard)'!$E$23)^(B284-1),0)</f>
        <v>80872.445312254058</v>
      </c>
      <c r="Y284" s="3"/>
      <c r="Z284" s="18"/>
      <c r="AA284" s="18"/>
      <c r="AB284" s="3">
        <f>IF(B284=1,'Input sheet(dashboard)'!$D$18*Calculations!X284,IF(Calculations!B284=12*'Input sheet(dashboard)'!$D$27,'Input sheet(dashboard)'!$D$18*-Calculations!X284,0))</f>
        <v>0</v>
      </c>
      <c r="AC284" s="3">
        <f>IF(B284&lt;='Input sheet(dashboard)'!$D$27*12,IF(MOD(B283,'Input sheet(dashboard)'!$D$19*12),0,'Input sheet(dashboard)'!$D$20*(1+'Input sheet(dashboard)'!$E$22)^Calculations!B284),0)</f>
        <v>0</v>
      </c>
      <c r="AD284" s="17">
        <f t="shared" si="39"/>
        <v>80872.445312254058</v>
      </c>
      <c r="AE284" s="17">
        <f>IF(B284&lt;='Input sheet(dashboard)'!$D$27*12,IF(D284=12,SUM(AD273:AD284),0),0)</f>
        <v>0</v>
      </c>
      <c r="AF284" s="17">
        <f t="shared" si="40"/>
        <v>-4340.7169971600524</v>
      </c>
      <c r="AG284" s="17">
        <f t="shared" si="41"/>
        <v>0</v>
      </c>
      <c r="AH284" s="3">
        <f>IF(B284&lt;='Input sheet(dashboard)'!$D$27*12,AH283*(1+'Input sheet(dashboard)'!$E$25)+AG284," ")</f>
        <v>20656081.974791653</v>
      </c>
    </row>
    <row r="285" spans="2:34">
      <c r="B285">
        <f t="shared" si="36"/>
        <v>282</v>
      </c>
      <c r="C285">
        <f t="shared" si="43"/>
        <v>24</v>
      </c>
      <c r="D285">
        <f t="shared" si="44"/>
        <v>6</v>
      </c>
      <c r="E285" s="15">
        <f>IF(C285&lt;='Input sheet(dashboard)'!$D$6, -PMT('Input sheet(dashboard)'!$E$5,'Input sheet(dashboard)'!$D$6*12,'Input sheet(dashboard)'!$D$3*'Input sheet(dashboard)'!$D$4),0)</f>
        <v>39834.137922259193</v>
      </c>
      <c r="F285" s="3">
        <f>I284*'Input sheet(dashboard)'!$E$5</f>
        <v>9945.8447507406836</v>
      </c>
      <c r="G285" s="3">
        <f>IF(C285&lt;='Input sheet(dashboard)'!$D$6,E285*'Input sheet(dashboard)'!$D$7,0)</f>
        <v>3186.7310337807357</v>
      </c>
      <c r="H285" s="3">
        <f t="shared" si="37"/>
        <v>29888.293171518511</v>
      </c>
      <c r="I285" s="3">
        <f t="shared" si="38"/>
        <v>2700394.9436589228</v>
      </c>
      <c r="J285" s="3">
        <f>IF(B285&lt;='Input sheet(dashboard)'!$D$27*12,'Input sheet(dashboard)'!$D$3*(1+'Input sheet(dashboard)'!$E$24)^B285,0)</f>
        <v>27912592.006238177</v>
      </c>
      <c r="K285" s="3">
        <f>IF(B285&lt;='Input sheet(dashboard)'!$D$27*12,J285*'Input sheet(dashboard)'!$E$8,0)</f>
        <v>28910.355930362428</v>
      </c>
      <c r="L285" s="3">
        <f>IF(B285&lt;='Input sheet(dashboard)'!$D$27*12,'Input sheet(dashboard)'!$D$9*(1+'Input sheet(dashboard)'!$E$22)^B285,0)</f>
        <v>5359.5964578923986</v>
      </c>
      <c r="M285" s="3">
        <f>IF(B285=1,'Input sheet(dashboard)'!$D$3*'Input sheet(dashboard)'!$D$10,0)</f>
        <v>0</v>
      </c>
      <c r="N285" s="3">
        <f>IF(B285='Input sheet(dashboard)'!$D$27*12,J285*'Input sheet(dashboard)'!$D$11,0)</f>
        <v>0</v>
      </c>
      <c r="O285" s="3">
        <f>IF(SUM(F285:F296)&gt;=150000,150000/12*'Input sheet(dashboard)'!$D$28,SUM(F285:F296)/12*'Input sheet(dashboard)'!$D$28)</f>
        <v>1400.9537234555112</v>
      </c>
      <c r="P285" s="3">
        <f t="shared" si="42"/>
        <v>0</v>
      </c>
      <c r="Q285" s="3">
        <f>IF(B285&lt;='Input sheet(dashboard)'!$D$27*12,'Input sheet(dashboard)'!$D$12/12,0)</f>
        <v>192.5</v>
      </c>
      <c r="R285" s="3">
        <f>IF(B285&lt;='Input sheet(dashboard)'!$D$27*12,('Input sheet(dashboard)'!$D$15/12)*(1+'Input sheet(dashboard)'!$E$22)^Calculations!B285,0)</f>
        <v>595.51071754359987</v>
      </c>
      <c r="S285" s="3">
        <f>IF(B285&lt;='Input sheet(dashboard)'!$D$27*12,(E285+G285+K285+L285-O285+M285+Q285+R285),0)</f>
        <v>76677.878338382841</v>
      </c>
      <c r="T285" s="3">
        <f>IF(B285&lt;='Input sheet(dashboard)'!$D$27*12,IF(D285=12,SUM(S274:S285),0),0)</f>
        <v>0</v>
      </c>
      <c r="U285" s="3">
        <f>IF(B285&lt;='Input sheet(dashboard)'!$D$27*12,IF(S285&lt;AD285,AD285-S285,0),0)</f>
        <v>4524.0513267596834</v>
      </c>
      <c r="V285" s="3">
        <f>IF(B285&lt;='Input sheet(dashboard)'!$D$27*12,V284*(1+'Input sheet(dashboard)'!$E$25)+U285,0)</f>
        <v>86489.425483849525</v>
      </c>
      <c r="W285" s="17">
        <f>IF(B285&lt;='Input sheet(dashboard)'!$D$27*12,J285-I285+V285-N285,0)</f>
        <v>25298686.488063104</v>
      </c>
      <c r="X285" s="3">
        <f>IF(B285&lt;='Input sheet(dashboard)'!$D$27*12,'Input sheet(dashboard)'!$D$17*(1+'Input sheet(dashboard)'!$E$23)^(B285-1),0)</f>
        <v>81201.929665142525</v>
      </c>
      <c r="Y285" s="3"/>
      <c r="Z285" s="18"/>
      <c r="AA285" s="18"/>
      <c r="AB285" s="3">
        <f>IF(B285=1,'Input sheet(dashboard)'!$D$18*Calculations!X285,IF(Calculations!B285=12*'Input sheet(dashboard)'!$D$27,'Input sheet(dashboard)'!$D$18*-Calculations!X285,0))</f>
        <v>0</v>
      </c>
      <c r="AC285" s="3">
        <f>IF(B285&lt;='Input sheet(dashboard)'!$D$27*12,IF(MOD(B284,'Input sheet(dashboard)'!$D$19*12),0,'Input sheet(dashboard)'!$D$20*(1+'Input sheet(dashboard)'!$E$22)^Calculations!B285),0)</f>
        <v>0</v>
      </c>
      <c r="AD285" s="17">
        <f t="shared" si="39"/>
        <v>81201.929665142525</v>
      </c>
      <c r="AE285" s="17">
        <f>IF(B285&lt;='Input sheet(dashboard)'!$D$27*12,IF(D285=12,SUM(AD274:AD285),0),0)</f>
        <v>0</v>
      </c>
      <c r="AF285" s="17">
        <f t="shared" si="40"/>
        <v>-4524.0513267596834</v>
      </c>
      <c r="AG285" s="17">
        <f t="shared" si="41"/>
        <v>0</v>
      </c>
      <c r="AH285" s="3">
        <f>IF(B285&lt;='Input sheet(dashboard)'!$D$27*12,AH284*(1+'Input sheet(dashboard)'!$E$25)+AG285," ")</f>
        <v>20788983.828172162</v>
      </c>
    </row>
    <row r="286" spans="2:34">
      <c r="B286">
        <f t="shared" si="36"/>
        <v>283</v>
      </c>
      <c r="C286">
        <f t="shared" si="43"/>
        <v>24</v>
      </c>
      <c r="D286">
        <f t="shared" si="44"/>
        <v>7</v>
      </c>
      <c r="E286" s="15">
        <f>IF(C286&lt;='Input sheet(dashboard)'!$D$6, -PMT('Input sheet(dashboard)'!$E$5,'Input sheet(dashboard)'!$D$6*12,'Input sheet(dashboard)'!$D$3*'Input sheet(dashboard)'!$D$4),0)</f>
        <v>39834.137922259193</v>
      </c>
      <c r="F286" s="3">
        <f>I285*'Input sheet(dashboard)'!$E$5</f>
        <v>9836.9680159980871</v>
      </c>
      <c r="G286" s="3">
        <f>IF(C286&lt;='Input sheet(dashboard)'!$D$6,E286*'Input sheet(dashboard)'!$D$7,0)</f>
        <v>3186.7310337807357</v>
      </c>
      <c r="H286" s="3">
        <f t="shared" si="37"/>
        <v>29997.169906261108</v>
      </c>
      <c r="I286" s="3">
        <f t="shared" si="38"/>
        <v>2670397.7737526619</v>
      </c>
      <c r="J286" s="3">
        <f>IF(B286&lt;='Input sheet(dashboard)'!$D$27*12,'Input sheet(dashboard)'!$D$3*(1+'Input sheet(dashboard)'!$E$24)^B286,0)</f>
        <v>28026311.361194063</v>
      </c>
      <c r="K286" s="3">
        <f>IF(B286&lt;='Input sheet(dashboard)'!$D$27*12,J286*'Input sheet(dashboard)'!$E$8,0)</f>
        <v>29028.140299052055</v>
      </c>
      <c r="L286" s="3">
        <f>IF(B286&lt;='Input sheet(dashboard)'!$D$27*12,'Input sheet(dashboard)'!$D$9*(1+'Input sheet(dashboard)'!$E$22)^B286,0)</f>
        <v>5370.636349068086</v>
      </c>
      <c r="M286" s="3">
        <f>IF(B286=1,'Input sheet(dashboard)'!$D$3*'Input sheet(dashboard)'!$D$10,0)</f>
        <v>0</v>
      </c>
      <c r="N286" s="3">
        <f>IF(B286='Input sheet(dashboard)'!$D$27*12,J286*'Input sheet(dashboard)'!$D$11,0)</f>
        <v>0</v>
      </c>
      <c r="O286" s="3">
        <f>IF(SUM(F286:F297)&gt;=150000,150000/12*'Input sheet(dashboard)'!$D$28,SUM(F286:F297)/12*'Input sheet(dashboard)'!$D$28)</f>
        <v>1384.2910000123895</v>
      </c>
      <c r="P286" s="3">
        <f t="shared" si="42"/>
        <v>0</v>
      </c>
      <c r="Q286" s="3">
        <f>IF(B286&lt;='Input sheet(dashboard)'!$D$27*12,'Input sheet(dashboard)'!$D$12/12,0)</f>
        <v>192.5</v>
      </c>
      <c r="R286" s="3">
        <f>IF(B286&lt;='Input sheet(dashboard)'!$D$27*12,('Input sheet(dashboard)'!$D$15/12)*(1+'Input sheet(dashboard)'!$E$22)^Calculations!B286,0)</f>
        <v>596.73737211867626</v>
      </c>
      <c r="S286" s="3">
        <f>IF(B286&lt;='Input sheet(dashboard)'!$D$27*12,(E286+G286+K286+L286-O286+M286+Q286+R286),0)</f>
        <v>76824.59197626634</v>
      </c>
      <c r="T286" s="3">
        <f>IF(B286&lt;='Input sheet(dashboard)'!$D$27*12,IF(D286=12,SUM(S275:S286),0),0)</f>
        <v>0</v>
      </c>
      <c r="U286" s="3">
        <f>IF(B286&lt;='Input sheet(dashboard)'!$D$27*12,IF(S286&lt;AD286,AD286-S286,0),0)</f>
        <v>4708.1644018030784</v>
      </c>
      <c r="V286" s="3">
        <f>IF(B286&lt;='Input sheet(dashboard)'!$D$27*12,V285*(1+'Input sheet(dashboard)'!$E$25)+U286,0)</f>
        <v>91754.065453412593</v>
      </c>
      <c r="W286" s="17">
        <f>IF(B286&lt;='Input sheet(dashboard)'!$D$27*12,J286-I286+V286-N286,0)</f>
        <v>25447667.652894814</v>
      </c>
      <c r="X286" s="3">
        <f>IF(B286&lt;='Input sheet(dashboard)'!$D$27*12,'Input sheet(dashboard)'!$D$17*(1+'Input sheet(dashboard)'!$E$23)^(B286-1),0)</f>
        <v>81532.756378069418</v>
      </c>
      <c r="Y286" s="3"/>
      <c r="Z286" s="18"/>
      <c r="AA286" s="18"/>
      <c r="AB286" s="3">
        <f>IF(B286=1,'Input sheet(dashboard)'!$D$18*Calculations!X286,IF(Calculations!B286=12*'Input sheet(dashboard)'!$D$27,'Input sheet(dashboard)'!$D$18*-Calculations!X286,0))</f>
        <v>0</v>
      </c>
      <c r="AC286" s="3">
        <f>IF(B286&lt;='Input sheet(dashboard)'!$D$27*12,IF(MOD(B285,'Input sheet(dashboard)'!$D$19*12),0,'Input sheet(dashboard)'!$D$20*(1+'Input sheet(dashboard)'!$E$22)^Calculations!B286),0)</f>
        <v>0</v>
      </c>
      <c r="AD286" s="17">
        <f t="shared" si="39"/>
        <v>81532.756378069418</v>
      </c>
      <c r="AE286" s="17">
        <f>IF(B286&lt;='Input sheet(dashboard)'!$D$27*12,IF(D286=12,SUM(AD275:AD286),0),0)</f>
        <v>0</v>
      </c>
      <c r="AF286" s="17">
        <f t="shared" si="40"/>
        <v>-4708.1644018030784</v>
      </c>
      <c r="AG286" s="17">
        <f t="shared" si="41"/>
        <v>0</v>
      </c>
      <c r="AH286" s="3">
        <f>IF(B286&lt;='Input sheet(dashboard)'!$D$27*12,AH285*(1+'Input sheet(dashboard)'!$E$25)+AG286," ")</f>
        <v>20922740.776078995</v>
      </c>
    </row>
    <row r="287" spans="2:34">
      <c r="B287">
        <f t="shared" si="36"/>
        <v>284</v>
      </c>
      <c r="C287">
        <f t="shared" si="43"/>
        <v>24</v>
      </c>
      <c r="D287">
        <f t="shared" si="44"/>
        <v>8</v>
      </c>
      <c r="E287" s="15">
        <f>IF(C287&lt;='Input sheet(dashboard)'!$D$6, -PMT('Input sheet(dashboard)'!$E$5,'Input sheet(dashboard)'!$D$6*12,'Input sheet(dashboard)'!$D$3*'Input sheet(dashboard)'!$D$4),0)</f>
        <v>39834.137922259193</v>
      </c>
      <c r="F287" s="3">
        <f>I286*'Input sheet(dashboard)'!$E$5</f>
        <v>9727.6946663233448</v>
      </c>
      <c r="G287" s="3">
        <f>IF(C287&lt;='Input sheet(dashboard)'!$D$6,E287*'Input sheet(dashboard)'!$D$7,0)</f>
        <v>3186.7310337807357</v>
      </c>
      <c r="H287" s="3">
        <f t="shared" si="37"/>
        <v>30106.443255935847</v>
      </c>
      <c r="I287" s="3">
        <f t="shared" si="38"/>
        <v>2640291.3304967261</v>
      </c>
      <c r="J287" s="3">
        <f>IF(B287&lt;='Input sheet(dashboard)'!$D$27*12,'Input sheet(dashboard)'!$D$3*(1+'Input sheet(dashboard)'!$E$24)^B287,0)</f>
        <v>28140494.022878643</v>
      </c>
      <c r="K287" s="3">
        <f>IF(B287&lt;='Input sheet(dashboard)'!$D$27*12,J287*'Input sheet(dashboard)'!$E$8,0)</f>
        <v>29146.404535839509</v>
      </c>
      <c r="L287" s="3">
        <f>IF(B287&lt;='Input sheet(dashboard)'!$D$27*12,'Input sheet(dashboard)'!$D$9*(1+'Input sheet(dashboard)'!$E$22)^B287,0)</f>
        <v>5381.6989806120328</v>
      </c>
      <c r="M287" s="3">
        <f>IF(B287=1,'Input sheet(dashboard)'!$D$3*'Input sheet(dashboard)'!$D$10,0)</f>
        <v>0</v>
      </c>
      <c r="N287" s="3">
        <f>IF(B287='Input sheet(dashboard)'!$D$27*12,J287*'Input sheet(dashboard)'!$D$11,0)</f>
        <v>0</v>
      </c>
      <c r="O287" s="3">
        <f>IF(SUM(F287:F298)&gt;=150000,150000/12*'Input sheet(dashboard)'!$D$28,SUM(F287:F298)/12*'Input sheet(dashboard)'!$D$28)</f>
        <v>1367.5675777896488</v>
      </c>
      <c r="P287" s="3">
        <f t="shared" si="42"/>
        <v>0</v>
      </c>
      <c r="Q287" s="3">
        <f>IF(B287&lt;='Input sheet(dashboard)'!$D$27*12,'Input sheet(dashboard)'!$D$12/12,0)</f>
        <v>192.5</v>
      </c>
      <c r="R287" s="3">
        <f>IF(B287&lt;='Input sheet(dashboard)'!$D$27*12,('Input sheet(dashboard)'!$D$15/12)*(1+'Input sheet(dashboard)'!$E$22)^Calculations!B287,0)</f>
        <v>597.96655340133691</v>
      </c>
      <c r="S287" s="3">
        <f>IF(B287&lt;='Input sheet(dashboard)'!$D$27*12,(E287+G287+K287+L287-O287+M287+Q287+R287),0)</f>
        <v>76971.871448103149</v>
      </c>
      <c r="T287" s="3">
        <f>IF(B287&lt;='Input sheet(dashboard)'!$D$27*12,IF(D287=12,SUM(S276:S287),0),0)</f>
        <v>0</v>
      </c>
      <c r="U287" s="3">
        <f>IF(B287&lt;='Input sheet(dashboard)'!$D$27*12,IF(S287&lt;AD287,AD287-S287,0),0)</f>
        <v>4893.0594718725624</v>
      </c>
      <c r="V287" s="3">
        <f>IF(B287&lt;='Input sheet(dashboard)'!$D$27*12,V286*(1+'Input sheet(dashboard)'!$E$25)+U287,0)</f>
        <v>97237.473345127641</v>
      </c>
      <c r="W287" s="17">
        <f>IF(B287&lt;='Input sheet(dashboard)'!$D$27*12,J287-I287+V287-N287,0)</f>
        <v>25597440.165727045</v>
      </c>
      <c r="X287" s="3">
        <f>IF(B287&lt;='Input sheet(dashboard)'!$D$27*12,'Input sheet(dashboard)'!$D$17*(1+'Input sheet(dashboard)'!$E$23)^(B287-1),0)</f>
        <v>81864.930919975712</v>
      </c>
      <c r="Y287" s="3"/>
      <c r="Z287" s="18"/>
      <c r="AA287" s="18"/>
      <c r="AB287" s="3">
        <f>IF(B287=1,'Input sheet(dashboard)'!$D$18*Calculations!X287,IF(Calculations!B287=12*'Input sheet(dashboard)'!$D$27,'Input sheet(dashboard)'!$D$18*-Calculations!X287,0))</f>
        <v>0</v>
      </c>
      <c r="AC287" s="3">
        <f>IF(B287&lt;='Input sheet(dashboard)'!$D$27*12,IF(MOD(B286,'Input sheet(dashboard)'!$D$19*12),0,'Input sheet(dashboard)'!$D$20*(1+'Input sheet(dashboard)'!$E$22)^Calculations!B287),0)</f>
        <v>0</v>
      </c>
      <c r="AD287" s="17">
        <f t="shared" si="39"/>
        <v>81864.930919975712</v>
      </c>
      <c r="AE287" s="17">
        <f>IF(B287&lt;='Input sheet(dashboard)'!$D$27*12,IF(D287=12,SUM(AD276:AD287),0),0)</f>
        <v>0</v>
      </c>
      <c r="AF287" s="17">
        <f t="shared" si="40"/>
        <v>-4893.0594718725624</v>
      </c>
      <c r="AG287" s="17">
        <f t="shared" si="41"/>
        <v>0</v>
      </c>
      <c r="AH287" s="3">
        <f>IF(B287&lt;='Input sheet(dashboard)'!$D$27*12,AH286*(1+'Input sheet(dashboard)'!$E$25)+AG287," ")</f>
        <v>21057358.320216086</v>
      </c>
    </row>
    <row r="288" spans="2:34">
      <c r="B288">
        <f t="shared" si="36"/>
        <v>285</v>
      </c>
      <c r="C288">
        <f t="shared" si="43"/>
        <v>24</v>
      </c>
      <c r="D288">
        <f t="shared" si="44"/>
        <v>9</v>
      </c>
      <c r="E288" s="15">
        <f>IF(C288&lt;='Input sheet(dashboard)'!$D$6, -PMT('Input sheet(dashboard)'!$E$5,'Input sheet(dashboard)'!$D$6*12,'Input sheet(dashboard)'!$D$3*'Input sheet(dashboard)'!$D$4),0)</f>
        <v>39834.137922259193</v>
      </c>
      <c r="F288" s="3">
        <f>I287*'Input sheet(dashboard)'!$E$5</f>
        <v>9618.023256932087</v>
      </c>
      <c r="G288" s="3">
        <f>IF(C288&lt;='Input sheet(dashboard)'!$D$6,E288*'Input sheet(dashboard)'!$D$7,0)</f>
        <v>3186.7310337807357</v>
      </c>
      <c r="H288" s="3">
        <f t="shared" si="37"/>
        <v>30216.114665327106</v>
      </c>
      <c r="I288" s="3">
        <f t="shared" si="38"/>
        <v>2610075.215831399</v>
      </c>
      <c r="J288" s="3">
        <f>IF(B288&lt;='Input sheet(dashboard)'!$D$27*12,'Input sheet(dashboard)'!$D$3*(1+'Input sheet(dashboard)'!$E$24)^B288,0)</f>
        <v>28255141.878860869</v>
      </c>
      <c r="K288" s="3">
        <f>IF(B288&lt;='Input sheet(dashboard)'!$D$27*12,J288*'Input sheet(dashboard)'!$E$8,0)</f>
        <v>29265.150595766812</v>
      </c>
      <c r="L288" s="3">
        <f>IF(B288&lt;='Input sheet(dashboard)'!$D$27*12,'Input sheet(dashboard)'!$D$9*(1+'Input sheet(dashboard)'!$E$22)^B288,0)</f>
        <v>5392.7843993656716</v>
      </c>
      <c r="M288" s="3">
        <f>IF(B288=1,'Input sheet(dashboard)'!$D$3*'Input sheet(dashboard)'!$D$10,0)</f>
        <v>0</v>
      </c>
      <c r="N288" s="3">
        <f>IF(B288='Input sheet(dashboard)'!$D$27*12,J288*'Input sheet(dashboard)'!$D$11,0)</f>
        <v>0</v>
      </c>
      <c r="O288" s="3">
        <f>IF(SUM(F288:F299)&gt;=150000,150000/12*'Input sheet(dashboard)'!$D$28,SUM(F288:F299)/12*'Input sheet(dashboard)'!$D$28)</f>
        <v>1350.7832356744645</v>
      </c>
      <c r="P288" s="3">
        <f t="shared" si="42"/>
        <v>0</v>
      </c>
      <c r="Q288" s="3">
        <f>IF(B288&lt;='Input sheet(dashboard)'!$D$27*12,'Input sheet(dashboard)'!$D$12/12,0)</f>
        <v>192.5</v>
      </c>
      <c r="R288" s="3">
        <f>IF(B288&lt;='Input sheet(dashboard)'!$D$27*12,('Input sheet(dashboard)'!$D$15/12)*(1+'Input sheet(dashboard)'!$E$22)^Calculations!B288,0)</f>
        <v>599.1982665961857</v>
      </c>
      <c r="S288" s="3">
        <f>IF(B288&lt;='Input sheet(dashboard)'!$D$27*12,(E288+G288+K288+L288-O288+M288+Q288+R288),0)</f>
        <v>77119.718982094128</v>
      </c>
      <c r="T288" s="3">
        <f>IF(B288&lt;='Input sheet(dashboard)'!$D$27*12,IF(D288=12,SUM(S277:S288),0),0)</f>
        <v>0</v>
      </c>
      <c r="U288" s="3">
        <f>IF(B288&lt;='Input sheet(dashboard)'!$D$27*12,IF(S288&lt;AD288,AD288-S288,0),0)</f>
        <v>5078.7397999894019</v>
      </c>
      <c r="V288" s="3">
        <f>IF(B288&lt;='Input sheet(dashboard)'!$D$27*12,V287*(1+'Input sheet(dashboard)'!$E$25)+U288,0)</f>
        <v>102941.84197644025</v>
      </c>
      <c r="W288" s="17">
        <f>IF(B288&lt;='Input sheet(dashboard)'!$D$27*12,J288-I288+V288-N288,0)</f>
        <v>25748008.505005911</v>
      </c>
      <c r="X288" s="3">
        <f>IF(B288&lt;='Input sheet(dashboard)'!$D$27*12,'Input sheet(dashboard)'!$D$17*(1+'Input sheet(dashboard)'!$E$23)^(B288-1),0)</f>
        <v>82198.45878208353</v>
      </c>
      <c r="Y288" s="3"/>
      <c r="Z288" s="18"/>
      <c r="AA288" s="18"/>
      <c r="AB288" s="3">
        <f>IF(B288=1,'Input sheet(dashboard)'!$D$18*Calculations!X288,IF(Calculations!B288=12*'Input sheet(dashboard)'!$D$27,'Input sheet(dashboard)'!$D$18*-Calculations!X288,0))</f>
        <v>0</v>
      </c>
      <c r="AC288" s="3">
        <f>IF(B288&lt;='Input sheet(dashboard)'!$D$27*12,IF(MOD(B287,'Input sheet(dashboard)'!$D$19*12),0,'Input sheet(dashboard)'!$D$20*(1+'Input sheet(dashboard)'!$E$22)^Calculations!B288),0)</f>
        <v>0</v>
      </c>
      <c r="AD288" s="17">
        <f t="shared" si="39"/>
        <v>82198.45878208353</v>
      </c>
      <c r="AE288" s="17">
        <f>IF(B288&lt;='Input sheet(dashboard)'!$D$27*12,IF(D288=12,SUM(AD277:AD288),0),0)</f>
        <v>0</v>
      </c>
      <c r="AF288" s="17">
        <f t="shared" si="40"/>
        <v>-5078.7397999894019</v>
      </c>
      <c r="AG288" s="17">
        <f t="shared" si="41"/>
        <v>0</v>
      </c>
      <c r="AH288" s="3">
        <f>IF(B288&lt;='Input sheet(dashboard)'!$D$27*12,AH287*(1+'Input sheet(dashboard)'!$E$25)+AG288," ")</f>
        <v>21192841.997685488</v>
      </c>
    </row>
    <row r="289" spans="2:34">
      <c r="B289">
        <f t="shared" si="36"/>
        <v>286</v>
      </c>
      <c r="C289">
        <f t="shared" si="43"/>
        <v>24</v>
      </c>
      <c r="D289">
        <f t="shared" si="44"/>
        <v>10</v>
      </c>
      <c r="E289" s="15">
        <f>IF(C289&lt;='Input sheet(dashboard)'!$D$6, -PMT('Input sheet(dashboard)'!$E$5,'Input sheet(dashboard)'!$D$6*12,'Input sheet(dashboard)'!$D$3*'Input sheet(dashboard)'!$D$4),0)</f>
        <v>39834.137922259193</v>
      </c>
      <c r="F289" s="3">
        <f>I288*'Input sheet(dashboard)'!$E$5</f>
        <v>9507.9523377769001</v>
      </c>
      <c r="G289" s="3">
        <f>IF(C289&lt;='Input sheet(dashboard)'!$D$6,E289*'Input sheet(dashboard)'!$D$7,0)</f>
        <v>3186.7310337807357</v>
      </c>
      <c r="H289" s="3">
        <f t="shared" si="37"/>
        <v>30326.185584482293</v>
      </c>
      <c r="I289" s="3">
        <f t="shared" si="38"/>
        <v>2579749.0302469167</v>
      </c>
      <c r="J289" s="3">
        <f>IF(B289&lt;='Input sheet(dashboard)'!$D$27*12,'Input sheet(dashboard)'!$D$3*(1+'Input sheet(dashboard)'!$E$24)^B289,0)</f>
        <v>28370256.824399892</v>
      </c>
      <c r="K289" s="3">
        <f>IF(B289&lt;='Input sheet(dashboard)'!$D$27*12,J289*'Input sheet(dashboard)'!$E$8,0)</f>
        <v>29384.380441841073</v>
      </c>
      <c r="L289" s="3">
        <f>IF(B289&lt;='Input sheet(dashboard)'!$D$27*12,'Input sheet(dashboard)'!$D$9*(1+'Input sheet(dashboard)'!$E$22)^B289,0)</f>
        <v>5403.8926522669281</v>
      </c>
      <c r="M289" s="3">
        <f>IF(B289=1,'Input sheet(dashboard)'!$D$3*'Input sheet(dashboard)'!$D$10,0)</f>
        <v>0</v>
      </c>
      <c r="N289" s="3">
        <f>IF(B289='Input sheet(dashboard)'!$D$27*12,J289*'Input sheet(dashboard)'!$D$11,0)</f>
        <v>0</v>
      </c>
      <c r="O289" s="3">
        <f>IF(SUM(F289:F300)&gt;=150000,150000/12*'Input sheet(dashboard)'!$D$28,SUM(F289:F300)/12*'Input sheet(dashboard)'!$D$28)</f>
        <v>1333.9377517485445</v>
      </c>
      <c r="P289" s="3">
        <f t="shared" si="42"/>
        <v>0</v>
      </c>
      <c r="Q289" s="3">
        <f>IF(B289&lt;='Input sheet(dashboard)'!$D$27*12,'Input sheet(dashboard)'!$D$12/12,0)</f>
        <v>192.5</v>
      </c>
      <c r="R289" s="3">
        <f>IF(B289&lt;='Input sheet(dashboard)'!$D$27*12,('Input sheet(dashboard)'!$D$15/12)*(1+'Input sheet(dashboard)'!$E$22)^Calculations!B289,0)</f>
        <v>600.43251691854744</v>
      </c>
      <c r="S289" s="3">
        <f>IF(B289&lt;='Input sheet(dashboard)'!$D$27*12,(E289+G289+K289+L289-O289+M289+Q289+R289),0)</f>
        <v>77268.136815317936</v>
      </c>
      <c r="T289" s="3">
        <f>IF(B289&lt;='Input sheet(dashboard)'!$D$27*12,IF(D289=12,SUM(S278:S289),0),0)</f>
        <v>0</v>
      </c>
      <c r="U289" s="3">
        <f>IF(B289&lt;='Input sheet(dashboard)'!$D$27*12,IF(S289&lt;AD289,AD289-S289,0),0)</f>
        <v>5265.208662668927</v>
      </c>
      <c r="V289" s="3">
        <f>IF(B289&lt;='Input sheet(dashboard)'!$D$27*12,V288*(1+'Input sheet(dashboard)'!$E$25)+U289,0)</f>
        <v>108869.3815499648</v>
      </c>
      <c r="W289" s="17">
        <f>IF(B289&lt;='Input sheet(dashboard)'!$D$27*12,J289-I289+V289-N289,0)</f>
        <v>25899377.175702941</v>
      </c>
      <c r="X289" s="3">
        <f>IF(B289&lt;='Input sheet(dashboard)'!$D$27*12,'Input sheet(dashboard)'!$D$17*(1+'Input sheet(dashboard)'!$E$23)^(B289-1),0)</f>
        <v>82533.345477986863</v>
      </c>
      <c r="Y289" s="3"/>
      <c r="Z289" s="18"/>
      <c r="AA289" s="18"/>
      <c r="AB289" s="3">
        <f>IF(B289=1,'Input sheet(dashboard)'!$D$18*Calculations!X289,IF(Calculations!B289=12*'Input sheet(dashboard)'!$D$27,'Input sheet(dashboard)'!$D$18*-Calculations!X289,0))</f>
        <v>0</v>
      </c>
      <c r="AC289" s="3">
        <f>IF(B289&lt;='Input sheet(dashboard)'!$D$27*12,IF(MOD(B288,'Input sheet(dashboard)'!$D$19*12),0,'Input sheet(dashboard)'!$D$20*(1+'Input sheet(dashboard)'!$E$22)^Calculations!B289),0)</f>
        <v>0</v>
      </c>
      <c r="AD289" s="17">
        <f t="shared" si="39"/>
        <v>82533.345477986863</v>
      </c>
      <c r="AE289" s="17">
        <f>IF(B289&lt;='Input sheet(dashboard)'!$D$27*12,IF(D289=12,SUM(AD278:AD289),0),0)</f>
        <v>0</v>
      </c>
      <c r="AF289" s="17">
        <f t="shared" si="40"/>
        <v>-5265.208662668927</v>
      </c>
      <c r="AG289" s="17">
        <f t="shared" si="41"/>
        <v>0</v>
      </c>
      <c r="AH289" s="3">
        <f>IF(B289&lt;='Input sheet(dashboard)'!$D$27*12,AH288*(1+'Input sheet(dashboard)'!$E$25)+AG289," ")</f>
        <v>21329197.38121514</v>
      </c>
    </row>
    <row r="290" spans="2:34">
      <c r="B290">
        <f t="shared" si="36"/>
        <v>287</v>
      </c>
      <c r="C290">
        <f t="shared" si="43"/>
        <v>24</v>
      </c>
      <c r="D290">
        <f t="shared" si="44"/>
        <v>11</v>
      </c>
      <c r="E290" s="15">
        <f>IF(C290&lt;='Input sheet(dashboard)'!$D$6, -PMT('Input sheet(dashboard)'!$E$5,'Input sheet(dashboard)'!$D$6*12,'Input sheet(dashboard)'!$D$3*'Input sheet(dashboard)'!$D$4),0)</f>
        <v>39834.137922259193</v>
      </c>
      <c r="F290" s="3">
        <f>I289*'Input sheet(dashboard)'!$E$5</f>
        <v>9397.4804535281601</v>
      </c>
      <c r="G290" s="3">
        <f>IF(C290&lt;='Input sheet(dashboard)'!$D$6,E290*'Input sheet(dashboard)'!$D$7,0)</f>
        <v>3186.7310337807357</v>
      </c>
      <c r="H290" s="3">
        <f t="shared" si="37"/>
        <v>30436.657468731035</v>
      </c>
      <c r="I290" s="3">
        <f t="shared" si="38"/>
        <v>2549312.3727781856</v>
      </c>
      <c r="J290" s="3">
        <f>IF(B290&lt;='Input sheet(dashboard)'!$D$27*12,'Input sheet(dashboard)'!$D$3*(1+'Input sheet(dashboard)'!$E$24)^B290,0)</f>
        <v>28485840.762476396</v>
      </c>
      <c r="K290" s="3">
        <f>IF(B290&lt;='Input sheet(dashboard)'!$D$27*12,J290*'Input sheet(dashboard)'!$E$8,0)</f>
        <v>29504.096045066955</v>
      </c>
      <c r="L290" s="3">
        <f>IF(B290&lt;='Input sheet(dashboard)'!$D$27*12,'Input sheet(dashboard)'!$D$9*(1+'Input sheet(dashboard)'!$E$22)^B290,0)</f>
        <v>5415.0237863504044</v>
      </c>
      <c r="M290" s="3">
        <f>IF(B290=1,'Input sheet(dashboard)'!$D$3*'Input sheet(dashboard)'!$D$10,0)</f>
        <v>0</v>
      </c>
      <c r="N290" s="3">
        <f>IF(B290='Input sheet(dashboard)'!$D$27*12,J290*'Input sheet(dashboard)'!$D$11,0)</f>
        <v>0</v>
      </c>
      <c r="O290" s="3">
        <f>IF(SUM(F290:F301)&gt;=150000,150000/12*'Input sheet(dashboard)'!$D$28,SUM(F290:F301)/12*'Input sheet(dashboard)'!$D$28)</f>
        <v>1317.0309032851958</v>
      </c>
      <c r="P290" s="3">
        <f t="shared" si="42"/>
        <v>0</v>
      </c>
      <c r="Q290" s="3">
        <f>IF(B290&lt;='Input sheet(dashboard)'!$D$27*12,'Input sheet(dashboard)'!$D$12/12,0)</f>
        <v>192.5</v>
      </c>
      <c r="R290" s="3">
        <f>IF(B290&lt;='Input sheet(dashboard)'!$D$27*12,('Input sheet(dashboard)'!$D$15/12)*(1+'Input sheet(dashboard)'!$E$22)^Calculations!B290,0)</f>
        <v>601.66930959448939</v>
      </c>
      <c r="S290" s="3">
        <f>IF(B290&lt;='Input sheet(dashboard)'!$D$27*12,(E290+G290+K290+L290-O290+M290+Q290+R290),0)</f>
        <v>77417.127193766588</v>
      </c>
      <c r="T290" s="3">
        <f>IF(B290&lt;='Input sheet(dashboard)'!$D$27*12,IF(D290=12,SUM(S279:S290),0),0)</f>
        <v>0</v>
      </c>
      <c r="U290" s="3">
        <f>IF(B290&lt;='Input sheet(dashboard)'!$D$27*12,IF(S290&lt;AD290,AD290-S290,0),0)</f>
        <v>5452.469349976207</v>
      </c>
      <c r="V290" s="3">
        <f>IF(B290&lt;='Input sheet(dashboard)'!$D$27*12,V289*(1+'Input sheet(dashboard)'!$E$25)+U290,0)</f>
        <v>115022.31977889093</v>
      </c>
      <c r="W290" s="17">
        <f>IF(B290&lt;='Input sheet(dashboard)'!$D$27*12,J290-I290+V290-N290,0)</f>
        <v>26051550.709477101</v>
      </c>
      <c r="X290" s="3">
        <f>IF(B290&lt;='Input sheet(dashboard)'!$D$27*12,'Input sheet(dashboard)'!$D$17*(1+'Input sheet(dashboard)'!$E$23)^(B290-1),0)</f>
        <v>82869.596543742795</v>
      </c>
      <c r="Y290" s="3"/>
      <c r="Z290" s="18"/>
      <c r="AA290" s="18"/>
      <c r="AB290" s="3">
        <f>IF(B290=1,'Input sheet(dashboard)'!$D$18*Calculations!X290,IF(Calculations!B290=12*'Input sheet(dashboard)'!$D$27,'Input sheet(dashboard)'!$D$18*-Calculations!X290,0))</f>
        <v>0</v>
      </c>
      <c r="AC290" s="3">
        <f>IF(B290&lt;='Input sheet(dashboard)'!$D$27*12,IF(MOD(B289,'Input sheet(dashboard)'!$D$19*12),0,'Input sheet(dashboard)'!$D$20*(1+'Input sheet(dashboard)'!$E$22)^Calculations!B290),0)</f>
        <v>0</v>
      </c>
      <c r="AD290" s="17">
        <f t="shared" si="39"/>
        <v>82869.596543742795</v>
      </c>
      <c r="AE290" s="17">
        <f>IF(B290&lt;='Input sheet(dashboard)'!$D$27*12,IF(D290=12,SUM(AD279:AD290),0),0)</f>
        <v>0</v>
      </c>
      <c r="AF290" s="17">
        <f t="shared" si="40"/>
        <v>-5452.469349976207</v>
      </c>
      <c r="AG290" s="17">
        <f t="shared" si="41"/>
        <v>0</v>
      </c>
      <c r="AH290" s="3">
        <f>IF(B290&lt;='Input sheet(dashboard)'!$D$27*12,AH289*(1+'Input sheet(dashboard)'!$E$25)+AG290," ")</f>
        <v>21466430.079388086</v>
      </c>
    </row>
    <row r="291" spans="2:34">
      <c r="B291">
        <f t="shared" si="36"/>
        <v>288</v>
      </c>
      <c r="C291">
        <f t="shared" si="43"/>
        <v>24</v>
      </c>
      <c r="D291">
        <f t="shared" si="44"/>
        <v>12</v>
      </c>
      <c r="E291" s="15">
        <f>IF(C291&lt;='Input sheet(dashboard)'!$D$6, -PMT('Input sheet(dashboard)'!$E$5,'Input sheet(dashboard)'!$D$6*12,'Input sheet(dashboard)'!$D$3*'Input sheet(dashboard)'!$D$4),0)</f>
        <v>39834.137922259193</v>
      </c>
      <c r="F291" s="3">
        <f>I290*'Input sheet(dashboard)'!$E$5</f>
        <v>9286.6061435547763</v>
      </c>
      <c r="G291" s="3">
        <f>IF(C291&lt;='Input sheet(dashboard)'!$D$6,E291*'Input sheet(dashboard)'!$D$7,0)</f>
        <v>3186.7310337807357</v>
      </c>
      <c r="H291" s="3">
        <f t="shared" si="37"/>
        <v>30547.531778704419</v>
      </c>
      <c r="I291" s="3">
        <f t="shared" si="38"/>
        <v>2518764.8409994813</v>
      </c>
      <c r="J291" s="3">
        <f>IF(B291&lt;='Input sheet(dashboard)'!$D$27*12,'Input sheet(dashboard)'!$D$3*(1+'Input sheet(dashboard)'!$E$24)^B291,0)</f>
        <v>28601895.603824027</v>
      </c>
      <c r="K291" s="3">
        <f>IF(B291&lt;='Input sheet(dashboard)'!$D$27*12,J291*'Input sheet(dashboard)'!$E$8,0)</f>
        <v>29624.299384479214</v>
      </c>
      <c r="L291" s="3">
        <f>IF(B291&lt;='Input sheet(dashboard)'!$D$27*12,'Input sheet(dashboard)'!$D$9*(1+'Input sheet(dashboard)'!$E$22)^B291,0)</f>
        <v>5426.1778487475895</v>
      </c>
      <c r="M291" s="3">
        <f>IF(B291=1,'Input sheet(dashboard)'!$D$3*'Input sheet(dashboard)'!$D$10,0)</f>
        <v>0</v>
      </c>
      <c r="N291" s="3">
        <f>IF(B291='Input sheet(dashboard)'!$D$27*12,J291*'Input sheet(dashboard)'!$D$11,0)</f>
        <v>0</v>
      </c>
      <c r="O291" s="3">
        <f>IF(SUM(F291:F302)&gt;=150000,150000/12*'Input sheet(dashboard)'!$D$28,SUM(F291:F302)/12*'Input sheet(dashboard)'!$D$28)</f>
        <v>1300.0624667463783</v>
      </c>
      <c r="P291" s="3">
        <f t="shared" si="42"/>
        <v>19176.67369421124</v>
      </c>
      <c r="Q291" s="3">
        <f>IF(B291&lt;='Input sheet(dashboard)'!$D$27*12,'Input sheet(dashboard)'!$D$12/12,0)</f>
        <v>192.5</v>
      </c>
      <c r="R291" s="3">
        <f>IF(B291&lt;='Input sheet(dashboard)'!$D$27*12,('Input sheet(dashboard)'!$D$15/12)*(1+'Input sheet(dashboard)'!$E$22)^Calculations!B291,0)</f>
        <v>602.9086498608433</v>
      </c>
      <c r="S291" s="3">
        <f>IF(B291&lt;='Input sheet(dashboard)'!$D$27*12,(E291+G291+K291+L291-O291+M291+Q291+R291),0)</f>
        <v>77566.692372381192</v>
      </c>
      <c r="T291" s="3">
        <f>IF(B291&lt;='Input sheet(dashboard)'!$D$27*12,IF(D291=12,SUM(S280:S291),0),0)</f>
        <v>921054.35357544315</v>
      </c>
      <c r="U291" s="3">
        <f>IF(B291&lt;='Input sheet(dashboard)'!$D$27*12,IF(S291&lt;AD291,AD291-S291,0),0)</f>
        <v>5640.5251655818138</v>
      </c>
      <c r="V291" s="3">
        <f>IF(B291&lt;='Input sheet(dashboard)'!$D$27*12,V290*(1+'Input sheet(dashboard)'!$E$25)+U291,0)</f>
        <v>121402.90201325258</v>
      </c>
      <c r="W291" s="17">
        <f>IF(B291&lt;='Input sheet(dashboard)'!$D$27*12,J291-I291+V291-N291,0)</f>
        <v>26204533.6648378</v>
      </c>
      <c r="X291" s="3">
        <f>IF(B291&lt;='Input sheet(dashboard)'!$D$27*12,'Input sheet(dashboard)'!$D$17*(1+'Input sheet(dashboard)'!$E$23)^(B291-1),0)</f>
        <v>83207.217537963006</v>
      </c>
      <c r="Y291" s="3"/>
      <c r="Z291" s="18"/>
      <c r="AA291" s="18"/>
      <c r="AB291" s="3">
        <f>IF(B291=1,'Input sheet(dashboard)'!$D$18*Calculations!X291,IF(Calculations!B291=12*'Input sheet(dashboard)'!$D$27,'Input sheet(dashboard)'!$D$18*-Calculations!X291,0))</f>
        <v>0</v>
      </c>
      <c r="AC291" s="3">
        <f>IF(B291&lt;='Input sheet(dashboard)'!$D$27*12,IF(MOD(B290,'Input sheet(dashboard)'!$D$19*12),0,'Input sheet(dashboard)'!$D$20*(1+'Input sheet(dashboard)'!$E$22)^Calculations!B291),0)</f>
        <v>0</v>
      </c>
      <c r="AD291" s="17">
        <f t="shared" si="39"/>
        <v>83207.217537963006</v>
      </c>
      <c r="AE291" s="17">
        <f>IF(B291&lt;='Input sheet(dashboard)'!$D$27*12,IF(D291=12,SUM(AD280:AD291),0),0)</f>
        <v>976502.27536534774</v>
      </c>
      <c r="AF291" s="17">
        <f t="shared" si="40"/>
        <v>-5640.5251655818138</v>
      </c>
      <c r="AG291" s="17">
        <f t="shared" si="41"/>
        <v>0</v>
      </c>
      <c r="AH291" s="3">
        <f>IF(B291&lt;='Input sheet(dashboard)'!$D$27*12,AH290*(1+'Input sheet(dashboard)'!$E$25)+AG291," ")</f>
        <v>21604545.736873154</v>
      </c>
    </row>
    <row r="292" spans="2:34">
      <c r="B292">
        <f t="shared" si="36"/>
        <v>289</v>
      </c>
      <c r="C292">
        <f t="shared" si="43"/>
        <v>25</v>
      </c>
      <c r="D292">
        <f t="shared" si="44"/>
        <v>1</v>
      </c>
      <c r="E292" s="15">
        <f>IF(C292&lt;='Input sheet(dashboard)'!$D$6, -PMT('Input sheet(dashboard)'!$E$5,'Input sheet(dashboard)'!$D$6*12,'Input sheet(dashboard)'!$D$3*'Input sheet(dashboard)'!$D$4),0)</f>
        <v>39834.137922259193</v>
      </c>
      <c r="F292" s="3">
        <f>I291*'Input sheet(dashboard)'!$E$5</f>
        <v>9175.327941904894</v>
      </c>
      <c r="G292" s="3">
        <f>IF(C292&lt;='Input sheet(dashboard)'!$D$6,E292*'Input sheet(dashboard)'!$D$7,0)</f>
        <v>3186.7310337807357</v>
      </c>
      <c r="H292" s="3">
        <f t="shared" si="37"/>
        <v>30658.809980354301</v>
      </c>
      <c r="I292" s="3">
        <f t="shared" si="38"/>
        <v>2488106.031019127</v>
      </c>
      <c r="J292" s="3">
        <f>IF(B292&lt;='Input sheet(dashboard)'!$D$27*12,'Input sheet(dashboard)'!$D$3*(1+'Input sheet(dashboard)'!$E$24)^B292,0)</f>
        <v>28718423.26696099</v>
      </c>
      <c r="K292" s="3">
        <f>IF(B292&lt;='Input sheet(dashboard)'!$D$27*12,J292*'Input sheet(dashboard)'!$E$8,0)</f>
        <v>29744.992447175435</v>
      </c>
      <c r="L292" s="3">
        <f>IF(B292&lt;='Input sheet(dashboard)'!$D$27*12,'Input sheet(dashboard)'!$D$9*(1+'Input sheet(dashboard)'!$E$22)^B292,0)</f>
        <v>5437.3548866870569</v>
      </c>
      <c r="M292" s="3">
        <f>IF(B292=1,'Input sheet(dashboard)'!$D$3*'Input sheet(dashboard)'!$D$10,0)</f>
        <v>0</v>
      </c>
      <c r="N292" s="3">
        <f>IF(B292='Input sheet(dashboard)'!$D$27*12,J292*'Input sheet(dashboard)'!$D$11,0)</f>
        <v>0</v>
      </c>
      <c r="O292" s="3">
        <f>IF(SUM(F292:F303)&gt;=150000,150000/12*'Input sheet(dashboard)'!$D$28,SUM(F292:F303)/12*'Input sheet(dashboard)'!$D$28)</f>
        <v>1283.0322177797505</v>
      </c>
      <c r="P292" s="3">
        <f t="shared" si="42"/>
        <v>0</v>
      </c>
      <c r="Q292" s="3">
        <f>IF(B292&lt;='Input sheet(dashboard)'!$D$27*12,'Input sheet(dashboard)'!$D$12/12,0)</f>
        <v>192.5</v>
      </c>
      <c r="R292" s="3">
        <f>IF(B292&lt;='Input sheet(dashboard)'!$D$27*12,('Input sheet(dashboard)'!$D$15/12)*(1+'Input sheet(dashboard)'!$E$22)^Calculations!B292,0)</f>
        <v>604.15054296522851</v>
      </c>
      <c r="S292" s="3">
        <f>IF(B292&lt;='Input sheet(dashboard)'!$D$27*12,(E292+G292+K292+L292-O292+M292+Q292+R292),0)</f>
        <v>77716.834615087893</v>
      </c>
      <c r="T292" s="3">
        <f>IF(B292&lt;='Input sheet(dashboard)'!$D$27*12,IF(D292=12,SUM(S281:S292),0),0)</f>
        <v>0</v>
      </c>
      <c r="U292" s="3">
        <f>IF(B292&lt;='Input sheet(dashboard)'!$D$27*12,IF(S292&lt;AD292,AD292-S292,0),0)</f>
        <v>5829.3794268177444</v>
      </c>
      <c r="V292" s="3">
        <f>IF(B292&lt;='Input sheet(dashboard)'!$D$27*12,V291*(1+'Input sheet(dashboard)'!$E$25)+U292,0)</f>
        <v>128013.39136706539</v>
      </c>
      <c r="W292" s="17">
        <f>IF(B292&lt;='Input sheet(dashboard)'!$D$27*12,J292-I292+V292-N292,0)</f>
        <v>26358330.627308931</v>
      </c>
      <c r="X292" s="3">
        <f>IF(B292&lt;='Input sheet(dashboard)'!$D$27*12,'Input sheet(dashboard)'!$D$17*(1+'Input sheet(dashboard)'!$E$23)^(B292-1),0)</f>
        <v>83546.214041905638</v>
      </c>
      <c r="Y292" s="3"/>
      <c r="Z292" s="18"/>
      <c r="AA292" s="18"/>
      <c r="AB292" s="3">
        <f>IF(B292=1,'Input sheet(dashboard)'!$D$18*Calculations!X292,IF(Calculations!B292=12*'Input sheet(dashboard)'!$D$27,'Input sheet(dashboard)'!$D$18*-Calculations!X292,0))</f>
        <v>0</v>
      </c>
      <c r="AC292" s="3">
        <f>IF(B292&lt;='Input sheet(dashboard)'!$D$27*12,IF(MOD(B291,'Input sheet(dashboard)'!$D$19*12),0,'Input sheet(dashboard)'!$D$20*(1+'Input sheet(dashboard)'!$E$22)^Calculations!B292),0)</f>
        <v>0</v>
      </c>
      <c r="AD292" s="17">
        <f t="shared" si="39"/>
        <v>83546.214041905638</v>
      </c>
      <c r="AE292" s="17">
        <f>IF(B292&lt;='Input sheet(dashboard)'!$D$27*12,IF(D292=12,SUM(AD281:AD292),0),0)</f>
        <v>0</v>
      </c>
      <c r="AF292" s="17">
        <f t="shared" si="40"/>
        <v>-5829.3794268177444</v>
      </c>
      <c r="AG292" s="17">
        <f t="shared" si="41"/>
        <v>0</v>
      </c>
      <c r="AH292" s="3">
        <f>IF(B292&lt;='Input sheet(dashboard)'!$D$27*12,AH291*(1+'Input sheet(dashboard)'!$E$25)+AG292," ")</f>
        <v>21743550.034657143</v>
      </c>
    </row>
    <row r="293" spans="2:34">
      <c r="B293">
        <f t="shared" si="36"/>
        <v>290</v>
      </c>
      <c r="C293">
        <f t="shared" si="43"/>
        <v>25</v>
      </c>
      <c r="D293">
        <f t="shared" si="44"/>
        <v>2</v>
      </c>
      <c r="E293" s="15">
        <f>IF(C293&lt;='Input sheet(dashboard)'!$D$6, -PMT('Input sheet(dashboard)'!$E$5,'Input sheet(dashboard)'!$D$6*12,'Input sheet(dashboard)'!$D$3*'Input sheet(dashboard)'!$D$4),0)</f>
        <v>39834.137922259193</v>
      </c>
      <c r="F293" s="3">
        <f>I292*'Input sheet(dashboard)'!$E$5</f>
        <v>9063.6443772865023</v>
      </c>
      <c r="G293" s="3">
        <f>IF(C293&lt;='Input sheet(dashboard)'!$D$6,E293*'Input sheet(dashboard)'!$D$7,0)</f>
        <v>3186.7310337807357</v>
      </c>
      <c r="H293" s="3">
        <f t="shared" si="37"/>
        <v>30770.493544972691</v>
      </c>
      <c r="I293" s="3">
        <f t="shared" si="38"/>
        <v>2457335.5374741545</v>
      </c>
      <c r="J293" s="3">
        <f>IF(B293&lt;='Input sheet(dashboard)'!$D$27*12,'Input sheet(dashboard)'!$D$3*(1+'Input sheet(dashboard)'!$E$24)^B293,0)</f>
        <v>28835425.678221799</v>
      </c>
      <c r="K293" s="3">
        <f>IF(B293&lt;='Input sheet(dashboard)'!$D$27*12,J293*'Input sheet(dashboard)'!$E$8,0)</f>
        <v>29866.177228348915</v>
      </c>
      <c r="L293" s="3">
        <f>IF(B293&lt;='Input sheet(dashboard)'!$D$27*12,'Input sheet(dashboard)'!$D$9*(1+'Input sheet(dashboard)'!$E$22)^B293,0)</f>
        <v>5448.554947494662</v>
      </c>
      <c r="M293" s="3">
        <f>IF(B293=1,'Input sheet(dashboard)'!$D$3*'Input sheet(dashboard)'!$D$10,0)</f>
        <v>0</v>
      </c>
      <c r="N293" s="3">
        <f>IF(B293='Input sheet(dashboard)'!$D$27*12,J293*'Input sheet(dashboard)'!$D$11,0)</f>
        <v>0</v>
      </c>
      <c r="O293" s="3">
        <f>IF(SUM(F293:F304)&gt;=150000,150000/12*'Input sheet(dashboard)'!$D$28,SUM(F293:F304)/12*'Input sheet(dashboard)'!$D$28)</f>
        <v>1265.9399312157027</v>
      </c>
      <c r="P293" s="3">
        <f t="shared" si="42"/>
        <v>0</v>
      </c>
      <c r="Q293" s="3">
        <f>IF(B293&lt;='Input sheet(dashboard)'!$D$27*12,'Input sheet(dashboard)'!$D$12/12,0)</f>
        <v>192.5</v>
      </c>
      <c r="R293" s="3">
        <f>IF(B293&lt;='Input sheet(dashboard)'!$D$27*12,('Input sheet(dashboard)'!$D$15/12)*(1+'Input sheet(dashboard)'!$E$22)^Calculations!B293,0)</f>
        <v>605.3949941660735</v>
      </c>
      <c r="S293" s="3">
        <f>IF(B293&lt;='Input sheet(dashboard)'!$D$27*12,(E293+G293+K293+L293-O293+M293+Q293+R293),0)</f>
        <v>77867.556194833873</v>
      </c>
      <c r="T293" s="3">
        <f>IF(B293&lt;='Input sheet(dashboard)'!$D$27*12,IF(D293=12,SUM(S282:S293),0),0)</f>
        <v>0</v>
      </c>
      <c r="U293" s="3">
        <f>IF(B293&lt;='Input sheet(dashboard)'!$D$27*12,IF(S293&lt;AD293,AD293-S293,0),0)</f>
        <v>6019.0354647336644</v>
      </c>
      <c r="V293" s="3">
        <f>IF(B293&lt;='Input sheet(dashboard)'!$D$27*12,V292*(1+'Input sheet(dashboard)'!$E$25)+U293,0)</f>
        <v>134856.0688463384</v>
      </c>
      <c r="W293" s="17">
        <f>IF(B293&lt;='Input sheet(dashboard)'!$D$27*12,J293-I293+V293-N293,0)</f>
        <v>26512946.209593982</v>
      </c>
      <c r="X293" s="3">
        <f>IF(B293&lt;='Input sheet(dashboard)'!$D$27*12,'Input sheet(dashboard)'!$D$17*(1+'Input sheet(dashboard)'!$E$23)^(B293-1),0)</f>
        <v>83886.591659567537</v>
      </c>
      <c r="Y293" s="3"/>
      <c r="Z293" s="18"/>
      <c r="AA293" s="18"/>
      <c r="AB293" s="3">
        <f>IF(B293=1,'Input sheet(dashboard)'!$D$18*Calculations!X293,IF(Calculations!B293=12*'Input sheet(dashboard)'!$D$27,'Input sheet(dashboard)'!$D$18*-Calculations!X293,0))</f>
        <v>0</v>
      </c>
      <c r="AC293" s="3">
        <f>IF(B293&lt;='Input sheet(dashboard)'!$D$27*12,IF(MOD(B292,'Input sheet(dashboard)'!$D$19*12),0,'Input sheet(dashboard)'!$D$20*(1+'Input sheet(dashboard)'!$E$22)^Calculations!B293),0)</f>
        <v>0</v>
      </c>
      <c r="AD293" s="17">
        <f t="shared" si="39"/>
        <v>83886.591659567537</v>
      </c>
      <c r="AE293" s="17">
        <f>IF(B293&lt;='Input sheet(dashboard)'!$D$27*12,IF(D293=12,SUM(AD282:AD293),0),0)</f>
        <v>0</v>
      </c>
      <c r="AF293" s="17">
        <f t="shared" si="40"/>
        <v>-6019.0354647336644</v>
      </c>
      <c r="AG293" s="17">
        <f t="shared" si="41"/>
        <v>0</v>
      </c>
      <c r="AH293" s="3">
        <f>IF(B293&lt;='Input sheet(dashboard)'!$D$27*12,AH292*(1+'Input sheet(dashboard)'!$E$25)+AG293," ")</f>
        <v>21883448.690278493</v>
      </c>
    </row>
    <row r="294" spans="2:34">
      <c r="B294">
        <f t="shared" si="36"/>
        <v>291</v>
      </c>
      <c r="C294">
        <f t="shared" si="43"/>
        <v>25</v>
      </c>
      <c r="D294">
        <f t="shared" si="44"/>
        <v>3</v>
      </c>
      <c r="E294" s="15">
        <f>IF(C294&lt;='Input sheet(dashboard)'!$D$6, -PMT('Input sheet(dashboard)'!$E$5,'Input sheet(dashboard)'!$D$6*12,'Input sheet(dashboard)'!$D$3*'Input sheet(dashboard)'!$D$4),0)</f>
        <v>39834.137922259193</v>
      </c>
      <c r="F294" s="3">
        <f>I293*'Input sheet(dashboard)'!$E$5</f>
        <v>8951.5539730479868</v>
      </c>
      <c r="G294" s="3">
        <f>IF(C294&lt;='Input sheet(dashboard)'!$D$6,E294*'Input sheet(dashboard)'!$D$7,0)</f>
        <v>3186.7310337807357</v>
      </c>
      <c r="H294" s="3">
        <f t="shared" si="37"/>
        <v>30882.583949211206</v>
      </c>
      <c r="I294" s="3">
        <f t="shared" si="38"/>
        <v>2426452.9535249434</v>
      </c>
      <c r="J294" s="3">
        <f>IF(B294&lt;='Input sheet(dashboard)'!$D$27*12,'Input sheet(dashboard)'!$D$3*(1+'Input sheet(dashboard)'!$E$24)^B294,0)</f>
        <v>28952904.77178907</v>
      </c>
      <c r="K294" s="3">
        <f>IF(B294&lt;='Input sheet(dashboard)'!$D$27*12,J294*'Input sheet(dashboard)'!$E$8,0)</f>
        <v>29987.855731321593</v>
      </c>
      <c r="L294" s="3">
        <f>IF(B294&lt;='Input sheet(dashboard)'!$D$27*12,'Input sheet(dashboard)'!$D$9*(1+'Input sheet(dashboard)'!$E$22)^B294,0)</f>
        <v>5459.7780785937421</v>
      </c>
      <c r="M294" s="3">
        <f>IF(B294=1,'Input sheet(dashboard)'!$D$3*'Input sheet(dashboard)'!$D$10,0)</f>
        <v>0</v>
      </c>
      <c r="N294" s="3">
        <f>IF(B294='Input sheet(dashboard)'!$D$27*12,J294*'Input sheet(dashboard)'!$D$11,0)</f>
        <v>0</v>
      </c>
      <c r="O294" s="3">
        <f>IF(SUM(F294:F305)&gt;=150000,150000/12*'Input sheet(dashboard)'!$D$28,SUM(F294:F305)/12*'Input sheet(dashboard)'!$D$28)</f>
        <v>1248.7853810643801</v>
      </c>
      <c r="P294" s="3">
        <f t="shared" si="42"/>
        <v>0</v>
      </c>
      <c r="Q294" s="3">
        <f>IF(B294&lt;='Input sheet(dashboard)'!$D$27*12,'Input sheet(dashboard)'!$D$12/12,0)</f>
        <v>192.5</v>
      </c>
      <c r="R294" s="3">
        <f>IF(B294&lt;='Input sheet(dashboard)'!$D$27*12,('Input sheet(dashboard)'!$D$15/12)*(1+'Input sheet(dashboard)'!$E$22)^Calculations!B294,0)</f>
        <v>606.64200873263792</v>
      </c>
      <c r="S294" s="3">
        <f>IF(B294&lt;='Input sheet(dashboard)'!$D$27*12,(E294+G294+K294+L294-O294+M294+Q294+R294),0)</f>
        <v>78018.859393623512</v>
      </c>
      <c r="T294" s="3">
        <f>IF(B294&lt;='Input sheet(dashboard)'!$D$27*12,IF(D294=12,SUM(S283:S294),0),0)</f>
        <v>0</v>
      </c>
      <c r="U294" s="3">
        <f>IF(B294&lt;='Input sheet(dashboard)'!$D$27*12,IF(S294&lt;AD294,AD294-S294,0),0)</f>
        <v>6209.4966241534712</v>
      </c>
      <c r="V294" s="3">
        <f>IF(B294&lt;='Input sheet(dashboard)'!$D$27*12,V293*(1+'Input sheet(dashboard)'!$E$25)+U294,0)</f>
        <v>141933.23347796593</v>
      </c>
      <c r="W294" s="17">
        <f>IF(B294&lt;='Input sheet(dashboard)'!$D$27*12,J294-I294+V294-N294,0)</f>
        <v>26668385.051742092</v>
      </c>
      <c r="X294" s="3">
        <f>IF(B294&lt;='Input sheet(dashboard)'!$D$27*12,'Input sheet(dashboard)'!$D$17*(1+'Input sheet(dashboard)'!$E$23)^(B294-1),0)</f>
        <v>84228.356017776983</v>
      </c>
      <c r="Y294" s="3"/>
      <c r="Z294" s="18"/>
      <c r="AA294" s="18"/>
      <c r="AB294" s="3">
        <f>IF(B294=1,'Input sheet(dashboard)'!$D$18*Calculations!X294,IF(Calculations!B294=12*'Input sheet(dashboard)'!$D$27,'Input sheet(dashboard)'!$D$18*-Calculations!X294,0))</f>
        <v>0</v>
      </c>
      <c r="AC294" s="3">
        <f>IF(B294&lt;='Input sheet(dashboard)'!$D$27*12,IF(MOD(B293,'Input sheet(dashboard)'!$D$19*12),0,'Input sheet(dashboard)'!$D$20*(1+'Input sheet(dashboard)'!$E$22)^Calculations!B294),0)</f>
        <v>0</v>
      </c>
      <c r="AD294" s="17">
        <f t="shared" si="39"/>
        <v>84228.356017776983</v>
      </c>
      <c r="AE294" s="17">
        <f>IF(B294&lt;='Input sheet(dashboard)'!$D$27*12,IF(D294=12,SUM(AD283:AD294),0),0)</f>
        <v>0</v>
      </c>
      <c r="AF294" s="17">
        <f t="shared" si="40"/>
        <v>-6209.4966241534712</v>
      </c>
      <c r="AG294" s="17">
        <f t="shared" si="41"/>
        <v>0</v>
      </c>
      <c r="AH294" s="3">
        <f>IF(B294&lt;='Input sheet(dashboard)'!$D$27*12,AH293*(1+'Input sheet(dashboard)'!$E$25)+AG294," ")</f>
        <v>22024247.458062459</v>
      </c>
    </row>
    <row r="295" spans="2:34">
      <c r="B295">
        <f t="shared" si="36"/>
        <v>292</v>
      </c>
      <c r="C295">
        <f t="shared" si="43"/>
        <v>25</v>
      </c>
      <c r="D295">
        <f t="shared" si="44"/>
        <v>4</v>
      </c>
      <c r="E295" s="15">
        <f>IF(C295&lt;='Input sheet(dashboard)'!$D$6, -PMT('Input sheet(dashboard)'!$E$5,'Input sheet(dashboard)'!$D$6*12,'Input sheet(dashboard)'!$D$3*'Input sheet(dashboard)'!$D$4),0)</f>
        <v>39834.137922259193</v>
      </c>
      <c r="F295" s="3">
        <f>I294*'Input sheet(dashboard)'!$E$5</f>
        <v>8839.0552471586034</v>
      </c>
      <c r="G295" s="3">
        <f>IF(C295&lt;='Input sheet(dashboard)'!$D$6,E295*'Input sheet(dashboard)'!$D$7,0)</f>
        <v>3186.7310337807357</v>
      </c>
      <c r="H295" s="3">
        <f t="shared" si="37"/>
        <v>30995.082675100588</v>
      </c>
      <c r="I295" s="3">
        <f t="shared" si="38"/>
        <v>2395457.8708498427</v>
      </c>
      <c r="J295" s="3">
        <f>IF(B295&lt;='Input sheet(dashboard)'!$D$27*12,'Input sheet(dashboard)'!$D$3*(1+'Input sheet(dashboard)'!$E$24)^B295,0)</f>
        <v>29070862.489725523</v>
      </c>
      <c r="K295" s="3">
        <f>IF(B295&lt;='Input sheet(dashboard)'!$D$27*12,J295*'Input sheet(dashboard)'!$E$8,0)</f>
        <v>30110.029967577186</v>
      </c>
      <c r="L295" s="3">
        <f>IF(B295&lt;='Input sheet(dashboard)'!$D$27*12,'Input sheet(dashboard)'!$D$9*(1+'Input sheet(dashboard)'!$E$22)^B295,0)</f>
        <v>5471.0243275053226</v>
      </c>
      <c r="M295" s="3">
        <f>IF(B295=1,'Input sheet(dashboard)'!$D$3*'Input sheet(dashboard)'!$D$10,0)</f>
        <v>0</v>
      </c>
      <c r="N295" s="3">
        <f>IF(B295='Input sheet(dashboard)'!$D$27*12,J295*'Input sheet(dashboard)'!$D$11,0)</f>
        <v>0</v>
      </c>
      <c r="O295" s="3">
        <f>IF(SUM(F295:F306)&gt;=150000,150000/12*'Input sheet(dashboard)'!$D$28,SUM(F295:F306)/12*'Input sheet(dashboard)'!$D$28)</f>
        <v>1231.5683405126949</v>
      </c>
      <c r="P295" s="3">
        <f t="shared" si="42"/>
        <v>0</v>
      </c>
      <c r="Q295" s="3">
        <f>IF(B295&lt;='Input sheet(dashboard)'!$D$27*12,'Input sheet(dashboard)'!$D$12/12,0)</f>
        <v>192.5</v>
      </c>
      <c r="R295" s="3">
        <f>IF(B295&lt;='Input sheet(dashboard)'!$D$27*12,('Input sheet(dashboard)'!$D$15/12)*(1+'Input sheet(dashboard)'!$E$22)^Calculations!B295,0)</f>
        <v>607.89159194503577</v>
      </c>
      <c r="S295" s="3">
        <f>IF(B295&lt;='Input sheet(dashboard)'!$D$27*12,(E295+G295+K295+L295-O295+M295+Q295+R295),0)</f>
        <v>78170.746502554786</v>
      </c>
      <c r="T295" s="3">
        <f>IF(B295&lt;='Input sheet(dashboard)'!$D$27*12,IF(D295=12,SUM(S284:S295),0),0)</f>
        <v>0</v>
      </c>
      <c r="U295" s="3">
        <f>IF(B295&lt;='Input sheet(dashboard)'!$D$27*12,IF(S295&lt;AD295,AD295-S295,0),0)</f>
        <v>6400.7662637318281</v>
      </c>
      <c r="V295" s="3">
        <f>IF(B295&lt;='Input sheet(dashboard)'!$D$27*12,V294*(1+'Input sheet(dashboard)'!$E$25)+U295,0)</f>
        <v>149247.20243950514</v>
      </c>
      <c r="W295" s="17">
        <f>IF(B295&lt;='Input sheet(dashboard)'!$D$27*12,J295-I295+V295-N295,0)</f>
        <v>26824651.821315184</v>
      </c>
      <c r="X295" s="3">
        <f>IF(B295&lt;='Input sheet(dashboard)'!$D$27*12,'Input sheet(dashboard)'!$D$17*(1+'Input sheet(dashboard)'!$E$23)^(B295-1),0)</f>
        <v>84571.512766286614</v>
      </c>
      <c r="Y295" s="3"/>
      <c r="Z295" s="18"/>
      <c r="AA295" s="18"/>
      <c r="AB295" s="3">
        <f>IF(B295=1,'Input sheet(dashboard)'!$D$18*Calculations!X295,IF(Calculations!B295=12*'Input sheet(dashboard)'!$D$27,'Input sheet(dashboard)'!$D$18*-Calculations!X295,0))</f>
        <v>0</v>
      </c>
      <c r="AC295" s="3">
        <f>IF(B295&lt;='Input sheet(dashboard)'!$D$27*12,IF(MOD(B294,'Input sheet(dashboard)'!$D$19*12),0,'Input sheet(dashboard)'!$D$20*(1+'Input sheet(dashboard)'!$E$22)^Calculations!B295),0)</f>
        <v>0</v>
      </c>
      <c r="AD295" s="17">
        <f t="shared" si="39"/>
        <v>84571.512766286614</v>
      </c>
      <c r="AE295" s="17">
        <f>IF(B295&lt;='Input sheet(dashboard)'!$D$27*12,IF(D295=12,SUM(AD284:AD295),0),0)</f>
        <v>0</v>
      </c>
      <c r="AF295" s="17">
        <f t="shared" si="40"/>
        <v>-6400.7662637318281</v>
      </c>
      <c r="AG295" s="17">
        <f t="shared" si="41"/>
        <v>0</v>
      </c>
      <c r="AH295" s="3">
        <f>IF(B295&lt;='Input sheet(dashboard)'!$D$27*12,AH294*(1+'Input sheet(dashboard)'!$E$25)+AG295," ")</f>
        <v>22165952.1293578</v>
      </c>
    </row>
    <row r="296" spans="2:34">
      <c r="B296">
        <f t="shared" si="36"/>
        <v>293</v>
      </c>
      <c r="C296">
        <f t="shared" si="43"/>
        <v>25</v>
      </c>
      <c r="D296">
        <f t="shared" si="44"/>
        <v>5</v>
      </c>
      <c r="E296" s="15">
        <f>IF(C296&lt;='Input sheet(dashboard)'!$D$6, -PMT('Input sheet(dashboard)'!$E$5,'Input sheet(dashboard)'!$D$6*12,'Input sheet(dashboard)'!$D$3*'Input sheet(dashboard)'!$D$4),0)</f>
        <v>39834.137922259193</v>
      </c>
      <c r="F296" s="3">
        <f>I295*'Input sheet(dashboard)'!$E$5</f>
        <v>8726.1467121888782</v>
      </c>
      <c r="G296" s="3">
        <f>IF(C296&lt;='Input sheet(dashboard)'!$D$6,E296*'Input sheet(dashboard)'!$D$7,0)</f>
        <v>3186.7310337807357</v>
      </c>
      <c r="H296" s="3">
        <f t="shared" si="37"/>
        <v>31107.991210070315</v>
      </c>
      <c r="I296" s="3">
        <f t="shared" si="38"/>
        <v>2364349.8796397722</v>
      </c>
      <c r="J296" s="3">
        <f>IF(B296&lt;='Input sheet(dashboard)'!$D$27*12,'Input sheet(dashboard)'!$D$3*(1+'Input sheet(dashboard)'!$E$24)^B296,0)</f>
        <v>29189300.782006077</v>
      </c>
      <c r="K296" s="3">
        <f>IF(B296&lt;='Input sheet(dashboard)'!$D$27*12,J296*'Input sheet(dashboard)'!$E$8,0)</f>
        <v>30232.701956794452</v>
      </c>
      <c r="L296" s="3">
        <f>IF(B296&lt;='Input sheet(dashboard)'!$D$27*12,'Input sheet(dashboard)'!$D$9*(1+'Input sheet(dashboard)'!$E$22)^B296,0)</f>
        <v>5482.2937418483098</v>
      </c>
      <c r="M296" s="3">
        <f>IF(B296=1,'Input sheet(dashboard)'!$D$3*'Input sheet(dashboard)'!$D$10,0)</f>
        <v>0</v>
      </c>
      <c r="N296" s="3">
        <f>IF(B296='Input sheet(dashboard)'!$D$27*12,J296*'Input sheet(dashboard)'!$D$11,0)</f>
        <v>0</v>
      </c>
      <c r="O296" s="3">
        <f>IF(SUM(F296:F307)&gt;=150000,150000/12*'Input sheet(dashboard)'!$D$28,SUM(F296:F307)/12*'Input sheet(dashboard)'!$D$28)</f>
        <v>1214.2885819213263</v>
      </c>
      <c r="P296" s="3">
        <f t="shared" si="42"/>
        <v>0</v>
      </c>
      <c r="Q296" s="3">
        <f>IF(B296&lt;='Input sheet(dashboard)'!$D$27*12,'Input sheet(dashboard)'!$D$12/12,0)</f>
        <v>192.5</v>
      </c>
      <c r="R296" s="3">
        <f>IF(B296&lt;='Input sheet(dashboard)'!$D$27*12,('Input sheet(dashboard)'!$D$15/12)*(1+'Input sheet(dashboard)'!$E$22)^Calculations!B296,0)</f>
        <v>609.14374909425658</v>
      </c>
      <c r="S296" s="3">
        <f>IF(B296&lt;='Input sheet(dashboard)'!$D$27*12,(E296+G296+K296+L296-O296+M296+Q296+R296),0)</f>
        <v>78323.219821855615</v>
      </c>
      <c r="T296" s="3">
        <f>IF(B296&lt;='Input sheet(dashboard)'!$D$27*12,IF(D296=12,SUM(S285:S296),0),0)</f>
        <v>0</v>
      </c>
      <c r="U296" s="3">
        <f>IF(B296&lt;='Input sheet(dashboard)'!$D$27*12,IF(S296&lt;AD296,AD296-S296,0),0)</f>
        <v>6592.8477560112515</v>
      </c>
      <c r="V296" s="3">
        <f>IF(B296&lt;='Input sheet(dashboard)'!$D$27*12,V295*(1+'Input sheet(dashboard)'!$E$25)+U296,0)</f>
        <v>156800.31118984596</v>
      </c>
      <c r="W296" s="17">
        <f>IF(B296&lt;='Input sheet(dashboard)'!$D$27*12,J296-I296+V296-N296,0)</f>
        <v>26981751.213556152</v>
      </c>
      <c r="X296" s="3">
        <f>IF(B296&lt;='Input sheet(dashboard)'!$D$27*12,'Input sheet(dashboard)'!$D$17*(1+'Input sheet(dashboard)'!$E$23)^(B296-1),0)</f>
        <v>84916.067577866866</v>
      </c>
      <c r="Y296" s="3"/>
      <c r="Z296" s="18"/>
      <c r="AA296" s="18"/>
      <c r="AB296" s="3">
        <f>IF(B296=1,'Input sheet(dashboard)'!$D$18*Calculations!X296,IF(Calculations!B296=12*'Input sheet(dashboard)'!$D$27,'Input sheet(dashboard)'!$D$18*-Calculations!X296,0))</f>
        <v>0</v>
      </c>
      <c r="AC296" s="3">
        <f>IF(B296&lt;='Input sheet(dashboard)'!$D$27*12,IF(MOD(B295,'Input sheet(dashboard)'!$D$19*12),0,'Input sheet(dashboard)'!$D$20*(1+'Input sheet(dashboard)'!$E$22)^Calculations!B296),0)</f>
        <v>0</v>
      </c>
      <c r="AD296" s="17">
        <f t="shared" si="39"/>
        <v>84916.067577866866</v>
      </c>
      <c r="AE296" s="17">
        <f>IF(B296&lt;='Input sheet(dashboard)'!$D$27*12,IF(D296=12,SUM(AD285:AD296),0),0)</f>
        <v>0</v>
      </c>
      <c r="AF296" s="17">
        <f t="shared" si="40"/>
        <v>-6592.8477560112515</v>
      </c>
      <c r="AG296" s="17">
        <f t="shared" si="41"/>
        <v>0</v>
      </c>
      <c r="AH296" s="3">
        <f>IF(B296&lt;='Input sheet(dashboard)'!$D$27*12,AH295*(1+'Input sheet(dashboard)'!$E$25)+AG296," ")</f>
        <v>22308568.532774981</v>
      </c>
    </row>
    <row r="297" spans="2:34">
      <c r="B297">
        <f t="shared" si="36"/>
        <v>294</v>
      </c>
      <c r="C297">
        <f t="shared" si="43"/>
        <v>25</v>
      </c>
      <c r="D297">
        <f t="shared" si="44"/>
        <v>6</v>
      </c>
      <c r="E297" s="15">
        <f>IF(C297&lt;='Input sheet(dashboard)'!$D$6, -PMT('Input sheet(dashboard)'!$E$5,'Input sheet(dashboard)'!$D$6*12,'Input sheet(dashboard)'!$D$3*'Input sheet(dashboard)'!$D$4),0)</f>
        <v>39834.137922259193</v>
      </c>
      <c r="F297" s="3">
        <f>I296*'Input sheet(dashboard)'!$E$5</f>
        <v>8612.8268752909516</v>
      </c>
      <c r="G297" s="3">
        <f>IF(C297&lt;='Input sheet(dashboard)'!$D$6,E297*'Input sheet(dashboard)'!$D$7,0)</f>
        <v>3186.7310337807357</v>
      </c>
      <c r="H297" s="3">
        <f t="shared" si="37"/>
        <v>31221.311046968243</v>
      </c>
      <c r="I297" s="3">
        <f t="shared" si="38"/>
        <v>2333128.568592804</v>
      </c>
      <c r="J297" s="3">
        <f>IF(B297&lt;='Input sheet(dashboard)'!$D$27*12,'Input sheet(dashboard)'!$D$3*(1+'Input sheet(dashboard)'!$E$24)^B297,0)</f>
        <v>29308221.606550116</v>
      </c>
      <c r="K297" s="3">
        <f>IF(B297&lt;='Input sheet(dashboard)'!$D$27*12,J297*'Input sheet(dashboard)'!$E$8,0)</f>
        <v>30355.873726880582</v>
      </c>
      <c r="L297" s="3">
        <f>IF(B297&lt;='Input sheet(dashboard)'!$D$27*12,'Input sheet(dashboard)'!$D$9*(1+'Input sheet(dashboard)'!$E$22)^B297,0)</f>
        <v>5493.5863693397005</v>
      </c>
      <c r="M297" s="3">
        <f>IF(B297=1,'Input sheet(dashboard)'!$D$3*'Input sheet(dashboard)'!$D$10,0)</f>
        <v>0</v>
      </c>
      <c r="N297" s="3">
        <f>IF(B297='Input sheet(dashboard)'!$D$27*12,J297*'Input sheet(dashboard)'!$D$11,0)</f>
        <v>0</v>
      </c>
      <c r="O297" s="3">
        <f>IF(SUM(F297:F308)&gt;=150000,150000/12*'Input sheet(dashboard)'!$D$28,SUM(F297:F308)/12*'Input sheet(dashboard)'!$D$28)</f>
        <v>1196.9458768217119</v>
      </c>
      <c r="P297" s="3">
        <f t="shared" si="42"/>
        <v>0</v>
      </c>
      <c r="Q297" s="3">
        <f>IF(B297&lt;='Input sheet(dashboard)'!$D$27*12,'Input sheet(dashboard)'!$D$12/12,0)</f>
        <v>192.5</v>
      </c>
      <c r="R297" s="3">
        <f>IF(B297&lt;='Input sheet(dashboard)'!$D$27*12,('Input sheet(dashboard)'!$D$15/12)*(1+'Input sheet(dashboard)'!$E$22)^Calculations!B297,0)</f>
        <v>610.3984854821889</v>
      </c>
      <c r="S297" s="3">
        <f>IF(B297&lt;='Input sheet(dashboard)'!$D$27*12,(E297+G297+K297+L297-O297+M297+Q297+R297),0)</f>
        <v>78476.281660920678</v>
      </c>
      <c r="T297" s="3">
        <f>IF(B297&lt;='Input sheet(dashboard)'!$D$27*12,IF(D297=12,SUM(S286:S297),0),0)</f>
        <v>0</v>
      </c>
      <c r="U297" s="3">
        <f>IF(B297&lt;='Input sheet(dashboard)'!$D$27*12,IF(S297&lt;AD297,AD297-S297,0),0)</f>
        <v>6785.7444874790526</v>
      </c>
      <c r="V297" s="3">
        <f>IF(B297&lt;='Input sheet(dashboard)'!$D$27*12,V296*(1+'Input sheet(dashboard)'!$E$25)+U297,0)</f>
        <v>164594.91360077838</v>
      </c>
      <c r="W297" s="17">
        <f>IF(B297&lt;='Input sheet(dashboard)'!$D$27*12,J297-I297+V297-N297,0)</f>
        <v>27139687.951558091</v>
      </c>
      <c r="X297" s="3">
        <f>IF(B297&lt;='Input sheet(dashboard)'!$D$27*12,'Input sheet(dashboard)'!$D$17*(1+'Input sheet(dashboard)'!$E$23)^(B297-1),0)</f>
        <v>85262.026148399731</v>
      </c>
      <c r="Y297" s="3"/>
      <c r="Z297" s="18"/>
      <c r="AA297" s="18"/>
      <c r="AB297" s="3">
        <f>IF(B297=1,'Input sheet(dashboard)'!$D$18*Calculations!X297,IF(Calculations!B297=12*'Input sheet(dashboard)'!$D$27,'Input sheet(dashboard)'!$D$18*-Calculations!X297,0))</f>
        <v>0</v>
      </c>
      <c r="AC297" s="3">
        <f>IF(B297&lt;='Input sheet(dashboard)'!$D$27*12,IF(MOD(B296,'Input sheet(dashboard)'!$D$19*12),0,'Input sheet(dashboard)'!$D$20*(1+'Input sheet(dashboard)'!$E$22)^Calculations!B297),0)</f>
        <v>0</v>
      </c>
      <c r="AD297" s="17">
        <f t="shared" si="39"/>
        <v>85262.026148399731</v>
      </c>
      <c r="AE297" s="17">
        <f>IF(B297&lt;='Input sheet(dashboard)'!$D$27*12,IF(D297=12,SUM(AD286:AD297),0),0)</f>
        <v>0</v>
      </c>
      <c r="AF297" s="17">
        <f t="shared" si="40"/>
        <v>-6785.7444874790526</v>
      </c>
      <c r="AG297" s="17">
        <f t="shared" si="41"/>
        <v>0</v>
      </c>
      <c r="AH297" s="3">
        <f>IF(B297&lt;='Input sheet(dashboard)'!$D$27*12,AH296*(1+'Input sheet(dashboard)'!$E$25)+AG297," ")</f>
        <v>22452102.534425929</v>
      </c>
    </row>
    <row r="298" spans="2:34">
      <c r="B298">
        <f t="shared" si="36"/>
        <v>295</v>
      </c>
      <c r="C298">
        <f t="shared" si="43"/>
        <v>25</v>
      </c>
      <c r="D298">
        <f t="shared" si="44"/>
        <v>7</v>
      </c>
      <c r="E298" s="15">
        <f>IF(C298&lt;='Input sheet(dashboard)'!$D$6, -PMT('Input sheet(dashboard)'!$E$5,'Input sheet(dashboard)'!$D$6*12,'Input sheet(dashboard)'!$D$3*'Input sheet(dashboard)'!$D$4),0)</f>
        <v>39834.137922259193</v>
      </c>
      <c r="F298" s="3">
        <f>I297*'Input sheet(dashboard)'!$E$5</f>
        <v>8499.0942381788354</v>
      </c>
      <c r="G298" s="3">
        <f>IF(C298&lt;='Input sheet(dashboard)'!$D$6,E298*'Input sheet(dashboard)'!$D$7,0)</f>
        <v>3186.7310337807357</v>
      </c>
      <c r="H298" s="3">
        <f t="shared" si="37"/>
        <v>31335.04368408036</v>
      </c>
      <c r="I298" s="3">
        <f t="shared" si="38"/>
        <v>2301793.5249087238</v>
      </c>
      <c r="J298" s="3">
        <f>IF(B298&lt;='Input sheet(dashboard)'!$D$27*12,'Input sheet(dashboard)'!$D$3*(1+'Input sheet(dashboard)'!$E$24)^B298,0)</f>
        <v>29427626.929253802</v>
      </c>
      <c r="K298" s="3">
        <f>IF(B298&lt;='Input sheet(dashboard)'!$D$27*12,J298*'Input sheet(dashboard)'!$E$8,0)</f>
        <v>30479.547314004696</v>
      </c>
      <c r="L298" s="3">
        <f>IF(B298&lt;='Input sheet(dashboard)'!$D$27*12,'Input sheet(dashboard)'!$D$9*(1+'Input sheet(dashboard)'!$E$22)^B298,0)</f>
        <v>5504.9022577947808</v>
      </c>
      <c r="M298" s="3">
        <f>IF(B298=1,'Input sheet(dashboard)'!$D$3*'Input sheet(dashboard)'!$D$10,0)</f>
        <v>0</v>
      </c>
      <c r="N298" s="3">
        <f>IF(B298='Input sheet(dashboard)'!$D$27*12,J298*'Input sheet(dashboard)'!$D$11,0)</f>
        <v>0</v>
      </c>
      <c r="O298" s="3">
        <f>IF(SUM(F298:F309)&gt;=150000,150000/12*'Input sheet(dashboard)'!$D$28,SUM(F298:F309)/12*'Input sheet(dashboard)'!$D$28)</f>
        <v>1179.5399959130268</v>
      </c>
      <c r="P298" s="3">
        <f t="shared" si="42"/>
        <v>0</v>
      </c>
      <c r="Q298" s="3">
        <f>IF(B298&lt;='Input sheet(dashboard)'!$D$27*12,'Input sheet(dashboard)'!$D$12/12,0)</f>
        <v>192.5</v>
      </c>
      <c r="R298" s="3">
        <f>IF(B298&lt;='Input sheet(dashboard)'!$D$27*12,('Input sheet(dashboard)'!$D$15/12)*(1+'Input sheet(dashboard)'!$E$22)^Calculations!B298,0)</f>
        <v>611.6558064216423</v>
      </c>
      <c r="S298" s="3">
        <f>IF(B298&lt;='Input sheet(dashboard)'!$D$27*12,(E298+G298+K298+L298-O298+M298+Q298+R298),0)</f>
        <v>78629.934338348015</v>
      </c>
      <c r="T298" s="3">
        <f>IF(B298&lt;='Input sheet(dashboard)'!$D$27*12,IF(D298=12,SUM(S287:S298),0),0)</f>
        <v>0</v>
      </c>
      <c r="U298" s="3">
        <f>IF(B298&lt;='Input sheet(dashboard)'!$D$27*12,IF(S298&lt;AD298,AD298-S298,0),0)</f>
        <v>6979.4598586249631</v>
      </c>
      <c r="V298" s="3">
        <f>IF(B298&lt;='Input sheet(dashboard)'!$D$27*12,V297*(1+'Input sheet(dashboard)'!$E$25)+U298,0)</f>
        <v>172633.38208946417</v>
      </c>
      <c r="W298" s="17">
        <f>IF(B298&lt;='Input sheet(dashboard)'!$D$27*12,J298-I298+V298-N298,0)</f>
        <v>27298466.786434542</v>
      </c>
      <c r="X298" s="3">
        <f>IF(B298&lt;='Input sheet(dashboard)'!$D$27*12,'Input sheet(dashboard)'!$D$17*(1+'Input sheet(dashboard)'!$E$23)^(B298-1),0)</f>
        <v>85609.394196972979</v>
      </c>
      <c r="Y298" s="3"/>
      <c r="Z298" s="18"/>
      <c r="AA298" s="18"/>
      <c r="AB298" s="3">
        <f>IF(B298=1,'Input sheet(dashboard)'!$D$18*Calculations!X298,IF(Calculations!B298=12*'Input sheet(dashboard)'!$D$27,'Input sheet(dashboard)'!$D$18*-Calculations!X298,0))</f>
        <v>0</v>
      </c>
      <c r="AC298" s="3">
        <f>IF(B298&lt;='Input sheet(dashboard)'!$D$27*12,IF(MOD(B297,'Input sheet(dashboard)'!$D$19*12),0,'Input sheet(dashboard)'!$D$20*(1+'Input sheet(dashboard)'!$E$22)^Calculations!B298),0)</f>
        <v>0</v>
      </c>
      <c r="AD298" s="17">
        <f t="shared" si="39"/>
        <v>85609.394196972979</v>
      </c>
      <c r="AE298" s="17">
        <f>IF(B298&lt;='Input sheet(dashboard)'!$D$27*12,IF(D298=12,SUM(AD287:AD298),0),0)</f>
        <v>0</v>
      </c>
      <c r="AF298" s="17">
        <f t="shared" si="40"/>
        <v>-6979.4598586249631</v>
      </c>
      <c r="AG298" s="17">
        <f t="shared" si="41"/>
        <v>0</v>
      </c>
      <c r="AH298" s="3">
        <f>IF(B298&lt;='Input sheet(dashboard)'!$D$27*12,AH297*(1+'Input sheet(dashboard)'!$E$25)+AG298," ")</f>
        <v>22596560.038165309</v>
      </c>
    </row>
    <row r="299" spans="2:34">
      <c r="B299">
        <f t="shared" si="36"/>
        <v>296</v>
      </c>
      <c r="C299">
        <f t="shared" si="43"/>
        <v>25</v>
      </c>
      <c r="D299">
        <f t="shared" si="44"/>
        <v>8</v>
      </c>
      <c r="E299" s="15">
        <f>IF(C299&lt;='Input sheet(dashboard)'!$D$6, -PMT('Input sheet(dashboard)'!$E$5,'Input sheet(dashboard)'!$D$6*12,'Input sheet(dashboard)'!$D$3*'Input sheet(dashboard)'!$D$4),0)</f>
        <v>39834.137922259193</v>
      </c>
      <c r="F299" s="3">
        <f>I298*'Input sheet(dashboard)'!$E$5</f>
        <v>8384.9472971085997</v>
      </c>
      <c r="G299" s="3">
        <f>IF(C299&lt;='Input sheet(dashboard)'!$D$6,E299*'Input sheet(dashboard)'!$D$7,0)</f>
        <v>3186.7310337807357</v>
      </c>
      <c r="H299" s="3">
        <f t="shared" si="37"/>
        <v>31449.190625150593</v>
      </c>
      <c r="I299" s="3">
        <f t="shared" si="38"/>
        <v>2270344.3342835731</v>
      </c>
      <c r="J299" s="3">
        <f>IF(B299&lt;='Input sheet(dashboard)'!$D$27*12,'Input sheet(dashboard)'!$D$3*(1+'Input sheet(dashboard)'!$E$24)^B299,0)</f>
        <v>29547518.724022608</v>
      </c>
      <c r="K299" s="3">
        <f>IF(B299&lt;='Input sheet(dashboard)'!$D$27*12,J299*'Input sheet(dashboard)'!$E$8,0)</f>
        <v>30603.724762631518</v>
      </c>
      <c r="L299" s="3">
        <f>IF(B299&lt;='Input sheet(dashboard)'!$D$27*12,'Input sheet(dashboard)'!$D$9*(1+'Input sheet(dashboard)'!$E$22)^B299,0)</f>
        <v>5516.241455127325</v>
      </c>
      <c r="M299" s="3">
        <f>IF(B299=1,'Input sheet(dashboard)'!$D$3*'Input sheet(dashboard)'!$D$10,0)</f>
        <v>0</v>
      </c>
      <c r="N299" s="3">
        <f>IF(B299='Input sheet(dashboard)'!$D$27*12,J299*'Input sheet(dashboard)'!$D$11,0)</f>
        <v>0</v>
      </c>
      <c r="O299" s="3">
        <f>IF(SUM(F299:F310)&gt;=150000,150000/12*'Input sheet(dashboard)'!$D$28,SUM(F299:F310)/12*'Input sheet(dashboard)'!$D$28)</f>
        <v>1162.0707090591518</v>
      </c>
      <c r="P299" s="3">
        <f t="shared" si="42"/>
        <v>0</v>
      </c>
      <c r="Q299" s="3">
        <f>IF(B299&lt;='Input sheet(dashboard)'!$D$27*12,'Input sheet(dashboard)'!$D$12/12,0)</f>
        <v>192.5</v>
      </c>
      <c r="R299" s="3">
        <f>IF(B299&lt;='Input sheet(dashboard)'!$D$27*12,('Input sheet(dashboard)'!$D$15/12)*(1+'Input sheet(dashboard)'!$E$22)^Calculations!B299,0)</f>
        <v>612.91571723636935</v>
      </c>
      <c r="S299" s="3">
        <f>IF(B299&lt;='Input sheet(dashboard)'!$D$27*12,(E299+G299+K299+L299-O299+M299+Q299+R299),0)</f>
        <v>78784.180181975986</v>
      </c>
      <c r="T299" s="3">
        <f>IF(B299&lt;='Input sheet(dashboard)'!$D$27*12,IF(D299=12,SUM(S288:S299),0),0)</f>
        <v>0</v>
      </c>
      <c r="U299" s="3">
        <f>IF(B299&lt;='Input sheet(dashboard)'!$D$27*12,IF(S299&lt;AD299,AD299-S299,0),0)</f>
        <v>7173.9972839986149</v>
      </c>
      <c r="V299" s="3">
        <f>IF(B299&lt;='Input sheet(dashboard)'!$D$27*12,V298*(1+'Input sheet(dashboard)'!$E$25)+U299,0)</f>
        <v>180918.10775181811</v>
      </c>
      <c r="W299" s="17">
        <f>IF(B299&lt;='Input sheet(dashboard)'!$D$27*12,J299-I299+V299-N299,0)</f>
        <v>27458092.497490853</v>
      </c>
      <c r="X299" s="3">
        <f>IF(B299&lt;='Input sheet(dashboard)'!$D$27*12,'Input sheet(dashboard)'!$D$17*(1+'Input sheet(dashboard)'!$E$23)^(B299-1),0)</f>
        <v>85958.177465974601</v>
      </c>
      <c r="Y299" s="3"/>
      <c r="Z299" s="18"/>
      <c r="AA299" s="18"/>
      <c r="AB299" s="3">
        <f>IF(B299=1,'Input sheet(dashboard)'!$D$18*Calculations!X299,IF(Calculations!B299=12*'Input sheet(dashboard)'!$D$27,'Input sheet(dashboard)'!$D$18*-Calculations!X299,0))</f>
        <v>0</v>
      </c>
      <c r="AC299" s="3">
        <f>IF(B299&lt;='Input sheet(dashboard)'!$D$27*12,IF(MOD(B298,'Input sheet(dashboard)'!$D$19*12),0,'Input sheet(dashboard)'!$D$20*(1+'Input sheet(dashboard)'!$E$22)^Calculations!B299),0)</f>
        <v>0</v>
      </c>
      <c r="AD299" s="17">
        <f t="shared" si="39"/>
        <v>85958.177465974601</v>
      </c>
      <c r="AE299" s="17">
        <f>IF(B299&lt;='Input sheet(dashboard)'!$D$27*12,IF(D299=12,SUM(AD288:AD299),0),0)</f>
        <v>0</v>
      </c>
      <c r="AF299" s="17">
        <f t="shared" si="40"/>
        <v>-7173.9972839986149</v>
      </c>
      <c r="AG299" s="17">
        <f t="shared" si="41"/>
        <v>0</v>
      </c>
      <c r="AH299" s="3">
        <f>IF(B299&lt;='Input sheet(dashboard)'!$D$27*12,AH298*(1+'Input sheet(dashboard)'!$E$25)+AG299," ")</f>
        <v>22741946.985833365</v>
      </c>
    </row>
    <row r="300" spans="2:34">
      <c r="B300">
        <f t="shared" si="36"/>
        <v>297</v>
      </c>
      <c r="C300">
        <f t="shared" si="43"/>
        <v>25</v>
      </c>
      <c r="D300">
        <f t="shared" si="44"/>
        <v>9</v>
      </c>
      <c r="E300" s="15">
        <f>IF(C300&lt;='Input sheet(dashboard)'!$D$6, -PMT('Input sheet(dashboard)'!$E$5,'Input sheet(dashboard)'!$D$6*12,'Input sheet(dashboard)'!$D$3*'Input sheet(dashboard)'!$D$4),0)</f>
        <v>39834.137922259193</v>
      </c>
      <c r="F300" s="3">
        <f>I299*'Input sheet(dashboard)'!$E$5</f>
        <v>8270.38454285849</v>
      </c>
      <c r="G300" s="3">
        <f>IF(C300&lt;='Input sheet(dashboard)'!$D$6,E300*'Input sheet(dashboard)'!$D$7,0)</f>
        <v>3186.7310337807357</v>
      </c>
      <c r="H300" s="3">
        <f t="shared" si="37"/>
        <v>31563.753379400703</v>
      </c>
      <c r="I300" s="3">
        <f t="shared" si="38"/>
        <v>2238780.5809041723</v>
      </c>
      <c r="J300" s="3">
        <f>IF(B300&lt;='Input sheet(dashboard)'!$D$27*12,'Input sheet(dashboard)'!$D$3*(1+'Input sheet(dashboard)'!$E$24)^B300,0)</f>
        <v>29667898.972803947</v>
      </c>
      <c r="K300" s="3">
        <f>IF(B300&lt;='Input sheet(dashboard)'!$D$27*12,J300*'Input sheet(dashboard)'!$E$8,0)</f>
        <v>30728.408125555186</v>
      </c>
      <c r="L300" s="3">
        <f>IF(B300&lt;='Input sheet(dashboard)'!$D$27*12,'Input sheet(dashboard)'!$D$9*(1+'Input sheet(dashboard)'!$E$22)^B300,0)</f>
        <v>5527.6040093498068</v>
      </c>
      <c r="M300" s="3">
        <f>IF(B300=1,'Input sheet(dashboard)'!$D$3*'Input sheet(dashboard)'!$D$10,0)</f>
        <v>0</v>
      </c>
      <c r="N300" s="3">
        <f>IF(B300='Input sheet(dashboard)'!$D$27*12,J300*'Input sheet(dashboard)'!$D$11,0)</f>
        <v>0</v>
      </c>
      <c r="O300" s="3">
        <f>IF(SUM(F300:F311)&gt;=150000,150000/12*'Input sheet(dashboard)'!$D$28,SUM(F300:F311)/12*'Input sheet(dashboard)'!$D$28)</f>
        <v>1144.5377852856302</v>
      </c>
      <c r="P300" s="3">
        <f t="shared" si="42"/>
        <v>0</v>
      </c>
      <c r="Q300" s="3">
        <f>IF(B300&lt;='Input sheet(dashboard)'!$D$27*12,'Input sheet(dashboard)'!$D$12/12,0)</f>
        <v>192.5</v>
      </c>
      <c r="R300" s="3">
        <f>IF(B300&lt;='Input sheet(dashboard)'!$D$27*12,('Input sheet(dashboard)'!$D$15/12)*(1+'Input sheet(dashboard)'!$E$22)^Calculations!B300,0)</f>
        <v>614.17822326108967</v>
      </c>
      <c r="S300" s="3">
        <f>IF(B300&lt;='Input sheet(dashboard)'!$D$27*12,(E300+G300+K300+L300-O300+M300+Q300+R300),0)</f>
        <v>78939.021528920377</v>
      </c>
      <c r="T300" s="3">
        <f>IF(B300&lt;='Input sheet(dashboard)'!$D$27*12,IF(D300=12,SUM(S289:S300),0),0)</f>
        <v>0</v>
      </c>
      <c r="U300" s="3">
        <f>IF(B300&lt;='Input sheet(dashboard)'!$D$27*12,IF(S300&lt;AD300,AD300-S300,0),0)</f>
        <v>7369.3601922674279</v>
      </c>
      <c r="V300" s="3">
        <f>IF(B300&lt;='Input sheet(dashboard)'!$D$27*12,V299*(1+'Input sheet(dashboard)'!$E$25)+U300,0)</f>
        <v>189451.50049680559</v>
      </c>
      <c r="W300" s="17">
        <f>IF(B300&lt;='Input sheet(dashboard)'!$D$27*12,J300-I300+V300-N300,0)</f>
        <v>27618569.89239658</v>
      </c>
      <c r="X300" s="3">
        <f>IF(B300&lt;='Input sheet(dashboard)'!$D$27*12,'Input sheet(dashboard)'!$D$17*(1+'Input sheet(dashboard)'!$E$23)^(B300-1),0)</f>
        <v>86308.381721187805</v>
      </c>
      <c r="Y300" s="3"/>
      <c r="Z300" s="18"/>
      <c r="AA300" s="18"/>
      <c r="AB300" s="3">
        <f>IF(B300=1,'Input sheet(dashboard)'!$D$18*Calculations!X300,IF(Calculations!B300=12*'Input sheet(dashboard)'!$D$27,'Input sheet(dashboard)'!$D$18*-Calculations!X300,0))</f>
        <v>0</v>
      </c>
      <c r="AC300" s="3">
        <f>IF(B300&lt;='Input sheet(dashboard)'!$D$27*12,IF(MOD(B299,'Input sheet(dashboard)'!$D$19*12),0,'Input sheet(dashboard)'!$D$20*(1+'Input sheet(dashboard)'!$E$22)^Calculations!B300),0)</f>
        <v>0</v>
      </c>
      <c r="AD300" s="17">
        <f t="shared" si="39"/>
        <v>86308.381721187805</v>
      </c>
      <c r="AE300" s="17">
        <f>IF(B300&lt;='Input sheet(dashboard)'!$D$27*12,IF(D300=12,SUM(AD289:AD300),0),0)</f>
        <v>0</v>
      </c>
      <c r="AF300" s="17">
        <f t="shared" si="40"/>
        <v>-7369.3601922674279</v>
      </c>
      <c r="AG300" s="17">
        <f t="shared" si="41"/>
        <v>0</v>
      </c>
      <c r="AH300" s="3">
        <f>IF(B300&lt;='Input sheet(dashboard)'!$D$27*12,AH299*(1+'Input sheet(dashboard)'!$E$25)+AG300," ")</f>
        <v>22888269.357500318</v>
      </c>
    </row>
    <row r="301" spans="2:34">
      <c r="B301">
        <f t="shared" si="36"/>
        <v>298</v>
      </c>
      <c r="C301">
        <f t="shared" si="43"/>
        <v>25</v>
      </c>
      <c r="D301">
        <f t="shared" si="44"/>
        <v>10</v>
      </c>
      <c r="E301" s="15">
        <f>IF(C301&lt;='Input sheet(dashboard)'!$D$6, -PMT('Input sheet(dashboard)'!$E$5,'Input sheet(dashboard)'!$D$6*12,'Input sheet(dashboard)'!$D$3*'Input sheet(dashboard)'!$D$4),0)</f>
        <v>39834.137922259193</v>
      </c>
      <c r="F301" s="3">
        <f>I300*'Input sheet(dashboard)'!$E$5</f>
        <v>8155.4044607089827</v>
      </c>
      <c r="G301" s="3">
        <f>IF(C301&lt;='Input sheet(dashboard)'!$D$6,E301*'Input sheet(dashboard)'!$D$7,0)</f>
        <v>3186.7310337807357</v>
      </c>
      <c r="H301" s="3">
        <f t="shared" si="37"/>
        <v>31678.733461550211</v>
      </c>
      <c r="I301" s="3">
        <f t="shared" si="38"/>
        <v>2207101.8474426218</v>
      </c>
      <c r="J301" s="3">
        <f>IF(B301&lt;='Input sheet(dashboard)'!$D$27*12,'Input sheet(dashboard)'!$D$3*(1+'Input sheet(dashboard)'!$E$24)^B301,0)</f>
        <v>29788769.665619925</v>
      </c>
      <c r="K301" s="3">
        <f>IF(B301&lt;='Input sheet(dashboard)'!$D$27*12,J301*'Input sheet(dashboard)'!$E$8,0)</f>
        <v>30853.599463933166</v>
      </c>
      <c r="L301" s="3">
        <f>IF(B301&lt;='Input sheet(dashboard)'!$D$27*12,'Input sheet(dashboard)'!$D$9*(1+'Input sheet(dashboard)'!$E$22)^B301,0)</f>
        <v>5538.9899685735936</v>
      </c>
      <c r="M301" s="3">
        <f>IF(B301=1,'Input sheet(dashboard)'!$D$3*'Input sheet(dashboard)'!$D$10,0)</f>
        <v>0</v>
      </c>
      <c r="N301" s="3">
        <f>IF(B301='Input sheet(dashboard)'!$D$27*12,J301*'Input sheet(dashboard)'!$D$11,0)</f>
        <v>0</v>
      </c>
      <c r="O301" s="3">
        <f>IF(SUM(F301:F312)&gt;=150000,150000/12*'Input sheet(dashboard)'!$D$28,SUM(F301:F312)/12*'Input sheet(dashboard)'!$D$28)</f>
        <v>1126.9409927766142</v>
      </c>
      <c r="P301" s="3">
        <f t="shared" si="42"/>
        <v>0</v>
      </c>
      <c r="Q301" s="3">
        <f>IF(B301&lt;='Input sheet(dashboard)'!$D$27*12,'Input sheet(dashboard)'!$D$12/12,0)</f>
        <v>192.5</v>
      </c>
      <c r="R301" s="3">
        <f>IF(B301&lt;='Input sheet(dashboard)'!$D$27*12,('Input sheet(dashboard)'!$D$15/12)*(1+'Input sheet(dashboard)'!$E$22)^Calculations!B301,0)</f>
        <v>615.44332984151038</v>
      </c>
      <c r="S301" s="3">
        <f>IF(B301&lt;='Input sheet(dashboard)'!$D$27*12,(E301+G301+K301+L301-O301+M301+Q301+R301),0)</f>
        <v>79094.460725611585</v>
      </c>
      <c r="T301" s="3">
        <f>IF(B301&lt;='Input sheet(dashboard)'!$D$27*12,IF(D301=12,SUM(S290:S301),0),0)</f>
        <v>0</v>
      </c>
      <c r="U301" s="3">
        <f>IF(B301&lt;='Input sheet(dashboard)'!$D$27*12,IF(S301&lt;AD301,AD301-S301,0),0)</f>
        <v>7565.5520262747159</v>
      </c>
      <c r="V301" s="3">
        <f>IF(B301&lt;='Input sheet(dashboard)'!$D$27*12,V300*(1+'Input sheet(dashboard)'!$E$25)+U301,0)</f>
        <v>198235.98918166209</v>
      </c>
      <c r="W301" s="17">
        <f>IF(B301&lt;='Input sheet(dashboard)'!$D$27*12,J301-I301+V301-N301,0)</f>
        <v>27779903.807358965</v>
      </c>
      <c r="X301" s="3">
        <f>IF(B301&lt;='Input sheet(dashboard)'!$D$27*12,'Input sheet(dashboard)'!$D$17*(1+'Input sheet(dashboard)'!$E$23)^(B301-1),0)</f>
        <v>86660.012751886301</v>
      </c>
      <c r="Y301" s="3"/>
      <c r="Z301" s="18"/>
      <c r="AA301" s="18"/>
      <c r="AB301" s="3">
        <f>IF(B301=1,'Input sheet(dashboard)'!$D$18*Calculations!X301,IF(Calculations!B301=12*'Input sheet(dashboard)'!$D$27,'Input sheet(dashboard)'!$D$18*-Calculations!X301,0))</f>
        <v>0</v>
      </c>
      <c r="AC301" s="3">
        <f>IF(B301&lt;='Input sheet(dashboard)'!$D$27*12,IF(MOD(B300,'Input sheet(dashboard)'!$D$19*12),0,'Input sheet(dashboard)'!$D$20*(1+'Input sheet(dashboard)'!$E$22)^Calculations!B301),0)</f>
        <v>0</v>
      </c>
      <c r="AD301" s="17">
        <f t="shared" si="39"/>
        <v>86660.012751886301</v>
      </c>
      <c r="AE301" s="17">
        <f>IF(B301&lt;='Input sheet(dashboard)'!$D$27*12,IF(D301=12,SUM(AD290:AD301),0),0)</f>
        <v>0</v>
      </c>
      <c r="AF301" s="17">
        <f t="shared" si="40"/>
        <v>-7565.5520262747159</v>
      </c>
      <c r="AG301" s="17">
        <f t="shared" si="41"/>
        <v>0</v>
      </c>
      <c r="AH301" s="3">
        <f>IF(B301&lt;='Input sheet(dashboard)'!$D$27*12,AH300*(1+'Input sheet(dashboard)'!$E$25)+AG301," ")</f>
        <v>23035533.171712343</v>
      </c>
    </row>
    <row r="302" spans="2:34">
      <c r="B302">
        <f t="shared" si="36"/>
        <v>299</v>
      </c>
      <c r="C302">
        <f t="shared" si="43"/>
        <v>25</v>
      </c>
      <c r="D302">
        <f t="shared" si="44"/>
        <v>11</v>
      </c>
      <c r="E302" s="15">
        <f>IF(C302&lt;='Input sheet(dashboard)'!$D$6, -PMT('Input sheet(dashboard)'!$E$5,'Input sheet(dashboard)'!$D$6*12,'Input sheet(dashboard)'!$D$3*'Input sheet(dashboard)'!$D$4),0)</f>
        <v>39834.137922259193</v>
      </c>
      <c r="F302" s="3">
        <f>I301*'Input sheet(dashboard)'!$E$5</f>
        <v>8040.0055304227462</v>
      </c>
      <c r="G302" s="3">
        <f>IF(C302&lt;='Input sheet(dashboard)'!$D$6,E302*'Input sheet(dashboard)'!$D$7,0)</f>
        <v>3186.7310337807357</v>
      </c>
      <c r="H302" s="3">
        <f t="shared" si="37"/>
        <v>31794.132391836447</v>
      </c>
      <c r="I302" s="3">
        <f t="shared" si="38"/>
        <v>2175307.7150507853</v>
      </c>
      <c r="J302" s="3">
        <f>IF(B302&lt;='Input sheet(dashboard)'!$D$27*12,'Input sheet(dashboard)'!$D$3*(1+'Input sheet(dashboard)'!$E$24)^B302,0)</f>
        <v>29910132.800600249</v>
      </c>
      <c r="K302" s="3">
        <f>IF(B302&lt;='Input sheet(dashboard)'!$D$27*12,J302*'Input sheet(dashboard)'!$E$8,0)</f>
        <v>30979.300847320337</v>
      </c>
      <c r="L302" s="3">
        <f>IF(B302&lt;='Input sheet(dashboard)'!$D$27*12,'Input sheet(dashboard)'!$D$9*(1+'Input sheet(dashboard)'!$E$22)^B302,0)</f>
        <v>5550.3993810091561</v>
      </c>
      <c r="M302" s="3">
        <f>IF(B302=1,'Input sheet(dashboard)'!$D$3*'Input sheet(dashboard)'!$D$10,0)</f>
        <v>0</v>
      </c>
      <c r="N302" s="3">
        <f>IF(B302='Input sheet(dashboard)'!$D$27*12,J302*'Input sheet(dashboard)'!$D$11,0)</f>
        <v>0</v>
      </c>
      <c r="O302" s="3">
        <f>IF(SUM(F302:F313)&gt;=150000,150000/12*'Input sheet(dashboard)'!$D$28,SUM(F302:F313)/12*'Input sheet(dashboard)'!$D$28)</f>
        <v>1109.2800988718</v>
      </c>
      <c r="P302" s="3">
        <f t="shared" si="42"/>
        <v>0</v>
      </c>
      <c r="Q302" s="3">
        <f>IF(B302&lt;='Input sheet(dashboard)'!$D$27*12,'Input sheet(dashboard)'!$D$12/12,0)</f>
        <v>192.5</v>
      </c>
      <c r="R302" s="3">
        <f>IF(B302&lt;='Input sheet(dashboard)'!$D$27*12,('Input sheet(dashboard)'!$D$15/12)*(1+'Input sheet(dashboard)'!$E$22)^Calculations!B302,0)</f>
        <v>616.71104233435062</v>
      </c>
      <c r="S302" s="3">
        <f>IF(B302&lt;='Input sheet(dashboard)'!$D$27*12,(E302+G302+K302+L302-O302+M302+Q302+R302),0)</f>
        <v>79250.500127831998</v>
      </c>
      <c r="T302" s="3">
        <f>IF(B302&lt;='Input sheet(dashboard)'!$D$27*12,IF(D302=12,SUM(S291:S302),0),0)</f>
        <v>0</v>
      </c>
      <c r="U302" s="3">
        <f>IF(B302&lt;='Input sheet(dashboard)'!$D$27*12,IF(S302&lt;AD302,AD302-S302,0),0)</f>
        <v>7762.5762430980394</v>
      </c>
      <c r="V302" s="3">
        <f>IF(B302&lt;='Input sheet(dashboard)'!$D$27*12,V301*(1+'Input sheet(dashboard)'!$E$25)+U302,0)</f>
        <v>207274.02174804127</v>
      </c>
      <c r="W302" s="17">
        <f>IF(B302&lt;='Input sheet(dashboard)'!$D$27*12,J302-I302+V302-N302,0)</f>
        <v>27942099.107297502</v>
      </c>
      <c r="X302" s="3">
        <f>IF(B302&lt;='Input sheet(dashboard)'!$D$27*12,'Input sheet(dashboard)'!$D$17*(1+'Input sheet(dashboard)'!$E$23)^(B302-1),0)</f>
        <v>87013.076370930037</v>
      </c>
      <c r="Y302" s="3"/>
      <c r="Z302" s="18"/>
      <c r="AA302" s="18"/>
      <c r="AB302" s="3">
        <f>IF(B302=1,'Input sheet(dashboard)'!$D$18*Calculations!X302,IF(Calculations!B302=12*'Input sheet(dashboard)'!$D$27,'Input sheet(dashboard)'!$D$18*-Calculations!X302,0))</f>
        <v>0</v>
      </c>
      <c r="AC302" s="3">
        <f>IF(B302&lt;='Input sheet(dashboard)'!$D$27*12,IF(MOD(B301,'Input sheet(dashboard)'!$D$19*12),0,'Input sheet(dashboard)'!$D$20*(1+'Input sheet(dashboard)'!$E$22)^Calculations!B302),0)</f>
        <v>0</v>
      </c>
      <c r="AD302" s="17">
        <f t="shared" si="39"/>
        <v>87013.076370930037</v>
      </c>
      <c r="AE302" s="17">
        <f>IF(B302&lt;='Input sheet(dashboard)'!$D$27*12,IF(D302=12,SUM(AD291:AD302),0),0)</f>
        <v>0</v>
      </c>
      <c r="AF302" s="17">
        <f t="shared" si="40"/>
        <v>-7762.5762430980394</v>
      </c>
      <c r="AG302" s="17">
        <f t="shared" si="41"/>
        <v>0</v>
      </c>
      <c r="AH302" s="3">
        <f>IF(B302&lt;='Input sheet(dashboard)'!$D$27*12,AH301*(1+'Input sheet(dashboard)'!$E$25)+AG302," ")</f>
        <v>23183744.485739123</v>
      </c>
    </row>
    <row r="303" spans="2:34">
      <c r="B303">
        <f t="shared" si="36"/>
        <v>300</v>
      </c>
      <c r="C303">
        <f t="shared" si="43"/>
        <v>25</v>
      </c>
      <c r="D303">
        <f t="shared" si="44"/>
        <v>12</v>
      </c>
      <c r="E303" s="15">
        <f>IF(C303&lt;='Input sheet(dashboard)'!$D$6, -PMT('Input sheet(dashboard)'!$E$5,'Input sheet(dashboard)'!$D$6*12,'Input sheet(dashboard)'!$D$3*'Input sheet(dashboard)'!$D$4),0)</f>
        <v>39834.137922259193</v>
      </c>
      <c r="F303" s="3">
        <f>I302*'Input sheet(dashboard)'!$E$5</f>
        <v>7924.1862262245504</v>
      </c>
      <c r="G303" s="3">
        <f>IF(C303&lt;='Input sheet(dashboard)'!$D$6,E303*'Input sheet(dashboard)'!$D$7,0)</f>
        <v>3186.7310337807357</v>
      </c>
      <c r="H303" s="3">
        <f t="shared" si="37"/>
        <v>31909.951696034645</v>
      </c>
      <c r="I303" s="3">
        <f t="shared" si="38"/>
        <v>2143397.7633547508</v>
      </c>
      <c r="J303" s="3">
        <f>IF(B303&lt;='Input sheet(dashboard)'!$D$27*12,'Input sheet(dashboard)'!$D$3*(1+'Input sheet(dashboard)'!$E$24)^B303,0)</f>
        <v>30031990.384015258</v>
      </c>
      <c r="K303" s="3">
        <f>IF(B303&lt;='Input sheet(dashboard)'!$D$27*12,J303*'Input sheet(dashboard)'!$E$8,0)</f>
        <v>31105.514353703205</v>
      </c>
      <c r="L303" s="3">
        <f>IF(B303&lt;='Input sheet(dashboard)'!$D$27*12,'Input sheet(dashboard)'!$D$9*(1+'Input sheet(dashboard)'!$E$22)^B303,0)</f>
        <v>5561.8322949662725</v>
      </c>
      <c r="M303" s="3">
        <f>IF(B303=1,'Input sheet(dashboard)'!$D$3*'Input sheet(dashboard)'!$D$10,0)</f>
        <v>0</v>
      </c>
      <c r="N303" s="3">
        <f>IF(B303='Input sheet(dashboard)'!$D$27*12,J303*'Input sheet(dashboard)'!$D$11,0)</f>
        <v>0</v>
      </c>
      <c r="O303" s="3">
        <f>IF(SUM(F303:F314)&gt;=150000,150000/12*'Input sheet(dashboard)'!$D$28,SUM(F303:F314)/12*'Input sheet(dashboard)'!$D$28)</f>
        <v>1091.554870063351</v>
      </c>
      <c r="P303" s="3">
        <f t="shared" si="42"/>
        <v>16567.578365874168</v>
      </c>
      <c r="Q303" s="3">
        <f>IF(B303&lt;='Input sheet(dashboard)'!$D$27*12,'Input sheet(dashboard)'!$D$12/12,0)</f>
        <v>192.5</v>
      </c>
      <c r="R303" s="3">
        <f>IF(B303&lt;='Input sheet(dashboard)'!$D$27*12,('Input sheet(dashboard)'!$D$15/12)*(1+'Input sheet(dashboard)'!$E$22)^Calculations!B303,0)</f>
        <v>617.98136610736356</v>
      </c>
      <c r="S303" s="3">
        <f>IF(B303&lt;='Input sheet(dashboard)'!$D$27*12,(E303+G303+K303+L303-O303+M303+Q303+R303),0)</f>
        <v>79407.142100753408</v>
      </c>
      <c r="T303" s="3">
        <f>IF(B303&lt;='Input sheet(dashboard)'!$D$27*12,IF(D303=12,SUM(S292:S303),0),0)</f>
        <v>942678.73719231749</v>
      </c>
      <c r="U303" s="3">
        <f>IF(B303&lt;='Input sheet(dashboard)'!$D$27*12,IF(S303&lt;AD303,AD303-S303,0),0)</f>
        <v>7960.4363141078502</v>
      </c>
      <c r="V303" s="3">
        <f>IF(B303&lt;='Input sheet(dashboard)'!$D$27*12,V302*(1+'Input sheet(dashboard)'!$E$25)+U303,0)</f>
        <v>216568.06535909753</v>
      </c>
      <c r="W303" s="17">
        <f>IF(B303&lt;='Input sheet(dashboard)'!$D$27*12,J303-I303+V303-N303,0)</f>
        <v>28105160.686019603</v>
      </c>
      <c r="X303" s="3">
        <f>IF(B303&lt;='Input sheet(dashboard)'!$D$27*12,'Input sheet(dashboard)'!$D$17*(1+'Input sheet(dashboard)'!$E$23)^(B303-1),0)</f>
        <v>87367.578414861258</v>
      </c>
      <c r="Y303" s="3"/>
      <c r="Z303" s="18"/>
      <c r="AA303" s="18"/>
      <c r="AB303" s="3">
        <f>IF(B303=1,'Input sheet(dashboard)'!$D$18*Calculations!X303,IF(Calculations!B303=12*'Input sheet(dashboard)'!$D$27,'Input sheet(dashboard)'!$D$18*-Calculations!X303,0))</f>
        <v>0</v>
      </c>
      <c r="AC303" s="3">
        <f>IF(B303&lt;='Input sheet(dashboard)'!$D$27*12,IF(MOD(B302,'Input sheet(dashboard)'!$D$19*12),0,'Input sheet(dashboard)'!$D$20*(1+'Input sheet(dashboard)'!$E$22)^Calculations!B303),0)</f>
        <v>0</v>
      </c>
      <c r="AD303" s="17">
        <f t="shared" si="39"/>
        <v>87367.578414861258</v>
      </c>
      <c r="AE303" s="17">
        <f>IF(B303&lt;='Input sheet(dashboard)'!$D$27*12,IF(D303=12,SUM(AD292:AD303),0),0)</f>
        <v>1025327.3891336164</v>
      </c>
      <c r="AF303" s="17">
        <f t="shared" si="40"/>
        <v>-7960.4363141078502</v>
      </c>
      <c r="AG303" s="17">
        <f t="shared" si="41"/>
        <v>0</v>
      </c>
      <c r="AH303" s="3">
        <f>IF(B303&lt;='Input sheet(dashboard)'!$D$27*12,AH302*(1+'Input sheet(dashboard)'!$E$25)+AG303," ")</f>
        <v>23332909.395822994</v>
      </c>
    </row>
    <row r="304" spans="2:34">
      <c r="B304">
        <f t="shared" si="36"/>
        <v>301</v>
      </c>
      <c r="C304">
        <f t="shared" si="43"/>
        <v>26</v>
      </c>
      <c r="D304">
        <f t="shared" si="44"/>
        <v>1</v>
      </c>
      <c r="E304" s="15">
        <f>IF(C304&lt;='Input sheet(dashboard)'!$D$6, -PMT('Input sheet(dashboard)'!$E$5,'Input sheet(dashboard)'!$D$6*12,'Input sheet(dashboard)'!$D$3*'Input sheet(dashboard)'!$D$4),0)</f>
        <v>39834.137922259193</v>
      </c>
      <c r="F304" s="3">
        <f>I303*'Input sheet(dashboard)'!$E$5</f>
        <v>7807.9450167810837</v>
      </c>
      <c r="G304" s="3">
        <f>IF(C304&lt;='Input sheet(dashboard)'!$D$6,E304*'Input sheet(dashboard)'!$D$7,0)</f>
        <v>3186.7310337807357</v>
      </c>
      <c r="H304" s="3">
        <f t="shared" si="37"/>
        <v>32026.19290547811</v>
      </c>
      <c r="I304" s="3">
        <f t="shared" si="38"/>
        <v>2111371.5704492726</v>
      </c>
      <c r="J304" s="3">
        <f>IF(B304&lt;='Input sheet(dashboard)'!$D$27*12,'Input sheet(dashboard)'!$D$3*(1+'Input sheet(dashboard)'!$E$24)^B304,0)</f>
        <v>30154344.430309072</v>
      </c>
      <c r="K304" s="3">
        <f>IF(B304&lt;='Input sheet(dashboard)'!$D$27*12,J304*'Input sheet(dashboard)'!$E$8,0)</f>
        <v>31232.242069534241</v>
      </c>
      <c r="L304" s="3">
        <f>IF(B304&lt;='Input sheet(dashboard)'!$D$27*12,'Input sheet(dashboard)'!$D$9*(1+'Input sheet(dashboard)'!$E$22)^B304,0)</f>
        <v>5573.2887588542253</v>
      </c>
      <c r="M304" s="3">
        <f>IF(B304=1,'Input sheet(dashboard)'!$D$3*'Input sheet(dashboard)'!$D$10,0)</f>
        <v>0</v>
      </c>
      <c r="N304" s="3">
        <f>IF(B304='Input sheet(dashboard)'!$D$27*12,J304*'Input sheet(dashboard)'!$D$11,0)</f>
        <v>0</v>
      </c>
      <c r="O304" s="3">
        <f>IF(SUM(F304:F315)&gt;=150000,150000/12*'Input sheet(dashboard)'!$D$28,SUM(F304:F315)/12*'Input sheet(dashboard)'!$D$28)</f>
        <v>1073.7650719928115</v>
      </c>
      <c r="P304" s="3">
        <f t="shared" si="42"/>
        <v>0</v>
      </c>
      <c r="Q304" s="3">
        <f>IF(B304&lt;='Input sheet(dashboard)'!$D$27*12,'Input sheet(dashboard)'!$D$12/12,0)</f>
        <v>192.5</v>
      </c>
      <c r="R304" s="3">
        <f>IF(B304&lt;='Input sheet(dashboard)'!$D$27*12,('Input sheet(dashboard)'!$D$15/12)*(1+'Input sheet(dashboard)'!$E$22)^Calculations!B304,0)</f>
        <v>619.25430653935837</v>
      </c>
      <c r="S304" s="3">
        <f>IF(B304&lt;='Input sheet(dashboard)'!$D$27*12,(E304+G304+K304+L304-O304+M304+Q304+R304),0)</f>
        <v>79564.389018974936</v>
      </c>
      <c r="T304" s="3">
        <f>IF(B304&lt;='Input sheet(dashboard)'!$D$27*12,IF(D304=12,SUM(S293:S304),0),0)</f>
        <v>0</v>
      </c>
      <c r="U304" s="3">
        <f>IF(B304&lt;='Input sheet(dashboard)'!$D$27*12,IF(S304&lt;AD304,AD304-S304,0),0)</f>
        <v>8159.1357250260626</v>
      </c>
      <c r="V304" s="3">
        <f>IF(B304&lt;='Input sheet(dashboard)'!$D$27*12,V303*(1+'Input sheet(dashboard)'!$E$25)+U304,0)</f>
        <v>226120.60653750919</v>
      </c>
      <c r="W304" s="17">
        <f>IF(B304&lt;='Input sheet(dashboard)'!$D$27*12,J304-I304+V304-N304,0)</f>
        <v>28269093.466397308</v>
      </c>
      <c r="X304" s="3">
        <f>IF(B304&lt;='Input sheet(dashboard)'!$D$27*12,'Input sheet(dashboard)'!$D$17*(1+'Input sheet(dashboard)'!$E$23)^(B304-1),0)</f>
        <v>87723.524744000999</v>
      </c>
      <c r="Y304" s="3"/>
      <c r="Z304" s="18"/>
      <c r="AA304" s="18"/>
      <c r="AB304" s="3">
        <f>IF(B304=1,'Input sheet(dashboard)'!$D$18*Calculations!X304,IF(Calculations!B304=12*'Input sheet(dashboard)'!$D$27,'Input sheet(dashboard)'!$D$18*-Calculations!X304,0))</f>
        <v>0</v>
      </c>
      <c r="AC304" s="3">
        <f>IF(B304&lt;='Input sheet(dashboard)'!$D$27*12,IF(MOD(B303,'Input sheet(dashboard)'!$D$19*12),0,'Input sheet(dashboard)'!$D$20*(1+'Input sheet(dashboard)'!$E$22)^Calculations!B304),0)</f>
        <v>0</v>
      </c>
      <c r="AD304" s="17">
        <f t="shared" si="39"/>
        <v>87723.524744000999</v>
      </c>
      <c r="AE304" s="17">
        <f>IF(B304&lt;='Input sheet(dashboard)'!$D$27*12,IF(D304=12,SUM(AD293:AD304),0),0)</f>
        <v>0</v>
      </c>
      <c r="AF304" s="17">
        <f t="shared" si="40"/>
        <v>-8159.1357250260626</v>
      </c>
      <c r="AG304" s="17">
        <f t="shared" si="41"/>
        <v>0</v>
      </c>
      <c r="AH304" s="3">
        <f>IF(B304&lt;='Input sheet(dashboard)'!$D$27*12,AH303*(1+'Input sheet(dashboard)'!$E$25)+AG304," ")</f>
        <v>23483034.037429702</v>
      </c>
    </row>
    <row r="305" spans="2:34">
      <c r="B305">
        <f t="shared" si="36"/>
        <v>302</v>
      </c>
      <c r="C305">
        <f t="shared" si="43"/>
        <v>26</v>
      </c>
      <c r="D305">
        <f t="shared" si="44"/>
        <v>2</v>
      </c>
      <c r="E305" s="15">
        <f>IF(C305&lt;='Input sheet(dashboard)'!$D$6, -PMT('Input sheet(dashboard)'!$E$5,'Input sheet(dashboard)'!$D$6*12,'Input sheet(dashboard)'!$D$3*'Input sheet(dashboard)'!$D$4),0)</f>
        <v>39834.137922259193</v>
      </c>
      <c r="F305" s="3">
        <f>I304*'Input sheet(dashboard)'!$E$5</f>
        <v>7691.2803651807117</v>
      </c>
      <c r="G305" s="3">
        <f>IF(C305&lt;='Input sheet(dashboard)'!$D$6,E305*'Input sheet(dashboard)'!$D$7,0)</f>
        <v>3186.7310337807357</v>
      </c>
      <c r="H305" s="3">
        <f t="shared" si="37"/>
        <v>32142.857557078481</v>
      </c>
      <c r="I305" s="3">
        <f t="shared" si="38"/>
        <v>2079228.712892194</v>
      </c>
      <c r="J305" s="3">
        <f>IF(B305&lt;='Input sheet(dashboard)'!$D$27*12,'Input sheet(dashboard)'!$D$3*(1+'Input sheet(dashboard)'!$E$24)^B305,0)</f>
        <v>30277196.96213292</v>
      </c>
      <c r="K305" s="3">
        <f>IF(B305&lt;='Input sheet(dashboard)'!$D$27*12,J305*'Input sheet(dashboard)'!$E$8,0)</f>
        <v>31359.486089766393</v>
      </c>
      <c r="L305" s="3">
        <f>IF(B305&lt;='Input sheet(dashboard)'!$D$27*12,'Input sheet(dashboard)'!$D$9*(1+'Input sheet(dashboard)'!$E$22)^B305,0)</f>
        <v>5584.7688211820214</v>
      </c>
      <c r="M305" s="3">
        <f>IF(B305=1,'Input sheet(dashboard)'!$D$3*'Input sheet(dashboard)'!$D$10,0)</f>
        <v>0</v>
      </c>
      <c r="N305" s="3">
        <f>IF(B305='Input sheet(dashboard)'!$D$27*12,J305*'Input sheet(dashboard)'!$D$11,0)</f>
        <v>0</v>
      </c>
      <c r="O305" s="3">
        <f>IF(SUM(F305:F316)&gt;=150000,150000/12*'Input sheet(dashboard)'!$D$28,SUM(F305:F316)/12*'Input sheet(dashboard)'!$D$28)</f>
        <v>1055.9104694480075</v>
      </c>
      <c r="P305" s="3">
        <f t="shared" si="42"/>
        <v>0</v>
      </c>
      <c r="Q305" s="3">
        <f>IF(B305&lt;='Input sheet(dashboard)'!$D$27*12,'Input sheet(dashboard)'!$D$12/12,0)</f>
        <v>192.5</v>
      </c>
      <c r="R305" s="3">
        <f>IF(B305&lt;='Input sheet(dashboard)'!$D$27*12,('Input sheet(dashboard)'!$D$15/12)*(1+'Input sheet(dashboard)'!$E$22)^Calculations!B305,0)</f>
        <v>620.52986902022451</v>
      </c>
      <c r="S305" s="3">
        <f>IF(B305&lt;='Input sheet(dashboard)'!$D$27*12,(E305+G305+K305+L305-O305+M305+Q305+R305),0)</f>
        <v>79722.243266560559</v>
      </c>
      <c r="T305" s="3">
        <f>IF(B305&lt;='Input sheet(dashboard)'!$D$27*12,IF(D305=12,SUM(S294:S305),0),0)</f>
        <v>0</v>
      </c>
      <c r="U305" s="3">
        <f>IF(B305&lt;='Input sheet(dashboard)'!$D$27*12,IF(S305&lt;AD305,AD305-S305,0),0)</f>
        <v>8358.6779759854544</v>
      </c>
      <c r="V305" s="3">
        <f>IF(B305&lt;='Input sheet(dashboard)'!$D$27*12,V304*(1+'Input sheet(dashboard)'!$E$25)+U305,0)</f>
        <v>235934.15130444922</v>
      </c>
      <c r="W305" s="17">
        <f>IF(B305&lt;='Input sheet(dashboard)'!$D$27*12,J305-I305+V305-N305,0)</f>
        <v>28433902.400545176</v>
      </c>
      <c r="X305" s="3">
        <f>IF(B305&lt;='Input sheet(dashboard)'!$D$27*12,'Input sheet(dashboard)'!$D$17*(1+'Input sheet(dashboard)'!$E$23)^(B305-1),0)</f>
        <v>88080.921242546014</v>
      </c>
      <c r="Y305" s="3"/>
      <c r="Z305" s="18"/>
      <c r="AA305" s="18"/>
      <c r="AB305" s="3">
        <f>IF(B305=1,'Input sheet(dashboard)'!$D$18*Calculations!X305,IF(Calculations!B305=12*'Input sheet(dashboard)'!$D$27,'Input sheet(dashboard)'!$D$18*-Calculations!X305,0))</f>
        <v>0</v>
      </c>
      <c r="AC305" s="3">
        <f>IF(B305&lt;='Input sheet(dashboard)'!$D$27*12,IF(MOD(B304,'Input sheet(dashboard)'!$D$19*12),0,'Input sheet(dashboard)'!$D$20*(1+'Input sheet(dashboard)'!$E$22)^Calculations!B305),0)</f>
        <v>0</v>
      </c>
      <c r="AD305" s="17">
        <f t="shared" si="39"/>
        <v>88080.921242546014</v>
      </c>
      <c r="AE305" s="17">
        <f>IF(B305&lt;='Input sheet(dashboard)'!$D$27*12,IF(D305=12,SUM(AD294:AD305),0),0)</f>
        <v>0</v>
      </c>
      <c r="AF305" s="17">
        <f t="shared" si="40"/>
        <v>-8358.6779759854544</v>
      </c>
      <c r="AG305" s="17">
        <f t="shared" si="41"/>
        <v>0</v>
      </c>
      <c r="AH305" s="3">
        <f>IF(B305&lt;='Input sheet(dashboard)'!$D$27*12,AH304*(1+'Input sheet(dashboard)'!$E$25)+AG305," ")</f>
        <v>23634124.585500758</v>
      </c>
    </row>
    <row r="306" spans="2:34">
      <c r="B306">
        <f t="shared" si="36"/>
        <v>303</v>
      </c>
      <c r="C306">
        <f t="shared" si="43"/>
        <v>26</v>
      </c>
      <c r="D306">
        <f t="shared" si="44"/>
        <v>3</v>
      </c>
      <c r="E306" s="15">
        <f>IF(C306&lt;='Input sheet(dashboard)'!$D$6, -PMT('Input sheet(dashboard)'!$E$5,'Input sheet(dashboard)'!$D$6*12,'Input sheet(dashboard)'!$D$3*'Input sheet(dashboard)'!$D$4),0)</f>
        <v>39834.137922259193</v>
      </c>
      <c r="F306" s="3">
        <f>I305*'Input sheet(dashboard)'!$E$5</f>
        <v>7574.1907289131577</v>
      </c>
      <c r="G306" s="3">
        <f>IF(C306&lt;='Input sheet(dashboard)'!$D$6,E306*'Input sheet(dashboard)'!$D$7,0)</f>
        <v>3186.7310337807357</v>
      </c>
      <c r="H306" s="3">
        <f t="shared" si="37"/>
        <v>32259.947193346037</v>
      </c>
      <c r="I306" s="3">
        <f t="shared" si="38"/>
        <v>2046968.7656988481</v>
      </c>
      <c r="J306" s="3">
        <f>IF(B306&lt;='Input sheet(dashboard)'!$D$27*12,'Input sheet(dashboard)'!$D$3*(1+'Input sheet(dashboard)'!$E$24)^B306,0)</f>
        <v>30400550.010378554</v>
      </c>
      <c r="K306" s="3">
        <f>IF(B306&lt;='Input sheet(dashboard)'!$D$27*12,J306*'Input sheet(dashboard)'!$E$8,0)</f>
        <v>31487.248517887703</v>
      </c>
      <c r="L306" s="3">
        <f>IF(B306&lt;='Input sheet(dashboard)'!$D$27*12,'Input sheet(dashboard)'!$D$9*(1+'Input sheet(dashboard)'!$E$22)^B306,0)</f>
        <v>5596.2725305585782</v>
      </c>
      <c r="M306" s="3">
        <f>IF(B306=1,'Input sheet(dashboard)'!$D$3*'Input sheet(dashboard)'!$D$10,0)</f>
        <v>0</v>
      </c>
      <c r="N306" s="3">
        <f>IF(B306='Input sheet(dashboard)'!$D$27*12,J306*'Input sheet(dashboard)'!$D$11,0)</f>
        <v>0</v>
      </c>
      <c r="O306" s="3">
        <f>IF(SUM(F306:F317)&gt;=150000,150000/12*'Input sheet(dashboard)'!$D$28,SUM(F306:F317)/12*'Input sheet(dashboard)'!$D$28)</f>
        <v>1037.9908263599359</v>
      </c>
      <c r="P306" s="3">
        <f t="shared" si="42"/>
        <v>0</v>
      </c>
      <c r="Q306" s="3">
        <f>IF(B306&lt;='Input sheet(dashboard)'!$D$27*12,'Input sheet(dashboard)'!$D$12/12,0)</f>
        <v>192.5</v>
      </c>
      <c r="R306" s="3">
        <f>IF(B306&lt;='Input sheet(dashboard)'!$D$27*12,('Input sheet(dashboard)'!$D$15/12)*(1+'Input sheet(dashboard)'!$E$22)^Calculations!B306,0)</f>
        <v>621.80805895095307</v>
      </c>
      <c r="S306" s="3">
        <f>IF(B306&lt;='Input sheet(dashboard)'!$D$27*12,(E306+G306+K306+L306-O306+M306+Q306+R306),0)</f>
        <v>79880.707237077222</v>
      </c>
      <c r="T306" s="3">
        <f>IF(B306&lt;='Input sheet(dashboard)'!$D$27*12,IF(D306=12,SUM(S295:S306),0),0)</f>
        <v>0</v>
      </c>
      <c r="U306" s="3">
        <f>IF(B306&lt;='Input sheet(dashboard)'!$D$27*12,IF(S306&lt;AD306,AD306-S306,0),0)</f>
        <v>8559.0665815887041</v>
      </c>
      <c r="V306" s="3">
        <f>IF(B306&lt;='Input sheet(dashboard)'!$D$27*12,V305*(1+'Input sheet(dashboard)'!$E$25)+U306,0)</f>
        <v>246011.22531950884</v>
      </c>
      <c r="W306" s="17">
        <f>IF(B306&lt;='Input sheet(dashboard)'!$D$27*12,J306-I306+V306-N306,0)</f>
        <v>28599592.469999216</v>
      </c>
      <c r="X306" s="3">
        <f>IF(B306&lt;='Input sheet(dashboard)'!$D$27*12,'Input sheet(dashboard)'!$D$17*(1+'Input sheet(dashboard)'!$E$23)^(B306-1),0)</f>
        <v>88439.773818665926</v>
      </c>
      <c r="Y306" s="3"/>
      <c r="Z306" s="18"/>
      <c r="AA306" s="18"/>
      <c r="AB306" s="3">
        <f>IF(B306=1,'Input sheet(dashboard)'!$D$18*Calculations!X306,IF(Calculations!B306=12*'Input sheet(dashboard)'!$D$27,'Input sheet(dashboard)'!$D$18*-Calculations!X306,0))</f>
        <v>0</v>
      </c>
      <c r="AC306" s="3">
        <f>IF(B306&lt;='Input sheet(dashboard)'!$D$27*12,IF(MOD(B305,'Input sheet(dashboard)'!$D$19*12),0,'Input sheet(dashboard)'!$D$20*(1+'Input sheet(dashboard)'!$E$22)^Calculations!B306),0)</f>
        <v>0</v>
      </c>
      <c r="AD306" s="17">
        <f t="shared" si="39"/>
        <v>88439.773818665926</v>
      </c>
      <c r="AE306" s="17">
        <f>IF(B306&lt;='Input sheet(dashboard)'!$D$27*12,IF(D306=12,SUM(AD295:AD306),0),0)</f>
        <v>0</v>
      </c>
      <c r="AF306" s="17">
        <f t="shared" si="40"/>
        <v>-8559.0665815887041</v>
      </c>
      <c r="AG306" s="17">
        <f t="shared" si="41"/>
        <v>0</v>
      </c>
      <c r="AH306" s="3">
        <f>IF(B306&lt;='Input sheet(dashboard)'!$D$27*12,AH305*(1+'Input sheet(dashboard)'!$E$25)+AG306," ")</f>
        <v>23786187.254707441</v>
      </c>
    </row>
    <row r="307" spans="2:34">
      <c r="B307">
        <f t="shared" si="36"/>
        <v>304</v>
      </c>
      <c r="C307">
        <f t="shared" si="43"/>
        <v>26</v>
      </c>
      <c r="D307">
        <f t="shared" si="44"/>
        <v>4</v>
      </c>
      <c r="E307" s="15">
        <f>IF(C307&lt;='Input sheet(dashboard)'!$D$6, -PMT('Input sheet(dashboard)'!$E$5,'Input sheet(dashboard)'!$D$6*12,'Input sheet(dashboard)'!$D$3*'Input sheet(dashboard)'!$D$4),0)</f>
        <v>39834.137922259193</v>
      </c>
      <c r="F307" s="3">
        <f>I306*'Input sheet(dashboard)'!$E$5</f>
        <v>7456.6745598491061</v>
      </c>
      <c r="G307" s="3">
        <f>IF(C307&lt;='Input sheet(dashboard)'!$D$6,E307*'Input sheet(dashboard)'!$D$7,0)</f>
        <v>3186.7310337807357</v>
      </c>
      <c r="H307" s="3">
        <f t="shared" si="37"/>
        <v>32377.463362410086</v>
      </c>
      <c r="I307" s="3">
        <f t="shared" si="38"/>
        <v>2014591.3023364379</v>
      </c>
      <c r="J307" s="3">
        <f>IF(B307&lt;='Input sheet(dashboard)'!$D$27*12,'Input sheet(dashboard)'!$D$3*(1+'Input sheet(dashboard)'!$E$24)^B307,0)</f>
        <v>30524405.614211835</v>
      </c>
      <c r="K307" s="3">
        <f>IF(B307&lt;='Input sheet(dashboard)'!$D$27*12,J307*'Input sheet(dashboard)'!$E$8,0)</f>
        <v>31615.531465956083</v>
      </c>
      <c r="L307" s="3">
        <f>IF(B307&lt;='Input sheet(dashboard)'!$D$27*12,'Input sheet(dashboard)'!$D$9*(1+'Input sheet(dashboard)'!$E$22)^B307,0)</f>
        <v>5607.7999356929477</v>
      </c>
      <c r="M307" s="3">
        <f>IF(B307=1,'Input sheet(dashboard)'!$D$3*'Input sheet(dashboard)'!$D$10,0)</f>
        <v>0</v>
      </c>
      <c r="N307" s="3">
        <f>IF(B307='Input sheet(dashboard)'!$D$27*12,J307*'Input sheet(dashboard)'!$D$11,0)</f>
        <v>0</v>
      </c>
      <c r="O307" s="3">
        <f>IF(SUM(F307:F318)&gt;=150000,150000/12*'Input sheet(dashboard)'!$D$28,SUM(F307:F318)/12*'Input sheet(dashboard)'!$D$28)</f>
        <v>1020.0059057996456</v>
      </c>
      <c r="P307" s="3">
        <f t="shared" si="42"/>
        <v>0</v>
      </c>
      <c r="Q307" s="3">
        <f>IF(B307&lt;='Input sheet(dashboard)'!$D$27*12,'Input sheet(dashboard)'!$D$12/12,0)</f>
        <v>192.5</v>
      </c>
      <c r="R307" s="3">
        <f>IF(B307&lt;='Input sheet(dashboard)'!$D$27*12,('Input sheet(dashboard)'!$D$15/12)*(1+'Input sheet(dashboard)'!$E$22)^Calculations!B307,0)</f>
        <v>623.08888174366075</v>
      </c>
      <c r="S307" s="3">
        <f>IF(B307&lt;='Input sheet(dashboard)'!$D$27*12,(E307+G307+K307+L307-O307+M307+Q307+R307),0)</f>
        <v>80039.783333632993</v>
      </c>
      <c r="T307" s="3">
        <f>IF(B307&lt;='Input sheet(dashboard)'!$D$27*12,IF(D307=12,SUM(S296:S307),0),0)</f>
        <v>0</v>
      </c>
      <c r="U307" s="3">
        <f>IF(B307&lt;='Input sheet(dashboard)'!$D$27*12,IF(S307&lt;AD307,AD307-S307,0),0)</f>
        <v>8760.3050709680538</v>
      </c>
      <c r="V307" s="3">
        <f>IF(B307&lt;='Input sheet(dashboard)'!$D$27*12,V306*(1+'Input sheet(dashboard)'!$E$25)+U307,0)</f>
        <v>256354.37402158146</v>
      </c>
      <c r="W307" s="17">
        <f>IF(B307&lt;='Input sheet(dashboard)'!$D$27*12,J307-I307+V307-N307,0)</f>
        <v>28766168.685896978</v>
      </c>
      <c r="X307" s="3">
        <f>IF(B307&lt;='Input sheet(dashboard)'!$D$27*12,'Input sheet(dashboard)'!$D$17*(1+'Input sheet(dashboard)'!$E$23)^(B307-1),0)</f>
        <v>88800.088404601047</v>
      </c>
      <c r="Y307" s="3"/>
      <c r="Z307" s="18"/>
      <c r="AA307" s="18"/>
      <c r="AB307" s="3">
        <f>IF(B307=1,'Input sheet(dashboard)'!$D$18*Calculations!X307,IF(Calculations!B307=12*'Input sheet(dashboard)'!$D$27,'Input sheet(dashboard)'!$D$18*-Calculations!X307,0))</f>
        <v>0</v>
      </c>
      <c r="AC307" s="3">
        <f>IF(B307&lt;='Input sheet(dashboard)'!$D$27*12,IF(MOD(B306,'Input sheet(dashboard)'!$D$19*12),0,'Input sheet(dashboard)'!$D$20*(1+'Input sheet(dashboard)'!$E$22)^Calculations!B307),0)</f>
        <v>0</v>
      </c>
      <c r="AD307" s="17">
        <f t="shared" si="39"/>
        <v>88800.088404601047</v>
      </c>
      <c r="AE307" s="17">
        <f>IF(B307&lt;='Input sheet(dashboard)'!$D$27*12,IF(D307=12,SUM(AD296:AD307),0),0)</f>
        <v>0</v>
      </c>
      <c r="AF307" s="17">
        <f t="shared" si="40"/>
        <v>-8760.3050709680538</v>
      </c>
      <c r="AG307" s="17">
        <f t="shared" si="41"/>
        <v>0</v>
      </c>
      <c r="AH307" s="3">
        <f>IF(B307&lt;='Input sheet(dashboard)'!$D$27*12,AH306*(1+'Input sheet(dashboard)'!$E$25)+AG307," ")</f>
        <v>23939228.299706407</v>
      </c>
    </row>
    <row r="308" spans="2:34">
      <c r="B308">
        <f t="shared" si="36"/>
        <v>305</v>
      </c>
      <c r="C308">
        <f t="shared" si="43"/>
        <v>26</v>
      </c>
      <c r="D308">
        <f t="shared" si="44"/>
        <v>5</v>
      </c>
      <c r="E308" s="15">
        <f>IF(C308&lt;='Input sheet(dashboard)'!$D$6, -PMT('Input sheet(dashboard)'!$E$5,'Input sheet(dashboard)'!$D$6*12,'Input sheet(dashboard)'!$D$3*'Input sheet(dashboard)'!$D$4),0)</f>
        <v>39834.137922259193</v>
      </c>
      <c r="F308" s="3">
        <f>I307*'Input sheet(dashboard)'!$E$5</f>
        <v>7338.7303042197318</v>
      </c>
      <c r="G308" s="3">
        <f>IF(C308&lt;='Input sheet(dashboard)'!$D$6,E308*'Input sheet(dashboard)'!$D$7,0)</f>
        <v>3186.7310337807357</v>
      </c>
      <c r="H308" s="3">
        <f t="shared" si="37"/>
        <v>32495.407618039462</v>
      </c>
      <c r="I308" s="3">
        <f t="shared" si="38"/>
        <v>1982095.8947183983</v>
      </c>
      <c r="J308" s="3">
        <f>IF(B308&lt;='Input sheet(dashboard)'!$D$27*12,'Input sheet(dashboard)'!$D$3*(1+'Input sheet(dashboard)'!$E$24)^B308,0)</f>
        <v>30648765.821106419</v>
      </c>
      <c r="K308" s="3">
        <f>IF(B308&lt;='Input sheet(dashboard)'!$D$27*12,J308*'Input sheet(dashboard)'!$E$8,0)</f>
        <v>31744.337054634212</v>
      </c>
      <c r="L308" s="3">
        <f>IF(B308&lt;='Input sheet(dashboard)'!$D$27*12,'Input sheet(dashboard)'!$D$9*(1+'Input sheet(dashboard)'!$E$22)^B308,0)</f>
        <v>5619.351085394509</v>
      </c>
      <c r="M308" s="3">
        <f>IF(B308=1,'Input sheet(dashboard)'!$D$3*'Input sheet(dashboard)'!$D$10,0)</f>
        <v>0</v>
      </c>
      <c r="N308" s="3">
        <f>IF(B308='Input sheet(dashboard)'!$D$27*12,J308*'Input sheet(dashboard)'!$D$11,0)</f>
        <v>0</v>
      </c>
      <c r="O308" s="3">
        <f>IF(SUM(F308:F319)&gt;=150000,150000/12*'Input sheet(dashboard)'!$D$28,SUM(F308:F319)/12*'Input sheet(dashboard)'!$D$28)</f>
        <v>1001.9554699751019</v>
      </c>
      <c r="P308" s="3">
        <f t="shared" si="42"/>
        <v>0</v>
      </c>
      <c r="Q308" s="3">
        <f>IF(B308&lt;='Input sheet(dashboard)'!$D$27*12,'Input sheet(dashboard)'!$D$12/12,0)</f>
        <v>192.5</v>
      </c>
      <c r="R308" s="3">
        <f>IF(B308&lt;='Input sheet(dashboard)'!$D$27*12,('Input sheet(dashboard)'!$D$15/12)*(1+'Input sheet(dashboard)'!$E$22)^Calculations!B308,0)</f>
        <v>624.37234282161205</v>
      </c>
      <c r="S308" s="3">
        <f>IF(B308&lt;='Input sheet(dashboard)'!$D$27*12,(E308+G308+K308+L308-O308+M308+Q308+R308),0)</f>
        <v>80199.473968915161</v>
      </c>
      <c r="T308" s="3">
        <f>IF(B308&lt;='Input sheet(dashboard)'!$D$27*12,IF(D308=12,SUM(S297:S308),0),0)</f>
        <v>0</v>
      </c>
      <c r="U308" s="3">
        <f>IF(B308&lt;='Input sheet(dashboard)'!$D$27*12,IF(S308&lt;AD308,AD308-S308,0),0)</f>
        <v>8962.3969878451462</v>
      </c>
      <c r="V308" s="3">
        <f>IF(B308&lt;='Input sheet(dashboard)'!$D$27*12,V307*(1+'Input sheet(dashboard)'!$E$25)+U308,0)</f>
        <v>266966.16277071252</v>
      </c>
      <c r="W308" s="17">
        <f>IF(B308&lt;='Input sheet(dashboard)'!$D$27*12,J308-I308+V308-N308,0)</f>
        <v>28933636.089158732</v>
      </c>
      <c r="X308" s="3">
        <f>IF(B308&lt;='Input sheet(dashboard)'!$D$27*12,'Input sheet(dashboard)'!$D$17*(1+'Input sheet(dashboard)'!$E$23)^(B308-1),0)</f>
        <v>89161.870956760307</v>
      </c>
      <c r="Y308" s="3"/>
      <c r="Z308" s="18"/>
      <c r="AA308" s="18"/>
      <c r="AB308" s="3">
        <f>IF(B308=1,'Input sheet(dashboard)'!$D$18*Calculations!X308,IF(Calculations!B308=12*'Input sheet(dashboard)'!$D$27,'Input sheet(dashboard)'!$D$18*-Calculations!X308,0))</f>
        <v>0</v>
      </c>
      <c r="AC308" s="3">
        <f>IF(B308&lt;='Input sheet(dashboard)'!$D$27*12,IF(MOD(B307,'Input sheet(dashboard)'!$D$19*12),0,'Input sheet(dashboard)'!$D$20*(1+'Input sheet(dashboard)'!$E$22)^Calculations!B308),0)</f>
        <v>0</v>
      </c>
      <c r="AD308" s="17">
        <f t="shared" si="39"/>
        <v>89161.870956760307</v>
      </c>
      <c r="AE308" s="17">
        <f>IF(B308&lt;='Input sheet(dashboard)'!$D$27*12,IF(D308=12,SUM(AD297:AD308),0),0)</f>
        <v>0</v>
      </c>
      <c r="AF308" s="17">
        <f t="shared" si="40"/>
        <v>-8962.3969878451462</v>
      </c>
      <c r="AG308" s="17">
        <f t="shared" si="41"/>
        <v>0</v>
      </c>
      <c r="AH308" s="3">
        <f>IF(B308&lt;='Input sheet(dashboard)'!$D$27*12,AH307*(1+'Input sheet(dashboard)'!$E$25)+AG308," ")</f>
        <v>24093254.015396964</v>
      </c>
    </row>
    <row r="309" spans="2:34">
      <c r="B309">
        <f t="shared" si="36"/>
        <v>306</v>
      </c>
      <c r="C309">
        <f t="shared" si="43"/>
        <v>26</v>
      </c>
      <c r="D309">
        <f t="shared" si="44"/>
        <v>6</v>
      </c>
      <c r="E309" s="15">
        <f>IF(C309&lt;='Input sheet(dashboard)'!$D$6, -PMT('Input sheet(dashboard)'!$E$5,'Input sheet(dashboard)'!$D$6*12,'Input sheet(dashboard)'!$D$3*'Input sheet(dashboard)'!$D$4),0)</f>
        <v>39834.137922259193</v>
      </c>
      <c r="F309" s="3">
        <f>I308*'Input sheet(dashboard)'!$E$5</f>
        <v>7220.3564025961587</v>
      </c>
      <c r="G309" s="3">
        <f>IF(C309&lt;='Input sheet(dashboard)'!$D$6,E309*'Input sheet(dashboard)'!$D$7,0)</f>
        <v>3186.7310337807357</v>
      </c>
      <c r="H309" s="3">
        <f t="shared" si="37"/>
        <v>32613.781519663033</v>
      </c>
      <c r="I309" s="3">
        <f t="shared" si="38"/>
        <v>1949482.1131987353</v>
      </c>
      <c r="J309" s="3">
        <f>IF(B309&lt;='Input sheet(dashboard)'!$D$27*12,'Input sheet(dashboard)'!$D$3*(1+'Input sheet(dashboard)'!$E$24)^B309,0)</f>
        <v>30773632.686877664</v>
      </c>
      <c r="K309" s="3">
        <f>IF(B309&lt;='Input sheet(dashboard)'!$D$27*12,J309*'Input sheet(dashboard)'!$E$8,0)</f>
        <v>31873.667413224655</v>
      </c>
      <c r="L309" s="3">
        <f>IF(B309&lt;='Input sheet(dashboard)'!$D$27*12,'Input sheet(dashboard)'!$D$9*(1+'Input sheet(dashboard)'!$E$22)^B309,0)</f>
        <v>5630.9260285731852</v>
      </c>
      <c r="M309" s="3">
        <f>IF(B309=1,'Input sheet(dashboard)'!$D$3*'Input sheet(dashboard)'!$D$10,0)</f>
        <v>0</v>
      </c>
      <c r="N309" s="3">
        <f>IF(B309='Input sheet(dashboard)'!$D$27*12,J309*'Input sheet(dashboard)'!$D$11,0)</f>
        <v>0</v>
      </c>
      <c r="O309" s="3">
        <f>IF(SUM(F309:F320)&gt;=150000,150000/12*'Input sheet(dashboard)'!$D$28,SUM(F309:F320)/12*'Input sheet(dashboard)'!$D$28)</f>
        <v>983.83928022804469</v>
      </c>
      <c r="P309" s="3">
        <f t="shared" si="42"/>
        <v>0</v>
      </c>
      <c r="Q309" s="3">
        <f>IF(B309&lt;='Input sheet(dashboard)'!$D$27*12,'Input sheet(dashboard)'!$D$12/12,0)</f>
        <v>192.5</v>
      </c>
      <c r="R309" s="3">
        <f>IF(B309&lt;='Input sheet(dashboard)'!$D$27*12,('Input sheet(dashboard)'!$D$15/12)*(1+'Input sheet(dashboard)'!$E$22)^Calculations!B309,0)</f>
        <v>625.65844761924279</v>
      </c>
      <c r="S309" s="3">
        <f>IF(B309&lt;='Input sheet(dashboard)'!$D$27*12,(E309+G309+K309+L309-O309+M309+Q309+R309),0)</f>
        <v>80359.781565228972</v>
      </c>
      <c r="T309" s="3">
        <f>IF(B309&lt;='Input sheet(dashboard)'!$D$27*12,IF(D309=12,SUM(S298:S309),0),0)</f>
        <v>0</v>
      </c>
      <c r="U309" s="3">
        <f>IF(B309&lt;='Input sheet(dashboard)'!$D$27*12,IF(S309&lt;AD309,AD309-S309,0),0)</f>
        <v>9165.3458905908483</v>
      </c>
      <c r="V309" s="3">
        <f>IF(B309&lt;='Input sheet(dashboard)'!$D$27*12,V308*(1+'Input sheet(dashboard)'!$E$25)+U309,0)</f>
        <v>277849.17699092219</v>
      </c>
      <c r="W309" s="17">
        <f>IF(B309&lt;='Input sheet(dashboard)'!$D$27*12,J309-I309+V309-N309,0)</f>
        <v>29101999.750669852</v>
      </c>
      <c r="X309" s="3">
        <f>IF(B309&lt;='Input sheet(dashboard)'!$D$27*12,'Input sheet(dashboard)'!$D$17*(1+'Input sheet(dashboard)'!$E$23)^(B309-1),0)</f>
        <v>89525.12745581982</v>
      </c>
      <c r="Y309" s="3"/>
      <c r="Z309" s="18"/>
      <c r="AA309" s="18"/>
      <c r="AB309" s="3">
        <f>IF(B309=1,'Input sheet(dashboard)'!$D$18*Calculations!X309,IF(Calculations!B309=12*'Input sheet(dashboard)'!$D$27,'Input sheet(dashboard)'!$D$18*-Calculations!X309,0))</f>
        <v>0</v>
      </c>
      <c r="AC309" s="3">
        <f>IF(B309&lt;='Input sheet(dashboard)'!$D$27*12,IF(MOD(B308,'Input sheet(dashboard)'!$D$19*12),0,'Input sheet(dashboard)'!$D$20*(1+'Input sheet(dashboard)'!$E$22)^Calculations!B309),0)</f>
        <v>0</v>
      </c>
      <c r="AD309" s="17">
        <f t="shared" si="39"/>
        <v>89525.12745581982</v>
      </c>
      <c r="AE309" s="17">
        <f>IF(B309&lt;='Input sheet(dashboard)'!$D$27*12,IF(D309=12,SUM(AD298:AD309),0),0)</f>
        <v>0</v>
      </c>
      <c r="AF309" s="17">
        <f t="shared" si="40"/>
        <v>-9165.3458905908483</v>
      </c>
      <c r="AG309" s="17">
        <f t="shared" si="41"/>
        <v>0</v>
      </c>
      <c r="AH309" s="3">
        <f>IF(B309&lt;='Input sheet(dashboard)'!$D$27*12,AH308*(1+'Input sheet(dashboard)'!$E$25)+AG309," ")</f>
        <v>24248270.737179987</v>
      </c>
    </row>
    <row r="310" spans="2:34">
      <c r="B310">
        <f t="shared" si="36"/>
        <v>307</v>
      </c>
      <c r="C310">
        <f t="shared" si="43"/>
        <v>26</v>
      </c>
      <c r="D310">
        <f t="shared" si="44"/>
        <v>7</v>
      </c>
      <c r="E310" s="15">
        <f>IF(C310&lt;='Input sheet(dashboard)'!$D$6, -PMT('Input sheet(dashboard)'!$E$5,'Input sheet(dashboard)'!$D$6*12,'Input sheet(dashboard)'!$D$3*'Input sheet(dashboard)'!$D$4),0)</f>
        <v>39834.137922259193</v>
      </c>
      <c r="F310" s="3">
        <f>I309*'Input sheet(dashboard)'!$E$5</f>
        <v>7101.5512898688421</v>
      </c>
      <c r="G310" s="3">
        <f>IF(C310&lt;='Input sheet(dashboard)'!$D$6,E310*'Input sheet(dashboard)'!$D$7,0)</f>
        <v>3186.7310337807357</v>
      </c>
      <c r="H310" s="3">
        <f t="shared" si="37"/>
        <v>32732.58663239035</v>
      </c>
      <c r="I310" s="3">
        <f t="shared" si="38"/>
        <v>1916749.526566345</v>
      </c>
      <c r="J310" s="3">
        <f>IF(B310&lt;='Input sheet(dashboard)'!$D$27*12,'Input sheet(dashboard)'!$D$3*(1+'Input sheet(dashboard)'!$E$24)^B310,0)</f>
        <v>30899008.275716528</v>
      </c>
      <c r="K310" s="3">
        <f>IF(B310&lt;='Input sheet(dashboard)'!$D$27*12,J310*'Input sheet(dashboard)'!$E$8,0)</f>
        <v>32003.524679704966</v>
      </c>
      <c r="L310" s="3">
        <f>IF(B310&lt;='Input sheet(dashboard)'!$D$27*12,'Input sheet(dashboard)'!$D$9*(1+'Input sheet(dashboard)'!$E$22)^B310,0)</f>
        <v>5642.5248142396413</v>
      </c>
      <c r="M310" s="3">
        <f>IF(B310=1,'Input sheet(dashboard)'!$D$3*'Input sheet(dashboard)'!$D$10,0)</f>
        <v>0</v>
      </c>
      <c r="N310" s="3">
        <f>IF(B310='Input sheet(dashboard)'!$D$27*12,J310*'Input sheet(dashboard)'!$D$11,0)</f>
        <v>0</v>
      </c>
      <c r="O310" s="3">
        <f>IF(SUM(F310:F321)&gt;=150000,150000/12*'Input sheet(dashboard)'!$D$28,SUM(F310:F321)/12*'Input sheet(dashboard)'!$D$28)</f>
        <v>965.65709703083257</v>
      </c>
      <c r="P310" s="3">
        <f t="shared" si="42"/>
        <v>0</v>
      </c>
      <c r="Q310" s="3">
        <f>IF(B310&lt;='Input sheet(dashboard)'!$D$27*12,'Input sheet(dashboard)'!$D$12/12,0)</f>
        <v>192.5</v>
      </c>
      <c r="R310" s="3">
        <f>IF(B310&lt;='Input sheet(dashboard)'!$D$27*12,('Input sheet(dashboard)'!$D$15/12)*(1+'Input sheet(dashboard)'!$E$22)^Calculations!B310,0)</f>
        <v>626.94720158218229</v>
      </c>
      <c r="S310" s="3">
        <f>IF(B310&lt;='Input sheet(dashboard)'!$D$27*12,(E310+G310+K310+L310-O310+M310+Q310+R310),0)</f>
        <v>80520.708554535886</v>
      </c>
      <c r="T310" s="3">
        <f>IF(B310&lt;='Input sheet(dashboard)'!$D$27*12,IF(D310=12,SUM(S299:S310),0),0)</f>
        <v>0</v>
      </c>
      <c r="U310" s="3">
        <f>IF(B310&lt;='Input sheet(dashboard)'!$D$27*12,IF(S310&lt;AD310,AD310-S310,0),0)</f>
        <v>9369.1553522858594</v>
      </c>
      <c r="V310" s="3">
        <f>IF(B310&lt;='Input sheet(dashboard)'!$D$27*12,V309*(1+'Input sheet(dashboard)'!$E$25)+U310,0)</f>
        <v>289006.02231400728</v>
      </c>
      <c r="W310" s="17">
        <f>IF(B310&lt;='Input sheet(dashboard)'!$D$27*12,J310-I310+V310-N310,0)</f>
        <v>29271264.771464191</v>
      </c>
      <c r="X310" s="3">
        <f>IF(B310&lt;='Input sheet(dashboard)'!$D$27*12,'Input sheet(dashboard)'!$D$17*(1+'Input sheet(dashboard)'!$E$23)^(B310-1),0)</f>
        <v>89889.863906821745</v>
      </c>
      <c r="Y310" s="3"/>
      <c r="Z310" s="18"/>
      <c r="AA310" s="18"/>
      <c r="AB310" s="3">
        <f>IF(B310=1,'Input sheet(dashboard)'!$D$18*Calculations!X310,IF(Calculations!B310=12*'Input sheet(dashboard)'!$D$27,'Input sheet(dashboard)'!$D$18*-Calculations!X310,0))</f>
        <v>0</v>
      </c>
      <c r="AC310" s="3">
        <f>IF(B310&lt;='Input sheet(dashboard)'!$D$27*12,IF(MOD(B309,'Input sheet(dashboard)'!$D$19*12),0,'Input sheet(dashboard)'!$D$20*(1+'Input sheet(dashboard)'!$E$22)^Calculations!B310),0)</f>
        <v>0</v>
      </c>
      <c r="AD310" s="17">
        <f t="shared" si="39"/>
        <v>89889.863906821745</v>
      </c>
      <c r="AE310" s="17">
        <f>IF(B310&lt;='Input sheet(dashboard)'!$D$27*12,IF(D310=12,SUM(AD299:AD310),0),0)</f>
        <v>0</v>
      </c>
      <c r="AF310" s="17">
        <f t="shared" si="40"/>
        <v>-9369.1553522858594</v>
      </c>
      <c r="AG310" s="17">
        <f t="shared" si="41"/>
        <v>0</v>
      </c>
      <c r="AH310" s="3">
        <f>IF(B310&lt;='Input sheet(dashboard)'!$D$27*12,AH309*(1+'Input sheet(dashboard)'!$E$25)+AG310," ")</f>
        <v>24404284.84121852</v>
      </c>
    </row>
    <row r="311" spans="2:34">
      <c r="B311">
        <f t="shared" si="36"/>
        <v>308</v>
      </c>
      <c r="C311">
        <f t="shared" si="43"/>
        <v>26</v>
      </c>
      <c r="D311">
        <f t="shared" si="44"/>
        <v>8</v>
      </c>
      <c r="E311" s="15">
        <f>IF(C311&lt;='Input sheet(dashboard)'!$D$6, -PMT('Input sheet(dashboard)'!$E$5,'Input sheet(dashboard)'!$D$6*12,'Input sheet(dashboard)'!$D$3*'Input sheet(dashboard)'!$D$4),0)</f>
        <v>39834.137922259193</v>
      </c>
      <c r="F311" s="3">
        <f>I310*'Input sheet(dashboard)'!$E$5</f>
        <v>6982.3133952268727</v>
      </c>
      <c r="G311" s="3">
        <f>IF(C311&lt;='Input sheet(dashboard)'!$D$6,E311*'Input sheet(dashboard)'!$D$7,0)</f>
        <v>3186.7310337807357</v>
      </c>
      <c r="H311" s="3">
        <f t="shared" si="37"/>
        <v>32851.824527032324</v>
      </c>
      <c r="I311" s="3">
        <f t="shared" si="38"/>
        <v>1883897.7020393126</v>
      </c>
      <c r="J311" s="3">
        <f>IF(B311&lt;='Input sheet(dashboard)'!$D$27*12,'Input sheet(dashboard)'!$D$3*(1+'Input sheet(dashboard)'!$E$24)^B311,0)</f>
        <v>31024894.660223775</v>
      </c>
      <c r="K311" s="3">
        <f>IF(B311&lt;='Input sheet(dashboard)'!$D$27*12,J311*'Input sheet(dashboard)'!$E$8,0)</f>
        <v>32133.911000763132</v>
      </c>
      <c r="L311" s="3">
        <f>IF(B311&lt;='Input sheet(dashboard)'!$D$27*12,'Input sheet(dashboard)'!$D$9*(1+'Input sheet(dashboard)'!$E$22)^B311,0)</f>
        <v>5654.1474915055014</v>
      </c>
      <c r="M311" s="3">
        <f>IF(B311=1,'Input sheet(dashboard)'!$D$3*'Input sheet(dashboard)'!$D$10,0)</f>
        <v>0</v>
      </c>
      <c r="N311" s="3">
        <f>IF(B311='Input sheet(dashboard)'!$D$27*12,J311*'Input sheet(dashboard)'!$D$11,0)</f>
        <v>0</v>
      </c>
      <c r="O311" s="3">
        <f>IF(SUM(F311:F322)&gt;=150000,150000/12*'Input sheet(dashboard)'!$D$28,SUM(F311:F322)/12*'Input sheet(dashboard)'!$D$28)</f>
        <v>947.40867998327485</v>
      </c>
      <c r="P311" s="3">
        <f t="shared" si="42"/>
        <v>0</v>
      </c>
      <c r="Q311" s="3">
        <f>IF(B311&lt;='Input sheet(dashboard)'!$D$27*12,'Input sheet(dashboard)'!$D$12/12,0)</f>
        <v>192.5</v>
      </c>
      <c r="R311" s="3">
        <f>IF(B311&lt;='Input sheet(dashboard)'!$D$27*12,('Input sheet(dashboard)'!$D$15/12)*(1+'Input sheet(dashboard)'!$E$22)^Calculations!B311,0)</f>
        <v>628.2386101672779</v>
      </c>
      <c r="S311" s="3">
        <f>IF(B311&lt;='Input sheet(dashboard)'!$D$27*12,(E311+G311+K311+L311-O311+M311+Q311+R311),0)</f>
        <v>80682.257378492563</v>
      </c>
      <c r="T311" s="3">
        <f>IF(B311&lt;='Input sheet(dashboard)'!$D$27*12,IF(D311=12,SUM(S300:S311),0),0)</f>
        <v>0</v>
      </c>
      <c r="U311" s="3">
        <f>IF(B311&lt;='Input sheet(dashboard)'!$D$27*12,IF(S311&lt;AD311,AD311-S311,0),0)</f>
        <v>9573.8289607808838</v>
      </c>
      <c r="V311" s="3">
        <f>IF(B311&lt;='Input sheet(dashboard)'!$D$27*12,V310*(1+'Input sheet(dashboard)'!$E$25)+U311,0)</f>
        <v>300439.32472432882</v>
      </c>
      <c r="W311" s="17">
        <f>IF(B311&lt;='Input sheet(dashboard)'!$D$27*12,J311-I311+V311-N311,0)</f>
        <v>29441436.28290879</v>
      </c>
      <c r="X311" s="3">
        <f>IF(B311&lt;='Input sheet(dashboard)'!$D$27*12,'Input sheet(dashboard)'!$D$17*(1+'Input sheet(dashboard)'!$E$23)^(B311-1),0)</f>
        <v>90256.086339273446</v>
      </c>
      <c r="Y311" s="3"/>
      <c r="Z311" s="18"/>
      <c r="AA311" s="18"/>
      <c r="AB311" s="3">
        <f>IF(B311=1,'Input sheet(dashboard)'!$D$18*Calculations!X311,IF(Calculations!B311=12*'Input sheet(dashboard)'!$D$27,'Input sheet(dashboard)'!$D$18*-Calculations!X311,0))</f>
        <v>0</v>
      </c>
      <c r="AC311" s="3">
        <f>IF(B311&lt;='Input sheet(dashboard)'!$D$27*12,IF(MOD(B310,'Input sheet(dashboard)'!$D$19*12),0,'Input sheet(dashboard)'!$D$20*(1+'Input sheet(dashboard)'!$E$22)^Calculations!B311),0)</f>
        <v>0</v>
      </c>
      <c r="AD311" s="17">
        <f t="shared" si="39"/>
        <v>90256.086339273446</v>
      </c>
      <c r="AE311" s="17">
        <f>IF(B311&lt;='Input sheet(dashboard)'!$D$27*12,IF(D311=12,SUM(AD300:AD311),0),0)</f>
        <v>0</v>
      </c>
      <c r="AF311" s="17">
        <f t="shared" si="40"/>
        <v>-9573.8289607808838</v>
      </c>
      <c r="AG311" s="17">
        <f t="shared" si="41"/>
        <v>0</v>
      </c>
      <c r="AH311" s="3">
        <f>IF(B311&lt;='Input sheet(dashboard)'!$D$27*12,AH310*(1+'Input sheet(dashboard)'!$E$25)+AG311," ")</f>
        <v>24561302.744700022</v>
      </c>
    </row>
    <row r="312" spans="2:34">
      <c r="B312">
        <f t="shared" si="36"/>
        <v>309</v>
      </c>
      <c r="C312">
        <f t="shared" si="43"/>
        <v>26</v>
      </c>
      <c r="D312">
        <f t="shared" si="44"/>
        <v>9</v>
      </c>
      <c r="E312" s="15">
        <f>IF(C312&lt;='Input sheet(dashboard)'!$D$6, -PMT('Input sheet(dashboard)'!$E$5,'Input sheet(dashboard)'!$D$6*12,'Input sheet(dashboard)'!$D$3*'Input sheet(dashboard)'!$D$4),0)</f>
        <v>39834.137922259193</v>
      </c>
      <c r="F312" s="3">
        <f>I311*'Input sheet(dashboard)'!$E$5</f>
        <v>6862.6411421372086</v>
      </c>
      <c r="G312" s="3">
        <f>IF(C312&lt;='Input sheet(dashboard)'!$D$6,E312*'Input sheet(dashboard)'!$D$7,0)</f>
        <v>3186.7310337807357</v>
      </c>
      <c r="H312" s="3">
        <f t="shared" si="37"/>
        <v>32971.496780121983</v>
      </c>
      <c r="I312" s="3">
        <f t="shared" si="38"/>
        <v>1850926.2052591906</v>
      </c>
      <c r="J312" s="3">
        <f>IF(B312&lt;='Input sheet(dashboard)'!$D$27*12,'Input sheet(dashboard)'!$D$3*(1+'Input sheet(dashboard)'!$E$24)^B312,0)</f>
        <v>31151293.921444174</v>
      </c>
      <c r="K312" s="3">
        <f>IF(B312&lt;='Input sheet(dashboard)'!$D$27*12,J312*'Input sheet(dashboard)'!$E$8,0)</f>
        <v>32264.82853183298</v>
      </c>
      <c r="L312" s="3">
        <f>IF(B312&lt;='Input sheet(dashboard)'!$D$27*12,'Input sheet(dashboard)'!$D$9*(1+'Input sheet(dashboard)'!$E$22)^B312,0)</f>
        <v>5665.7941095835431</v>
      </c>
      <c r="M312" s="3">
        <f>IF(B312=1,'Input sheet(dashboard)'!$D$3*'Input sheet(dashboard)'!$D$10,0)</f>
        <v>0</v>
      </c>
      <c r="N312" s="3">
        <f>IF(B312='Input sheet(dashboard)'!$D$27*12,J312*'Input sheet(dashboard)'!$D$11,0)</f>
        <v>0</v>
      </c>
      <c r="O312" s="3">
        <f>IF(SUM(F312:F323)&gt;=150000,150000/12*'Input sheet(dashboard)'!$D$28,SUM(F312:F323)/12*'Input sheet(dashboard)'!$D$28)</f>
        <v>929.09378780945406</v>
      </c>
      <c r="P312" s="3">
        <f t="shared" si="42"/>
        <v>0</v>
      </c>
      <c r="Q312" s="3">
        <f>IF(B312&lt;='Input sheet(dashboard)'!$D$27*12,'Input sheet(dashboard)'!$D$12/12,0)</f>
        <v>192.5</v>
      </c>
      <c r="R312" s="3">
        <f>IF(B312&lt;='Input sheet(dashboard)'!$D$27*12,('Input sheet(dashboard)'!$D$15/12)*(1+'Input sheet(dashboard)'!$E$22)^Calculations!B312,0)</f>
        <v>629.53267884261584</v>
      </c>
      <c r="S312" s="3">
        <f>IF(B312&lt;='Input sheet(dashboard)'!$D$27*12,(E312+G312+K312+L312-O312+M312+Q312+R312),0)</f>
        <v>80844.430488489612</v>
      </c>
      <c r="T312" s="3">
        <f>IF(B312&lt;='Input sheet(dashboard)'!$D$27*12,IF(D312=12,SUM(S301:S312),0),0)</f>
        <v>0</v>
      </c>
      <c r="U312" s="3">
        <f>IF(B312&lt;='Input sheet(dashboard)'!$D$27*12,IF(S312&lt;AD312,AD312-S312,0),0)</f>
        <v>9779.3703187576903</v>
      </c>
      <c r="V312" s="3">
        <f>IF(B312&lt;='Input sheet(dashboard)'!$D$27*12,V311*(1+'Input sheet(dashboard)'!$E$25)+U312,0)</f>
        <v>312151.73070459196</v>
      </c>
      <c r="W312" s="17">
        <f>IF(B312&lt;='Input sheet(dashboard)'!$D$27*12,J312-I312+V312-N312,0)</f>
        <v>29612519.446889576</v>
      </c>
      <c r="X312" s="3">
        <f>IF(B312&lt;='Input sheet(dashboard)'!$D$27*12,'Input sheet(dashboard)'!$D$17*(1+'Input sheet(dashboard)'!$E$23)^(B312-1),0)</f>
        <v>90623.800807247302</v>
      </c>
      <c r="Y312" s="3"/>
      <c r="Z312" s="18"/>
      <c r="AA312" s="18"/>
      <c r="AB312" s="3">
        <f>IF(B312=1,'Input sheet(dashboard)'!$D$18*Calculations!X312,IF(Calculations!B312=12*'Input sheet(dashboard)'!$D$27,'Input sheet(dashboard)'!$D$18*-Calculations!X312,0))</f>
        <v>0</v>
      </c>
      <c r="AC312" s="3">
        <f>IF(B312&lt;='Input sheet(dashboard)'!$D$27*12,IF(MOD(B311,'Input sheet(dashboard)'!$D$19*12),0,'Input sheet(dashboard)'!$D$20*(1+'Input sheet(dashboard)'!$E$22)^Calculations!B312),0)</f>
        <v>0</v>
      </c>
      <c r="AD312" s="17">
        <f t="shared" si="39"/>
        <v>90623.800807247302</v>
      </c>
      <c r="AE312" s="17">
        <f>IF(B312&lt;='Input sheet(dashboard)'!$D$27*12,IF(D312=12,SUM(AD301:AD312),0),0)</f>
        <v>0</v>
      </c>
      <c r="AF312" s="17">
        <f t="shared" si="40"/>
        <v>-9779.3703187576903</v>
      </c>
      <c r="AG312" s="17">
        <f t="shared" si="41"/>
        <v>0</v>
      </c>
      <c r="AH312" s="3">
        <f>IF(B312&lt;='Input sheet(dashboard)'!$D$27*12,AH311*(1+'Input sheet(dashboard)'!$E$25)+AG312," ")</f>
        <v>24719330.906100333</v>
      </c>
    </row>
    <row r="313" spans="2:34">
      <c r="B313">
        <f t="shared" si="36"/>
        <v>310</v>
      </c>
      <c r="C313">
        <f t="shared" si="43"/>
        <v>26</v>
      </c>
      <c r="D313">
        <f t="shared" si="44"/>
        <v>10</v>
      </c>
      <c r="E313" s="15">
        <f>IF(C313&lt;='Input sheet(dashboard)'!$D$6, -PMT('Input sheet(dashboard)'!$E$5,'Input sheet(dashboard)'!$D$6*12,'Input sheet(dashboard)'!$D$3*'Input sheet(dashboard)'!$D$4),0)</f>
        <v>39834.137922259193</v>
      </c>
      <c r="F313" s="3">
        <f>I312*'Input sheet(dashboard)'!$E$5</f>
        <v>6742.5329483238338</v>
      </c>
      <c r="G313" s="3">
        <f>IF(C313&lt;='Input sheet(dashboard)'!$D$6,E313*'Input sheet(dashboard)'!$D$7,0)</f>
        <v>3186.7310337807357</v>
      </c>
      <c r="H313" s="3">
        <f t="shared" si="37"/>
        <v>33091.604973935362</v>
      </c>
      <c r="I313" s="3">
        <f t="shared" si="38"/>
        <v>1817834.6002852554</v>
      </c>
      <c r="J313" s="3">
        <f>IF(B313&lt;='Input sheet(dashboard)'!$D$27*12,'Input sheet(dashboard)'!$D$3*(1+'Input sheet(dashboard)'!$E$24)^B313,0)</f>
        <v>31278208.148900952</v>
      </c>
      <c r="K313" s="3">
        <f>IF(B313&lt;='Input sheet(dashboard)'!$D$27*12,J313*'Input sheet(dashboard)'!$E$8,0)</f>
        <v>32396.279437129859</v>
      </c>
      <c r="L313" s="3">
        <f>IF(B313&lt;='Input sheet(dashboard)'!$D$27*12,'Input sheet(dashboard)'!$D$9*(1+'Input sheet(dashboard)'!$E$22)^B313,0)</f>
        <v>5677.4647177879251</v>
      </c>
      <c r="M313" s="3">
        <f>IF(B313=1,'Input sheet(dashboard)'!$D$3*'Input sheet(dashboard)'!$D$10,0)</f>
        <v>0</v>
      </c>
      <c r="N313" s="3">
        <f>IF(B313='Input sheet(dashboard)'!$D$27*12,J313*'Input sheet(dashboard)'!$D$11,0)</f>
        <v>0</v>
      </c>
      <c r="O313" s="3">
        <f>IF(SUM(F313:F324)&gt;=150000,150000/12*'Input sheet(dashboard)'!$D$28,SUM(F313:F324)/12*'Input sheet(dashboard)'!$D$28)</f>
        <v>910.71217835453615</v>
      </c>
      <c r="P313" s="3">
        <f t="shared" si="42"/>
        <v>0</v>
      </c>
      <c r="Q313" s="3">
        <f>IF(B313&lt;='Input sheet(dashboard)'!$D$27*12,'Input sheet(dashboard)'!$D$12/12,0)</f>
        <v>192.5</v>
      </c>
      <c r="R313" s="3">
        <f>IF(B313&lt;='Input sheet(dashboard)'!$D$27*12,('Input sheet(dashboard)'!$D$15/12)*(1+'Input sheet(dashboard)'!$E$22)^Calculations!B313,0)</f>
        <v>630.82941308754721</v>
      </c>
      <c r="S313" s="3">
        <f>IF(B313&lt;='Input sheet(dashboard)'!$D$27*12,(E313+G313+K313+L313-O313+M313+Q313+R313),0)</f>
        <v>81007.230345690725</v>
      </c>
      <c r="T313" s="3">
        <f>IF(B313&lt;='Input sheet(dashboard)'!$D$27*12,IF(D313=12,SUM(S302:S313),0),0)</f>
        <v>0</v>
      </c>
      <c r="U313" s="3">
        <f>IF(B313&lt;='Input sheet(dashboard)'!$D$27*12,IF(S313&lt;AD313,AD313-S313,0),0)</f>
        <v>9985.7830437899829</v>
      </c>
      <c r="V313" s="3">
        <f>IF(B313&lt;='Input sheet(dashboard)'!$D$27*12,V312*(1+'Input sheet(dashboard)'!$E$25)+U313,0)</f>
        <v>324145.90738262498</v>
      </c>
      <c r="W313" s="17">
        <f>IF(B313&lt;='Input sheet(dashboard)'!$D$27*12,J313-I313+V313-N313,0)</f>
        <v>29784519.455998324</v>
      </c>
      <c r="X313" s="3">
        <f>IF(B313&lt;='Input sheet(dashboard)'!$D$27*12,'Input sheet(dashboard)'!$D$17*(1+'Input sheet(dashboard)'!$E$23)^(B313-1),0)</f>
        <v>90993.013389480708</v>
      </c>
      <c r="Y313" s="3"/>
      <c r="Z313" s="18"/>
      <c r="AA313" s="18"/>
      <c r="AB313" s="3">
        <f>IF(B313=1,'Input sheet(dashboard)'!$D$18*Calculations!X313,IF(Calculations!B313=12*'Input sheet(dashboard)'!$D$27,'Input sheet(dashboard)'!$D$18*-Calculations!X313,0))</f>
        <v>0</v>
      </c>
      <c r="AC313" s="3">
        <f>IF(B313&lt;='Input sheet(dashboard)'!$D$27*12,IF(MOD(B312,'Input sheet(dashboard)'!$D$19*12),0,'Input sheet(dashboard)'!$D$20*(1+'Input sheet(dashboard)'!$E$22)^Calculations!B313),0)</f>
        <v>0</v>
      </c>
      <c r="AD313" s="17">
        <f t="shared" si="39"/>
        <v>90993.013389480708</v>
      </c>
      <c r="AE313" s="17">
        <f>IF(B313&lt;='Input sheet(dashboard)'!$D$27*12,IF(D313=12,SUM(AD302:AD313),0),0)</f>
        <v>0</v>
      </c>
      <c r="AF313" s="17">
        <f t="shared" si="40"/>
        <v>-9985.7830437899829</v>
      </c>
      <c r="AG313" s="17">
        <f t="shared" si="41"/>
        <v>0</v>
      </c>
      <c r="AH313" s="3">
        <f>IF(B313&lt;='Input sheet(dashboard)'!$D$27*12,AH312*(1+'Input sheet(dashboard)'!$E$25)+AG313," ")</f>
        <v>24878375.825449321</v>
      </c>
    </row>
    <row r="314" spans="2:34">
      <c r="B314">
        <f t="shared" si="36"/>
        <v>311</v>
      </c>
      <c r="C314">
        <f t="shared" si="43"/>
        <v>26</v>
      </c>
      <c r="D314">
        <f t="shared" si="44"/>
        <v>11</v>
      </c>
      <c r="E314" s="15">
        <f>IF(C314&lt;='Input sheet(dashboard)'!$D$6, -PMT('Input sheet(dashboard)'!$E$5,'Input sheet(dashboard)'!$D$6*12,'Input sheet(dashboard)'!$D$3*'Input sheet(dashboard)'!$D$4),0)</f>
        <v>39834.137922259193</v>
      </c>
      <c r="F314" s="3">
        <f>I313*'Input sheet(dashboard)'!$E$5</f>
        <v>6621.9872257468323</v>
      </c>
      <c r="G314" s="3">
        <f>IF(C314&lt;='Input sheet(dashboard)'!$D$6,E314*'Input sheet(dashboard)'!$D$7,0)</f>
        <v>3186.7310337807357</v>
      </c>
      <c r="H314" s="3">
        <f t="shared" si="37"/>
        <v>33212.150696512363</v>
      </c>
      <c r="I314" s="3">
        <f t="shared" si="38"/>
        <v>1784622.449588743</v>
      </c>
      <c r="J314" s="3">
        <f>IF(B314&lt;='Input sheet(dashboard)'!$D$27*12,'Input sheet(dashboard)'!$D$3*(1+'Input sheet(dashboard)'!$E$24)^B314,0)</f>
        <v>31405639.440630294</v>
      </c>
      <c r="K314" s="3">
        <f>IF(B314&lt;='Input sheet(dashboard)'!$D$27*12,J314*'Input sheet(dashboard)'!$E$8,0)</f>
        <v>32528.265889686387</v>
      </c>
      <c r="L314" s="3">
        <f>IF(B314&lt;='Input sheet(dashboard)'!$D$27*12,'Input sheet(dashboard)'!$D$9*(1+'Input sheet(dashboard)'!$E$22)^B314,0)</f>
        <v>5689.1593655343777</v>
      </c>
      <c r="M314" s="3">
        <f>IF(B314=1,'Input sheet(dashboard)'!$D$3*'Input sheet(dashboard)'!$D$10,0)</f>
        <v>0</v>
      </c>
      <c r="N314" s="3">
        <f>IF(B314='Input sheet(dashboard)'!$D$27*12,J314*'Input sheet(dashboard)'!$D$11,0)</f>
        <v>0</v>
      </c>
      <c r="O314" s="3">
        <f>IF(SUM(F314:F325)&gt;=150000,150000/12*'Input sheet(dashboard)'!$D$28,SUM(F314:F325)/12*'Input sheet(dashboard)'!$D$28)</f>
        <v>892.26360858156704</v>
      </c>
      <c r="P314" s="3">
        <f t="shared" si="42"/>
        <v>0</v>
      </c>
      <c r="Q314" s="3">
        <f>IF(B314&lt;='Input sheet(dashboard)'!$D$27*12,'Input sheet(dashboard)'!$D$12/12,0)</f>
        <v>192.5</v>
      </c>
      <c r="R314" s="3">
        <f>IF(B314&lt;='Input sheet(dashboard)'!$D$27*12,('Input sheet(dashboard)'!$D$15/12)*(1+'Input sheet(dashboard)'!$E$22)^Calculations!B314,0)</f>
        <v>632.12881839270858</v>
      </c>
      <c r="S314" s="3">
        <f>IF(B314&lt;='Input sheet(dashboard)'!$D$27*12,(E314+G314+K314+L314-O314+M314+Q314+R314),0)</f>
        <v>81170.659421071832</v>
      </c>
      <c r="T314" s="3">
        <f>IF(B314&lt;='Input sheet(dashboard)'!$D$27*12,IF(D314=12,SUM(S303:S314),0),0)</f>
        <v>0</v>
      </c>
      <c r="U314" s="3">
        <f>IF(B314&lt;='Input sheet(dashboard)'!$D$27*12,IF(S314&lt;AD314,AD314-S314,0),0)</f>
        <v>10193.070768404796</v>
      </c>
      <c r="V314" s="3">
        <f>IF(B314&lt;='Input sheet(dashboard)'!$D$27*12,V313*(1+'Input sheet(dashboard)'!$E$25)+U314,0)</f>
        <v>336424.54267916398</v>
      </c>
      <c r="W314" s="17">
        <f>IF(B314&lt;='Input sheet(dashboard)'!$D$27*12,J314-I314+V314-N314,0)</f>
        <v>29957441.533720717</v>
      </c>
      <c r="X314" s="3">
        <f>IF(B314&lt;='Input sheet(dashboard)'!$D$27*12,'Input sheet(dashboard)'!$D$17*(1+'Input sheet(dashboard)'!$E$23)^(B314-1),0)</f>
        <v>91363.730189476628</v>
      </c>
      <c r="Y314" s="3"/>
      <c r="Z314" s="18"/>
      <c r="AA314" s="18"/>
      <c r="AB314" s="3">
        <f>IF(B314=1,'Input sheet(dashboard)'!$D$18*Calculations!X314,IF(Calculations!B314=12*'Input sheet(dashboard)'!$D$27,'Input sheet(dashboard)'!$D$18*-Calculations!X314,0))</f>
        <v>0</v>
      </c>
      <c r="AC314" s="3">
        <f>IF(B314&lt;='Input sheet(dashboard)'!$D$27*12,IF(MOD(B313,'Input sheet(dashboard)'!$D$19*12),0,'Input sheet(dashboard)'!$D$20*(1+'Input sheet(dashboard)'!$E$22)^Calculations!B314),0)</f>
        <v>0</v>
      </c>
      <c r="AD314" s="17">
        <f t="shared" si="39"/>
        <v>91363.730189476628</v>
      </c>
      <c r="AE314" s="17">
        <f>IF(B314&lt;='Input sheet(dashboard)'!$D$27*12,IF(D314=12,SUM(AD303:AD314),0),0)</f>
        <v>0</v>
      </c>
      <c r="AF314" s="17">
        <f t="shared" si="40"/>
        <v>-10193.070768404796</v>
      </c>
      <c r="AG314" s="17">
        <f t="shared" si="41"/>
        <v>0</v>
      </c>
      <c r="AH314" s="3">
        <f>IF(B314&lt;='Input sheet(dashboard)'!$D$27*12,AH313*(1+'Input sheet(dashboard)'!$E$25)+AG314," ")</f>
        <v>25038444.044598244</v>
      </c>
    </row>
    <row r="315" spans="2:34">
      <c r="B315">
        <f t="shared" si="36"/>
        <v>312</v>
      </c>
      <c r="C315">
        <f t="shared" si="43"/>
        <v>26</v>
      </c>
      <c r="D315">
        <f t="shared" si="44"/>
        <v>12</v>
      </c>
      <c r="E315" s="15">
        <f>IF(C315&lt;='Input sheet(dashboard)'!$D$6, -PMT('Input sheet(dashboard)'!$E$5,'Input sheet(dashboard)'!$D$6*12,'Input sheet(dashboard)'!$D$3*'Input sheet(dashboard)'!$D$4),0)</f>
        <v>39834.137922259193</v>
      </c>
      <c r="F315" s="3">
        <f>I314*'Input sheet(dashboard)'!$E$5</f>
        <v>6501.0023805813971</v>
      </c>
      <c r="G315" s="3">
        <f>IF(C315&lt;='Input sheet(dashboard)'!$D$6,E315*'Input sheet(dashboard)'!$D$7,0)</f>
        <v>3186.7310337807357</v>
      </c>
      <c r="H315" s="3">
        <f t="shared" si="37"/>
        <v>33333.135541677795</v>
      </c>
      <c r="I315" s="3">
        <f t="shared" si="38"/>
        <v>1751289.3140470653</v>
      </c>
      <c r="J315" s="3">
        <f>IF(B315&lt;='Input sheet(dashboard)'!$D$27*12,'Input sheet(dashboard)'!$D$3*(1+'Input sheet(dashboard)'!$E$24)^B315,0)</f>
        <v>31533589.903216057</v>
      </c>
      <c r="K315" s="3">
        <f>IF(B315&lt;='Input sheet(dashboard)'!$D$27*12,J315*'Input sheet(dashboard)'!$E$8,0)</f>
        <v>32660.790071388401</v>
      </c>
      <c r="L315" s="3">
        <f>IF(B315&lt;='Input sheet(dashboard)'!$D$27*12,'Input sheet(dashboard)'!$D$9*(1+'Input sheet(dashboard)'!$E$22)^B315,0)</f>
        <v>5700.8781023404208</v>
      </c>
      <c r="M315" s="3">
        <f>IF(B315=1,'Input sheet(dashboard)'!$D$3*'Input sheet(dashboard)'!$D$10,0)</f>
        <v>0</v>
      </c>
      <c r="N315" s="3">
        <f>IF(B315='Input sheet(dashboard)'!$D$27*12,J315*'Input sheet(dashboard)'!$D$11,0)</f>
        <v>0</v>
      </c>
      <c r="O315" s="3">
        <f>IF(SUM(F315:F326)&gt;=150000,150000/12*'Input sheet(dashboard)'!$D$28,SUM(F315:F326)/12*'Input sheet(dashboard)'!$D$28)</f>
        <v>873.7478345682614</v>
      </c>
      <c r="P315" s="3">
        <f t="shared" si="42"/>
        <v>13842.117385893253</v>
      </c>
      <c r="Q315" s="3">
        <f>IF(B315&lt;='Input sheet(dashboard)'!$D$27*12,'Input sheet(dashboard)'!$D$12/12,0)</f>
        <v>192.5</v>
      </c>
      <c r="R315" s="3">
        <f>IF(B315&lt;='Input sheet(dashboard)'!$D$27*12,('Input sheet(dashboard)'!$D$15/12)*(1+'Input sheet(dashboard)'!$E$22)^Calculations!B315,0)</f>
        <v>633.43090026004666</v>
      </c>
      <c r="S315" s="3">
        <f>IF(B315&lt;='Input sheet(dashboard)'!$D$27*12,(E315+G315+K315+L315-O315+M315+Q315+R315),0)</f>
        <v>81334.720195460541</v>
      </c>
      <c r="T315" s="3">
        <f>IF(B315&lt;='Input sheet(dashboard)'!$D$27*12,IF(D315=12,SUM(S304:S315),0),0)</f>
        <v>965326.384774131</v>
      </c>
      <c r="U315" s="3">
        <f>IF(B315&lt;='Input sheet(dashboard)'!$D$27*12,IF(S315&lt;AD315,AD315-S315,0),0)</f>
        <v>10401.237140143872</v>
      </c>
      <c r="V315" s="3">
        <f>IF(B315&lt;='Input sheet(dashboard)'!$D$27*12,V314*(1+'Input sheet(dashboard)'!$E$25)+U315,0)</f>
        <v>348990.34545664972</v>
      </c>
      <c r="W315" s="17">
        <f>IF(B315&lt;='Input sheet(dashboard)'!$D$27*12,J315-I315+V315-N315,0)</f>
        <v>30131290.934625641</v>
      </c>
      <c r="X315" s="3">
        <f>IF(B315&lt;='Input sheet(dashboard)'!$D$27*12,'Input sheet(dashboard)'!$D$17*(1+'Input sheet(dashboard)'!$E$23)^(B315-1),0)</f>
        <v>91735.957335604413</v>
      </c>
      <c r="Y315" s="3"/>
      <c r="Z315" s="18"/>
      <c r="AA315" s="18"/>
      <c r="AB315" s="3">
        <f>IF(B315=1,'Input sheet(dashboard)'!$D$18*Calculations!X315,IF(Calculations!B315=12*'Input sheet(dashboard)'!$D$27,'Input sheet(dashboard)'!$D$18*-Calculations!X315,0))</f>
        <v>0</v>
      </c>
      <c r="AC315" s="3">
        <f>IF(B315&lt;='Input sheet(dashboard)'!$D$27*12,IF(MOD(B314,'Input sheet(dashboard)'!$D$19*12),0,'Input sheet(dashboard)'!$D$20*(1+'Input sheet(dashboard)'!$E$22)^Calculations!B315),0)</f>
        <v>0</v>
      </c>
      <c r="AD315" s="17">
        <f t="shared" si="39"/>
        <v>91735.957335604413</v>
      </c>
      <c r="AE315" s="17">
        <f>IF(B315&lt;='Input sheet(dashboard)'!$D$27*12,IF(D315=12,SUM(AD304:AD315),0),0)</f>
        <v>1076593.7585902982</v>
      </c>
      <c r="AF315" s="17">
        <f t="shared" si="40"/>
        <v>-10401.237140143872</v>
      </c>
      <c r="AG315" s="17">
        <f t="shared" si="41"/>
        <v>0</v>
      </c>
      <c r="AH315" s="3">
        <f>IF(B315&lt;='Input sheet(dashboard)'!$D$27*12,AH314*(1+'Input sheet(dashboard)'!$E$25)+AG315," ")</f>
        <v>25199542.147488825</v>
      </c>
    </row>
    <row r="316" spans="2:34">
      <c r="B316">
        <f t="shared" si="36"/>
        <v>313</v>
      </c>
      <c r="C316">
        <f t="shared" si="43"/>
        <v>27</v>
      </c>
      <c r="D316">
        <f t="shared" si="44"/>
        <v>1</v>
      </c>
      <c r="E316" s="15">
        <f>IF(C316&lt;='Input sheet(dashboard)'!$D$6, -PMT('Input sheet(dashboard)'!$E$5,'Input sheet(dashboard)'!$D$6*12,'Input sheet(dashboard)'!$D$3*'Input sheet(dashboard)'!$D$4),0)</f>
        <v>39834.137922259193</v>
      </c>
      <c r="F316" s="3">
        <f>I315*'Input sheet(dashboard)'!$E$5</f>
        <v>6379.5768131967516</v>
      </c>
      <c r="G316" s="3">
        <f>IF(C316&lt;='Input sheet(dashboard)'!$D$6,E316*'Input sheet(dashboard)'!$D$7,0)</f>
        <v>3186.7310337807357</v>
      </c>
      <c r="H316" s="3">
        <f t="shared" si="37"/>
        <v>33454.561109062444</v>
      </c>
      <c r="I316" s="3">
        <f t="shared" si="38"/>
        <v>1717834.7529380028</v>
      </c>
      <c r="J316" s="3">
        <f>IF(B316&lt;='Input sheet(dashboard)'!$D$27*12,'Input sheet(dashboard)'!$D$3*(1+'Input sheet(dashboard)'!$E$24)^B316,0)</f>
        <v>31662061.651824564</v>
      </c>
      <c r="K316" s="3">
        <f>IF(B316&lt;='Input sheet(dashboard)'!$D$27*12,J316*'Input sheet(dashboard)'!$E$8,0)</f>
        <v>32793.854173010994</v>
      </c>
      <c r="L316" s="3">
        <f>IF(B316&lt;='Input sheet(dashboard)'!$D$27*12,'Input sheet(dashboard)'!$D$9*(1+'Input sheet(dashboard)'!$E$22)^B316,0)</f>
        <v>5712.6209778255743</v>
      </c>
      <c r="M316" s="3">
        <f>IF(B316=1,'Input sheet(dashboard)'!$D$3*'Input sheet(dashboard)'!$D$10,0)</f>
        <v>0</v>
      </c>
      <c r="N316" s="3">
        <f>IF(B316='Input sheet(dashboard)'!$D$27*12,J316*'Input sheet(dashboard)'!$D$11,0)</f>
        <v>0</v>
      </c>
      <c r="O316" s="3">
        <f>IF(SUM(F316:F327)&gt;=150000,150000/12*'Input sheet(dashboard)'!$D$28,SUM(F316:F327)/12*'Input sheet(dashboard)'!$D$28)</f>
        <v>855.16461150377597</v>
      </c>
      <c r="P316" s="3">
        <f t="shared" si="42"/>
        <v>0</v>
      </c>
      <c r="Q316" s="3">
        <f>IF(B316&lt;='Input sheet(dashboard)'!$D$27*12,'Input sheet(dashboard)'!$D$12/12,0)</f>
        <v>192.5</v>
      </c>
      <c r="R316" s="3">
        <f>IF(B316&lt;='Input sheet(dashboard)'!$D$27*12,('Input sheet(dashboard)'!$D$15/12)*(1+'Input sheet(dashboard)'!$E$22)^Calculations!B316,0)</f>
        <v>634.73566420284158</v>
      </c>
      <c r="S316" s="3">
        <f>IF(B316&lt;='Input sheet(dashboard)'!$D$27*12,(E316+G316+K316+L316-O316+M316+Q316+R316),0)</f>
        <v>81499.415159575568</v>
      </c>
      <c r="T316" s="3">
        <f>IF(B316&lt;='Input sheet(dashboard)'!$D$27*12,IF(D316=12,SUM(S305:S316),0),0)</f>
        <v>0</v>
      </c>
      <c r="U316" s="3">
        <f>IF(B316&lt;='Input sheet(dashboard)'!$D$27*12,IF(S316&lt;AD316,AD316-S316,0),0)</f>
        <v>25843.941762493792</v>
      </c>
      <c r="V316" s="3">
        <f>IF(B316&lt;='Input sheet(dashboard)'!$D$27*12,V315*(1+'Input sheet(dashboard)'!$E$25)+U316,0)</f>
        <v>377079.7016099121</v>
      </c>
      <c r="W316" s="17">
        <f>IF(B316&lt;='Input sheet(dashboard)'!$D$27*12,J316-I316+V316-N316,0)</f>
        <v>30321306.600496475</v>
      </c>
      <c r="X316" s="3">
        <f>IF(B316&lt;='Input sheet(dashboard)'!$D$27*12,'Input sheet(dashboard)'!$D$17*(1+'Input sheet(dashboard)'!$E$23)^(B316-1),0)</f>
        <v>92109.700981201167</v>
      </c>
      <c r="Y316" s="3"/>
      <c r="Z316" s="18"/>
      <c r="AA316" s="18"/>
      <c r="AB316" s="3">
        <f>IF(B316=1,'Input sheet(dashboard)'!$D$18*Calculations!X316,IF(Calculations!B316=12*'Input sheet(dashboard)'!$D$27,'Input sheet(dashboard)'!$D$18*-Calculations!X316,0))</f>
        <v>0</v>
      </c>
      <c r="AC316" s="3">
        <f>IF(B316&lt;='Input sheet(dashboard)'!$D$27*12,IF(MOD(B315,'Input sheet(dashboard)'!$D$19*12),0,'Input sheet(dashboard)'!$D$20*(1+'Input sheet(dashboard)'!$E$22)^Calculations!B316),0)</f>
        <v>15233.655940868199</v>
      </c>
      <c r="AD316" s="17">
        <f t="shared" si="39"/>
        <v>107343.35692206936</v>
      </c>
      <c r="AE316" s="17">
        <f>IF(B316&lt;='Input sheet(dashboard)'!$D$27*12,IF(D316=12,SUM(AD305:AD316),0),0)</f>
        <v>0</v>
      </c>
      <c r="AF316" s="17">
        <f t="shared" si="40"/>
        <v>-25843.941762493792</v>
      </c>
      <c r="AG316" s="17">
        <f t="shared" si="41"/>
        <v>0</v>
      </c>
      <c r="AH316" s="3">
        <f>IF(B316&lt;='Input sheet(dashboard)'!$D$27*12,AH315*(1+'Input sheet(dashboard)'!$E$25)+AG316," ")</f>
        <v>25361676.76042407</v>
      </c>
    </row>
    <row r="317" spans="2:34">
      <c r="B317">
        <f t="shared" si="36"/>
        <v>314</v>
      </c>
      <c r="C317">
        <f t="shared" si="43"/>
        <v>27</v>
      </c>
      <c r="D317">
        <f t="shared" si="44"/>
        <v>2</v>
      </c>
      <c r="E317" s="15">
        <f>IF(C317&lt;='Input sheet(dashboard)'!$D$6, -PMT('Input sheet(dashboard)'!$E$5,'Input sheet(dashboard)'!$D$6*12,'Input sheet(dashboard)'!$D$3*'Input sheet(dashboard)'!$D$4),0)</f>
        <v>39834.137922259193</v>
      </c>
      <c r="F317" s="3">
        <f>I316*'Input sheet(dashboard)'!$E$5</f>
        <v>6257.7089181350029</v>
      </c>
      <c r="G317" s="3">
        <f>IF(C317&lt;='Input sheet(dashboard)'!$D$6,E317*'Input sheet(dashboard)'!$D$7,0)</f>
        <v>3186.7310337807357</v>
      </c>
      <c r="H317" s="3">
        <f t="shared" si="37"/>
        <v>33576.429004124191</v>
      </c>
      <c r="I317" s="3">
        <f t="shared" si="38"/>
        <v>1684258.3239338787</v>
      </c>
      <c r="J317" s="3">
        <f>IF(B317&lt;='Input sheet(dashboard)'!$D$27*12,'Input sheet(dashboard)'!$D$3*(1+'Input sheet(dashboard)'!$E$24)^B317,0)</f>
        <v>31791056.810239602</v>
      </c>
      <c r="K317" s="3">
        <f>IF(B317&lt;='Input sheet(dashboard)'!$D$27*12,J317*'Input sheet(dashboard)'!$E$8,0)</f>
        <v>32927.460394254755</v>
      </c>
      <c r="L317" s="3">
        <f>IF(B317&lt;='Input sheet(dashboard)'!$D$27*12,'Input sheet(dashboard)'!$D$9*(1+'Input sheet(dashboard)'!$E$22)^B317,0)</f>
        <v>5724.3880417115633</v>
      </c>
      <c r="M317" s="3">
        <f>IF(B317=1,'Input sheet(dashboard)'!$D$3*'Input sheet(dashboard)'!$D$10,0)</f>
        <v>0</v>
      </c>
      <c r="N317" s="3">
        <f>IF(B317='Input sheet(dashboard)'!$D$27*12,J317*'Input sheet(dashboard)'!$D$11,0)</f>
        <v>0</v>
      </c>
      <c r="O317" s="3">
        <f>IF(SUM(F317:F328)&gt;=150000,150000/12*'Input sheet(dashboard)'!$D$28,SUM(F317:F328)/12*'Input sheet(dashboard)'!$D$28)</f>
        <v>836.51369368547364</v>
      </c>
      <c r="P317" s="3">
        <f t="shared" si="42"/>
        <v>0</v>
      </c>
      <c r="Q317" s="3">
        <f>IF(B317&lt;='Input sheet(dashboard)'!$D$27*12,'Input sheet(dashboard)'!$D$12/12,0)</f>
        <v>192.5</v>
      </c>
      <c r="R317" s="3">
        <f>IF(B317&lt;='Input sheet(dashboard)'!$D$27*12,('Input sheet(dashboard)'!$D$15/12)*(1+'Input sheet(dashboard)'!$E$22)^Calculations!B317,0)</f>
        <v>636.04311574572921</v>
      </c>
      <c r="S317" s="3">
        <f>IF(B317&lt;='Input sheet(dashboard)'!$D$27*12,(E317+G317+K317+L317-O317+M317+Q317+R317),0)</f>
        <v>81664.746814066515</v>
      </c>
      <c r="T317" s="3">
        <f>IF(B317&lt;='Input sheet(dashboard)'!$D$27*12,IF(D317=12,SUM(S306:S317),0),0)</f>
        <v>0</v>
      </c>
      <c r="U317" s="3">
        <f>IF(B317&lt;='Input sheet(dashboard)'!$D$27*12,IF(S317&lt;AD317,AD317-S317,0),0)</f>
        <v>10820.220490606895</v>
      </c>
      <c r="V317" s="3">
        <f>IF(B317&lt;='Input sheet(dashboard)'!$D$27*12,V316*(1+'Input sheet(dashboard)'!$E$25)+U317,0)</f>
        <v>390326.06425454828</v>
      </c>
      <c r="W317" s="17">
        <f>IF(B317&lt;='Input sheet(dashboard)'!$D$27*12,J317-I317+V317-N317,0)</f>
        <v>30497124.550560273</v>
      </c>
      <c r="X317" s="3">
        <f>IF(B317&lt;='Input sheet(dashboard)'!$D$27*12,'Input sheet(dashboard)'!$D$17*(1+'Input sheet(dashboard)'!$E$23)^(B317-1),0)</f>
        <v>92484.96730467341</v>
      </c>
      <c r="Y317" s="3"/>
      <c r="Z317" s="18"/>
      <c r="AA317" s="18"/>
      <c r="AB317" s="3">
        <f>IF(B317=1,'Input sheet(dashboard)'!$D$18*Calculations!X317,IF(Calculations!B317=12*'Input sheet(dashboard)'!$D$27,'Input sheet(dashboard)'!$D$18*-Calculations!X317,0))</f>
        <v>0</v>
      </c>
      <c r="AC317" s="3">
        <f>IF(B317&lt;='Input sheet(dashboard)'!$D$27*12,IF(MOD(B316,'Input sheet(dashboard)'!$D$19*12),0,'Input sheet(dashboard)'!$D$20*(1+'Input sheet(dashboard)'!$E$22)^Calculations!B317),0)</f>
        <v>0</v>
      </c>
      <c r="AD317" s="17">
        <f t="shared" si="39"/>
        <v>92484.96730467341</v>
      </c>
      <c r="AE317" s="17">
        <f>IF(B317&lt;='Input sheet(dashboard)'!$D$27*12,IF(D317=12,SUM(AD306:AD317),0),0)</f>
        <v>0</v>
      </c>
      <c r="AF317" s="17">
        <f t="shared" si="40"/>
        <v>-10820.220490606895</v>
      </c>
      <c r="AG317" s="17">
        <f t="shared" si="41"/>
        <v>0</v>
      </c>
      <c r="AH317" s="3">
        <f>IF(B317&lt;='Input sheet(dashboard)'!$D$27*12,AH316*(1+'Input sheet(dashboard)'!$E$25)+AG317," ")</f>
        <v>25524854.552340813</v>
      </c>
    </row>
    <row r="318" spans="2:34">
      <c r="B318">
        <f t="shared" si="36"/>
        <v>315</v>
      </c>
      <c r="C318">
        <f t="shared" si="43"/>
        <v>27</v>
      </c>
      <c r="D318">
        <f t="shared" si="44"/>
        <v>3</v>
      </c>
      <c r="E318" s="15">
        <f>IF(C318&lt;='Input sheet(dashboard)'!$D$6, -PMT('Input sheet(dashboard)'!$E$5,'Input sheet(dashboard)'!$D$6*12,'Input sheet(dashboard)'!$D$3*'Input sheet(dashboard)'!$D$4),0)</f>
        <v>39834.137922259193</v>
      </c>
      <c r="F318" s="3">
        <f>I317*'Input sheet(dashboard)'!$E$5</f>
        <v>6135.3970840899165</v>
      </c>
      <c r="G318" s="3">
        <f>IF(C318&lt;='Input sheet(dashboard)'!$D$6,E318*'Input sheet(dashboard)'!$D$7,0)</f>
        <v>3186.7310337807357</v>
      </c>
      <c r="H318" s="3">
        <f t="shared" si="37"/>
        <v>33698.74083816928</v>
      </c>
      <c r="I318" s="3">
        <f t="shared" si="38"/>
        <v>1650559.5830957093</v>
      </c>
      <c r="J318" s="3">
        <f>IF(B318&lt;='Input sheet(dashboard)'!$D$27*12,'Input sheet(dashboard)'!$D$3*(1+'Input sheet(dashboard)'!$E$24)^B318,0)</f>
        <v>31920577.510897517</v>
      </c>
      <c r="K318" s="3">
        <f>IF(B318&lt;='Input sheet(dashboard)'!$D$27*12,J318*'Input sheet(dashboard)'!$E$8,0)</f>
        <v>33061.610943782129</v>
      </c>
      <c r="L318" s="3">
        <f>IF(B318&lt;='Input sheet(dashboard)'!$D$27*12,'Input sheet(dashboard)'!$D$9*(1+'Input sheet(dashboard)'!$E$22)^B318,0)</f>
        <v>5736.179343822535</v>
      </c>
      <c r="M318" s="3">
        <f>IF(B318=1,'Input sheet(dashboard)'!$D$3*'Input sheet(dashboard)'!$D$10,0)</f>
        <v>0</v>
      </c>
      <c r="N318" s="3">
        <f>IF(B318='Input sheet(dashboard)'!$D$27*12,J318*'Input sheet(dashboard)'!$D$11,0)</f>
        <v>0</v>
      </c>
      <c r="O318" s="3">
        <f>IF(SUM(F318:F329)&gt;=150000,150000/12*'Input sheet(dashboard)'!$D$28,SUM(F318:F329)/12*'Input sheet(dashboard)'!$D$28)</f>
        <v>817.79483451567432</v>
      </c>
      <c r="P318" s="3">
        <f t="shared" si="42"/>
        <v>0</v>
      </c>
      <c r="Q318" s="3">
        <f>IF(B318&lt;='Input sheet(dashboard)'!$D$27*12,'Input sheet(dashboard)'!$D$12/12,0)</f>
        <v>192.5</v>
      </c>
      <c r="R318" s="3">
        <f>IF(B318&lt;='Input sheet(dashboard)'!$D$27*12,('Input sheet(dashboard)'!$D$15/12)*(1+'Input sheet(dashboard)'!$E$22)^Calculations!B318,0)</f>
        <v>637.35326042472605</v>
      </c>
      <c r="S318" s="3">
        <f>IF(B318&lt;='Input sheet(dashboard)'!$D$27*12,(E318+G318+K318+L318-O318+M318+Q318+R318),0)</f>
        <v>81830.717669553647</v>
      </c>
      <c r="T318" s="3">
        <f>IF(B318&lt;='Input sheet(dashboard)'!$D$27*12,IF(D318=12,SUM(S307:S318),0),0)</f>
        <v>0</v>
      </c>
      <c r="U318" s="3">
        <f>IF(B318&lt;='Input sheet(dashboard)'!$D$27*12,IF(S318&lt;AD318,AD318-S318,0),0)</f>
        <v>11031.044840045681</v>
      </c>
      <c r="V318" s="3">
        <f>IF(B318&lt;='Input sheet(dashboard)'!$D$27*12,V317*(1+'Input sheet(dashboard)'!$E$25)+U318,0)</f>
        <v>403868.47874472686</v>
      </c>
      <c r="W318" s="17">
        <f>IF(B318&lt;='Input sheet(dashboard)'!$D$27*12,J318-I318+V318-N318,0)</f>
        <v>30673886.406546533</v>
      </c>
      <c r="X318" s="3">
        <f>IF(B318&lt;='Input sheet(dashboard)'!$D$27*12,'Input sheet(dashboard)'!$D$17*(1+'Input sheet(dashboard)'!$E$23)^(B318-1),0)</f>
        <v>92861.762509599328</v>
      </c>
      <c r="Y318" s="3"/>
      <c r="Z318" s="18"/>
      <c r="AA318" s="18"/>
      <c r="AB318" s="3">
        <f>IF(B318=1,'Input sheet(dashboard)'!$D$18*Calculations!X318,IF(Calculations!B318=12*'Input sheet(dashboard)'!$D$27,'Input sheet(dashboard)'!$D$18*-Calculations!X318,0))</f>
        <v>0</v>
      </c>
      <c r="AC318" s="3">
        <f>IF(B318&lt;='Input sheet(dashboard)'!$D$27*12,IF(MOD(B317,'Input sheet(dashboard)'!$D$19*12),0,'Input sheet(dashboard)'!$D$20*(1+'Input sheet(dashboard)'!$E$22)^Calculations!B318),0)</f>
        <v>0</v>
      </c>
      <c r="AD318" s="17">
        <f t="shared" si="39"/>
        <v>92861.762509599328</v>
      </c>
      <c r="AE318" s="17">
        <f>IF(B318&lt;='Input sheet(dashboard)'!$D$27*12,IF(D318=12,SUM(AD307:AD318),0),0)</f>
        <v>0</v>
      </c>
      <c r="AF318" s="17">
        <f t="shared" si="40"/>
        <v>-11031.044840045681</v>
      </c>
      <c r="AG318" s="17">
        <f t="shared" si="41"/>
        <v>0</v>
      </c>
      <c r="AH318" s="3">
        <f>IF(B318&lt;='Input sheet(dashboard)'!$D$27*12,AH317*(1+'Input sheet(dashboard)'!$E$25)+AG318," ")</f>
        <v>25689082.235084031</v>
      </c>
    </row>
    <row r="319" spans="2:34">
      <c r="B319">
        <f t="shared" si="36"/>
        <v>316</v>
      </c>
      <c r="C319">
        <f t="shared" si="43"/>
        <v>27</v>
      </c>
      <c r="D319">
        <f t="shared" si="44"/>
        <v>4</v>
      </c>
      <c r="E319" s="15">
        <f>IF(C319&lt;='Input sheet(dashboard)'!$D$6, -PMT('Input sheet(dashboard)'!$E$5,'Input sheet(dashboard)'!$D$6*12,'Input sheet(dashboard)'!$D$3*'Input sheet(dashboard)'!$D$4),0)</f>
        <v>39834.137922259193</v>
      </c>
      <c r="F319" s="3">
        <f>I318*'Input sheet(dashboard)'!$E$5</f>
        <v>6012.6396938856078</v>
      </c>
      <c r="G319" s="3">
        <f>IF(C319&lt;='Input sheet(dashboard)'!$D$6,E319*'Input sheet(dashboard)'!$D$7,0)</f>
        <v>3186.7310337807357</v>
      </c>
      <c r="H319" s="3">
        <f t="shared" si="37"/>
        <v>33821.498228373588</v>
      </c>
      <c r="I319" s="3">
        <f t="shared" si="38"/>
        <v>1616738.0848673359</v>
      </c>
      <c r="J319" s="3">
        <f>IF(B319&lt;='Input sheet(dashboard)'!$D$27*12,'Input sheet(dashboard)'!$D$3*(1+'Input sheet(dashboard)'!$E$24)^B319,0)</f>
        <v>32050625.894922458</v>
      </c>
      <c r="K319" s="3">
        <f>IF(B319&lt;='Input sheet(dashboard)'!$D$27*12,J319*'Input sheet(dashboard)'!$E$8,0)</f>
        <v>33196.30803925392</v>
      </c>
      <c r="L319" s="3">
        <f>IF(B319&lt;='Input sheet(dashboard)'!$D$27*12,'Input sheet(dashboard)'!$D$9*(1+'Input sheet(dashboard)'!$E$22)^B319,0)</f>
        <v>5747.9949340852636</v>
      </c>
      <c r="M319" s="3">
        <f>IF(B319=1,'Input sheet(dashboard)'!$D$3*'Input sheet(dashboard)'!$D$10,0)</f>
        <v>0</v>
      </c>
      <c r="N319" s="3">
        <f>IF(B319='Input sheet(dashboard)'!$D$27*12,J319*'Input sheet(dashboard)'!$D$11,0)</f>
        <v>0</v>
      </c>
      <c r="O319" s="3">
        <f>IF(SUM(F319:F330)&gt;=150000,150000/12*'Input sheet(dashboard)'!$D$28,SUM(F319:F330)/12*'Input sheet(dashboard)'!$D$28)</f>
        <v>799.00778649839458</v>
      </c>
      <c r="P319" s="3">
        <f t="shared" si="42"/>
        <v>0</v>
      </c>
      <c r="Q319" s="3">
        <f>IF(B319&lt;='Input sheet(dashboard)'!$D$27*12,'Input sheet(dashboard)'!$D$12/12,0)</f>
        <v>192.5</v>
      </c>
      <c r="R319" s="3">
        <f>IF(B319&lt;='Input sheet(dashboard)'!$D$27*12,('Input sheet(dashboard)'!$D$15/12)*(1+'Input sheet(dashboard)'!$E$22)^Calculations!B319,0)</f>
        <v>638.66610378725147</v>
      </c>
      <c r="S319" s="3">
        <f>IF(B319&lt;='Input sheet(dashboard)'!$D$27*12,(E319+G319+K319+L319-O319+M319+Q319+R319),0)</f>
        <v>81997.330246667974</v>
      </c>
      <c r="T319" s="3">
        <f>IF(B319&lt;='Input sheet(dashboard)'!$D$27*12,IF(D319=12,SUM(S308:S319),0),0)</f>
        <v>0</v>
      </c>
      <c r="U319" s="3">
        <f>IF(B319&lt;='Input sheet(dashboard)'!$D$27*12,IF(S319&lt;AD319,AD319-S319,0),0)</f>
        <v>11242.762578163223</v>
      </c>
      <c r="V319" s="3">
        <f>IF(B319&lt;='Input sheet(dashboard)'!$D$27*12,V318*(1+'Input sheet(dashboard)'!$E$25)+U319,0)</f>
        <v>417709.74327561498</v>
      </c>
      <c r="W319" s="17">
        <f>IF(B319&lt;='Input sheet(dashboard)'!$D$27*12,J319-I319+V319-N319,0)</f>
        <v>30851597.553330738</v>
      </c>
      <c r="X319" s="3">
        <f>IF(B319&lt;='Input sheet(dashboard)'!$D$27*12,'Input sheet(dashboard)'!$D$17*(1+'Input sheet(dashboard)'!$E$23)^(B319-1),0)</f>
        <v>93240.092824831198</v>
      </c>
      <c r="Y319" s="3"/>
      <c r="Z319" s="18"/>
      <c r="AA319" s="18"/>
      <c r="AB319" s="3">
        <f>IF(B319=1,'Input sheet(dashboard)'!$D$18*Calculations!X319,IF(Calculations!B319=12*'Input sheet(dashboard)'!$D$27,'Input sheet(dashboard)'!$D$18*-Calculations!X319,0))</f>
        <v>0</v>
      </c>
      <c r="AC319" s="3">
        <f>IF(B319&lt;='Input sheet(dashboard)'!$D$27*12,IF(MOD(B318,'Input sheet(dashboard)'!$D$19*12),0,'Input sheet(dashboard)'!$D$20*(1+'Input sheet(dashboard)'!$E$22)^Calculations!B319),0)</f>
        <v>0</v>
      </c>
      <c r="AD319" s="17">
        <f t="shared" si="39"/>
        <v>93240.092824831198</v>
      </c>
      <c r="AE319" s="17">
        <f>IF(B319&lt;='Input sheet(dashboard)'!$D$27*12,IF(D319=12,SUM(AD308:AD319),0),0)</f>
        <v>0</v>
      </c>
      <c r="AF319" s="17">
        <f t="shared" si="40"/>
        <v>-11242.762578163223</v>
      </c>
      <c r="AG319" s="17">
        <f t="shared" si="41"/>
        <v>0</v>
      </c>
      <c r="AH319" s="3">
        <f>IF(B319&lt;='Input sheet(dashboard)'!$D$27*12,AH318*(1+'Input sheet(dashboard)'!$E$25)+AG319," ")</f>
        <v>25854366.563682918</v>
      </c>
    </row>
    <row r="320" spans="2:34">
      <c r="B320">
        <f t="shared" si="36"/>
        <v>317</v>
      </c>
      <c r="C320">
        <f t="shared" si="43"/>
        <v>27</v>
      </c>
      <c r="D320">
        <f t="shared" si="44"/>
        <v>5</v>
      </c>
      <c r="E320" s="15">
        <f>IF(C320&lt;='Input sheet(dashboard)'!$D$6, -PMT('Input sheet(dashboard)'!$E$5,'Input sheet(dashboard)'!$D$6*12,'Input sheet(dashboard)'!$D$3*'Input sheet(dashboard)'!$D$4),0)</f>
        <v>39834.137922259193</v>
      </c>
      <c r="F320" s="3">
        <f>I319*'Input sheet(dashboard)'!$E$5</f>
        <v>5889.4351244551644</v>
      </c>
      <c r="G320" s="3">
        <f>IF(C320&lt;='Input sheet(dashboard)'!$D$6,E320*'Input sheet(dashboard)'!$D$7,0)</f>
        <v>3186.7310337807357</v>
      </c>
      <c r="H320" s="3">
        <f t="shared" si="37"/>
        <v>33944.702797804028</v>
      </c>
      <c r="I320" s="3">
        <f t="shared" si="38"/>
        <v>1582793.3820695318</v>
      </c>
      <c r="J320" s="3">
        <f>IF(B320&lt;='Input sheet(dashboard)'!$D$27*12,'Input sheet(dashboard)'!$D$3*(1+'Input sheet(dashboard)'!$E$24)^B320,0)</f>
        <v>32181204.112161782</v>
      </c>
      <c r="K320" s="3">
        <f>IF(B320&lt;='Input sheet(dashboard)'!$D$27*12,J320*'Input sheet(dashboard)'!$E$8,0)</f>
        <v>33331.553907365967</v>
      </c>
      <c r="L320" s="3">
        <f>IF(B320&lt;='Input sheet(dashboard)'!$D$27*12,'Input sheet(dashboard)'!$D$9*(1+'Input sheet(dashboard)'!$E$22)^B320,0)</f>
        <v>5759.8348625293638</v>
      </c>
      <c r="M320" s="3">
        <f>IF(B320=1,'Input sheet(dashboard)'!$D$3*'Input sheet(dashboard)'!$D$10,0)</f>
        <v>0</v>
      </c>
      <c r="N320" s="3">
        <f>IF(B320='Input sheet(dashboard)'!$D$27*12,J320*'Input sheet(dashboard)'!$D$11,0)</f>
        <v>0</v>
      </c>
      <c r="O320" s="3">
        <f>IF(SUM(F320:F331)&gt;=150000,150000/12*'Input sheet(dashboard)'!$D$28,SUM(F320:F331)/12*'Input sheet(dashboard)'!$D$28)</f>
        <v>780.15230123607637</v>
      </c>
      <c r="P320" s="3">
        <f t="shared" si="42"/>
        <v>0</v>
      </c>
      <c r="Q320" s="3">
        <f>IF(B320&lt;='Input sheet(dashboard)'!$D$27*12,'Input sheet(dashboard)'!$D$12/12,0)</f>
        <v>192.5</v>
      </c>
      <c r="R320" s="3">
        <f>IF(B320&lt;='Input sheet(dashboard)'!$D$27*12,('Input sheet(dashboard)'!$D$15/12)*(1+'Input sheet(dashboard)'!$E$22)^Calculations!B320,0)</f>
        <v>639.98165139215155</v>
      </c>
      <c r="S320" s="3">
        <f>IF(B320&lt;='Input sheet(dashboard)'!$D$27*12,(E320+G320+K320+L320-O320+M320+Q320+R320),0)</f>
        <v>82164.587076091339</v>
      </c>
      <c r="T320" s="3">
        <f>IF(B320&lt;='Input sheet(dashboard)'!$D$27*12,IF(D320=12,SUM(S309:S320),0),0)</f>
        <v>0</v>
      </c>
      <c r="U320" s="3">
        <f>IF(B320&lt;='Input sheet(dashboard)'!$D$27*12,IF(S320&lt;AD320,AD320-S320,0),0)</f>
        <v>11455.377428507083</v>
      </c>
      <c r="V320" s="3">
        <f>IF(B320&lt;='Input sheet(dashboard)'!$D$27*12,V319*(1+'Input sheet(dashboard)'!$E$25)+U320,0)</f>
        <v>431852.67776959919</v>
      </c>
      <c r="W320" s="17">
        <f>IF(B320&lt;='Input sheet(dashboard)'!$D$27*12,J320-I320+V320-N320,0)</f>
        <v>31030263.407861847</v>
      </c>
      <c r="X320" s="3">
        <f>IF(B320&lt;='Input sheet(dashboard)'!$D$27*12,'Input sheet(dashboard)'!$D$17*(1+'Input sheet(dashboard)'!$E$23)^(B320-1),0)</f>
        <v>93619.964504598422</v>
      </c>
      <c r="Y320" s="3"/>
      <c r="Z320" s="18"/>
      <c r="AA320" s="18"/>
      <c r="AB320" s="3">
        <f>IF(B320=1,'Input sheet(dashboard)'!$D$18*Calculations!X320,IF(Calculations!B320=12*'Input sheet(dashboard)'!$D$27,'Input sheet(dashboard)'!$D$18*-Calculations!X320,0))</f>
        <v>0</v>
      </c>
      <c r="AC320" s="3">
        <f>IF(B320&lt;='Input sheet(dashboard)'!$D$27*12,IF(MOD(B319,'Input sheet(dashboard)'!$D$19*12),0,'Input sheet(dashboard)'!$D$20*(1+'Input sheet(dashboard)'!$E$22)^Calculations!B320),0)</f>
        <v>0</v>
      </c>
      <c r="AD320" s="17">
        <f t="shared" si="39"/>
        <v>93619.964504598422</v>
      </c>
      <c r="AE320" s="17">
        <f>IF(B320&lt;='Input sheet(dashboard)'!$D$27*12,IF(D320=12,SUM(AD309:AD320),0),0)</f>
        <v>0</v>
      </c>
      <c r="AF320" s="17">
        <f t="shared" si="40"/>
        <v>-11455.377428507083</v>
      </c>
      <c r="AG320" s="17">
        <f t="shared" si="41"/>
        <v>0</v>
      </c>
      <c r="AH320" s="3">
        <f>IF(B320&lt;='Input sheet(dashboard)'!$D$27*12,AH319*(1+'Input sheet(dashboard)'!$E$25)+AG320," ")</f>
        <v>26020714.33662872</v>
      </c>
    </row>
    <row r="321" spans="2:34">
      <c r="B321">
        <f t="shared" si="36"/>
        <v>318</v>
      </c>
      <c r="C321">
        <f t="shared" si="43"/>
        <v>27</v>
      </c>
      <c r="D321">
        <f t="shared" si="44"/>
        <v>6</v>
      </c>
      <c r="E321" s="15">
        <f>IF(C321&lt;='Input sheet(dashboard)'!$D$6, -PMT('Input sheet(dashboard)'!$E$5,'Input sheet(dashboard)'!$D$6*12,'Input sheet(dashboard)'!$D$3*'Input sheet(dashboard)'!$D$4),0)</f>
        <v>39834.137922259193</v>
      </c>
      <c r="F321" s="3">
        <f>I320*'Input sheet(dashboard)'!$E$5</f>
        <v>5765.7817468191797</v>
      </c>
      <c r="G321" s="3">
        <f>IF(C321&lt;='Input sheet(dashboard)'!$D$6,E321*'Input sheet(dashboard)'!$D$7,0)</f>
        <v>3186.7310337807357</v>
      </c>
      <c r="H321" s="3">
        <f t="shared" si="37"/>
        <v>34068.356175440014</v>
      </c>
      <c r="I321" s="3">
        <f t="shared" si="38"/>
        <v>1548725.0258940919</v>
      </c>
      <c r="J321" s="3">
        <f>IF(B321&lt;='Input sheet(dashboard)'!$D$27*12,'Input sheet(dashboard)'!$D$3*(1+'Input sheet(dashboard)'!$E$24)^B321,0)</f>
        <v>32312314.321221579</v>
      </c>
      <c r="K321" s="3">
        <f>IF(B321&lt;='Input sheet(dashboard)'!$D$27*12,J321*'Input sheet(dashboard)'!$E$8,0)</f>
        <v>33467.350783885922</v>
      </c>
      <c r="L321" s="3">
        <f>IF(B321&lt;='Input sheet(dashboard)'!$D$27*12,'Input sheet(dashboard)'!$D$9*(1+'Input sheet(dashboard)'!$E$22)^B321,0)</f>
        <v>5771.6991792875069</v>
      </c>
      <c r="M321" s="3">
        <f>IF(B321=1,'Input sheet(dashboard)'!$D$3*'Input sheet(dashboard)'!$D$10,0)</f>
        <v>0</v>
      </c>
      <c r="N321" s="3">
        <f>IF(B321='Input sheet(dashboard)'!$D$27*12,J321*'Input sheet(dashboard)'!$D$11,0)</f>
        <v>0</v>
      </c>
      <c r="O321" s="3">
        <f>IF(SUM(F321:F332)&gt;=150000,150000/12*'Input sheet(dashboard)'!$D$28,SUM(F321:F332)/12*'Input sheet(dashboard)'!$D$28)</f>
        <v>761.22812942630037</v>
      </c>
      <c r="P321" s="3">
        <f t="shared" si="42"/>
        <v>0</v>
      </c>
      <c r="Q321" s="3">
        <f>IF(B321&lt;='Input sheet(dashboard)'!$D$27*12,'Input sheet(dashboard)'!$D$12/12,0)</f>
        <v>192.5</v>
      </c>
      <c r="R321" s="3">
        <f>IF(B321&lt;='Input sheet(dashboard)'!$D$27*12,('Input sheet(dashboard)'!$D$15/12)*(1+'Input sheet(dashboard)'!$E$22)^Calculations!B321,0)</f>
        <v>641.29990880972287</v>
      </c>
      <c r="S321" s="3">
        <f>IF(B321&lt;='Input sheet(dashboard)'!$D$27*12,(E321+G321+K321+L321-O321+M321+Q321+R321),0)</f>
        <v>82332.490698596783</v>
      </c>
      <c r="T321" s="3">
        <f>IF(B321&lt;='Input sheet(dashboard)'!$D$27*12,IF(D321=12,SUM(S310:S321),0),0)</f>
        <v>0</v>
      </c>
      <c r="U321" s="3">
        <f>IF(B321&lt;='Input sheet(dashboard)'!$D$27*12,IF(S321&lt;AD321,AD321-S321,0),0)</f>
        <v>11668.893130014156</v>
      </c>
      <c r="V321" s="3">
        <f>IF(B321&lt;='Input sheet(dashboard)'!$D$27*12,V320*(1+'Input sheet(dashboard)'!$E$25)+U321,0)</f>
        <v>446300.12403146853</v>
      </c>
      <c r="W321" s="17">
        <f>IF(B321&lt;='Input sheet(dashboard)'!$D$27*12,J321-I321+V321-N321,0)</f>
        <v>31209889.419358958</v>
      </c>
      <c r="X321" s="3">
        <f>IF(B321&lt;='Input sheet(dashboard)'!$D$27*12,'Input sheet(dashboard)'!$D$17*(1+'Input sheet(dashboard)'!$E$23)^(B321-1),0)</f>
        <v>94001.383828610939</v>
      </c>
      <c r="Y321" s="3"/>
      <c r="Z321" s="18"/>
      <c r="AA321" s="18"/>
      <c r="AB321" s="3">
        <f>IF(B321=1,'Input sheet(dashboard)'!$D$18*Calculations!X321,IF(Calculations!B321=12*'Input sheet(dashboard)'!$D$27,'Input sheet(dashboard)'!$D$18*-Calculations!X321,0))</f>
        <v>0</v>
      </c>
      <c r="AC321" s="3">
        <f>IF(B321&lt;='Input sheet(dashboard)'!$D$27*12,IF(MOD(B320,'Input sheet(dashboard)'!$D$19*12),0,'Input sheet(dashboard)'!$D$20*(1+'Input sheet(dashboard)'!$E$22)^Calculations!B321),0)</f>
        <v>0</v>
      </c>
      <c r="AD321" s="17">
        <f t="shared" si="39"/>
        <v>94001.383828610939</v>
      </c>
      <c r="AE321" s="17">
        <f>IF(B321&lt;='Input sheet(dashboard)'!$D$27*12,IF(D321=12,SUM(AD310:AD321),0),0)</f>
        <v>0</v>
      </c>
      <c r="AF321" s="17">
        <f t="shared" si="40"/>
        <v>-11668.893130014156</v>
      </c>
      <c r="AG321" s="17">
        <f t="shared" si="41"/>
        <v>0</v>
      </c>
      <c r="AH321" s="3">
        <f>IF(B321&lt;='Input sheet(dashboard)'!$D$27*12,AH320*(1+'Input sheet(dashboard)'!$E$25)+AG321," ")</f>
        <v>26188132.396154389</v>
      </c>
    </row>
    <row r="322" spans="2:34">
      <c r="B322">
        <f t="shared" si="36"/>
        <v>319</v>
      </c>
      <c r="C322">
        <f t="shared" si="43"/>
        <v>27</v>
      </c>
      <c r="D322">
        <f t="shared" si="44"/>
        <v>7</v>
      </c>
      <c r="E322" s="15">
        <f>IF(C322&lt;='Input sheet(dashboard)'!$D$6, -PMT('Input sheet(dashboard)'!$E$5,'Input sheet(dashboard)'!$D$6*12,'Input sheet(dashboard)'!$D$3*'Input sheet(dashboard)'!$D$4),0)</f>
        <v>39834.137922259193</v>
      </c>
      <c r="F322" s="3">
        <f>I321*'Input sheet(dashboard)'!$E$5</f>
        <v>5641.6779260642252</v>
      </c>
      <c r="G322" s="3">
        <f>IF(C322&lt;='Input sheet(dashboard)'!$D$6,E322*'Input sheet(dashboard)'!$D$7,0)</f>
        <v>3186.7310337807357</v>
      </c>
      <c r="H322" s="3">
        <f t="shared" si="37"/>
        <v>34192.459996194972</v>
      </c>
      <c r="I322" s="3">
        <f t="shared" si="38"/>
        <v>1514532.5658978969</v>
      </c>
      <c r="J322" s="3">
        <f>IF(B322&lt;='Input sheet(dashboard)'!$D$27*12,'Input sheet(dashboard)'!$D$3*(1+'Input sheet(dashboard)'!$E$24)^B322,0)</f>
        <v>32443958.689502388</v>
      </c>
      <c r="K322" s="3">
        <f>IF(B322&lt;='Input sheet(dashboard)'!$D$27*12,J322*'Input sheet(dashboard)'!$E$8,0)</f>
        <v>33603.700913690249</v>
      </c>
      <c r="L322" s="3">
        <f>IF(B322&lt;='Input sheet(dashboard)'!$D$27*12,'Input sheet(dashboard)'!$D$9*(1+'Input sheet(dashboard)'!$E$22)^B322,0)</f>
        <v>5783.5879345956255</v>
      </c>
      <c r="M322" s="3">
        <f>IF(B322=1,'Input sheet(dashboard)'!$D$3*'Input sheet(dashboard)'!$D$10,0)</f>
        <v>0</v>
      </c>
      <c r="N322" s="3">
        <f>IF(B322='Input sheet(dashboard)'!$D$27*12,J322*'Input sheet(dashboard)'!$D$11,0)</f>
        <v>0</v>
      </c>
      <c r="O322" s="3">
        <f>IF(SUM(F322:F333)&gt;=150000,150000/12*'Input sheet(dashboard)'!$D$28,SUM(F322:F333)/12*'Input sheet(dashboard)'!$D$28)</f>
        <v>742.23502085849248</v>
      </c>
      <c r="P322" s="3">
        <f t="shared" si="42"/>
        <v>0</v>
      </c>
      <c r="Q322" s="3">
        <f>IF(B322&lt;='Input sheet(dashboard)'!$D$27*12,'Input sheet(dashboard)'!$D$12/12,0)</f>
        <v>192.5</v>
      </c>
      <c r="R322" s="3">
        <f>IF(B322&lt;='Input sheet(dashboard)'!$D$27*12,('Input sheet(dashboard)'!$D$15/12)*(1+'Input sheet(dashboard)'!$E$22)^Calculations!B322,0)</f>
        <v>642.62088162173609</v>
      </c>
      <c r="S322" s="3">
        <f>IF(B322&lt;='Input sheet(dashboard)'!$D$27*12,(E322+G322+K322+L322-O322+M322+Q322+R322),0)</f>
        <v>82501.043665089048</v>
      </c>
      <c r="T322" s="3">
        <f>IF(B322&lt;='Input sheet(dashboard)'!$D$27*12,IF(D322=12,SUM(S311:S322),0),0)</f>
        <v>0</v>
      </c>
      <c r="U322" s="3">
        <f>IF(B322&lt;='Input sheet(dashboard)'!$D$27*12,IF(S322&lt;AD322,AD322-S322,0),0)</f>
        <v>11883.313437073884</v>
      </c>
      <c r="V322" s="3">
        <f>IF(B322&lt;='Input sheet(dashboard)'!$D$27*12,V321*(1+'Input sheet(dashboard)'!$E$25)+U322,0)</f>
        <v>461054.94590465917</v>
      </c>
      <c r="W322" s="17">
        <f>IF(B322&lt;='Input sheet(dashboard)'!$D$27*12,J322-I322+V322-N322,0)</f>
        <v>31390481.069509152</v>
      </c>
      <c r="X322" s="3">
        <f>IF(B322&lt;='Input sheet(dashboard)'!$D$27*12,'Input sheet(dashboard)'!$D$17*(1+'Input sheet(dashboard)'!$E$23)^(B322-1),0)</f>
        <v>94384.357102162932</v>
      </c>
      <c r="Y322" s="3"/>
      <c r="Z322" s="18"/>
      <c r="AA322" s="18"/>
      <c r="AB322" s="3">
        <f>IF(B322=1,'Input sheet(dashboard)'!$D$18*Calculations!X322,IF(Calculations!B322=12*'Input sheet(dashboard)'!$D$27,'Input sheet(dashboard)'!$D$18*-Calculations!X322,0))</f>
        <v>0</v>
      </c>
      <c r="AC322" s="3">
        <f>IF(B322&lt;='Input sheet(dashboard)'!$D$27*12,IF(MOD(B321,'Input sheet(dashboard)'!$D$19*12),0,'Input sheet(dashboard)'!$D$20*(1+'Input sheet(dashboard)'!$E$22)^Calculations!B322),0)</f>
        <v>0</v>
      </c>
      <c r="AD322" s="17">
        <f t="shared" si="39"/>
        <v>94384.357102162932</v>
      </c>
      <c r="AE322" s="17">
        <f>IF(B322&lt;='Input sheet(dashboard)'!$D$27*12,IF(D322=12,SUM(AD311:AD322),0),0)</f>
        <v>0</v>
      </c>
      <c r="AF322" s="17">
        <f t="shared" si="40"/>
        <v>-11883.313437073884</v>
      </c>
      <c r="AG322" s="17">
        <f t="shared" si="41"/>
        <v>0</v>
      </c>
      <c r="AH322" s="3">
        <f>IF(B322&lt;='Input sheet(dashboard)'!$D$27*12,AH321*(1+'Input sheet(dashboard)'!$E$25)+AG322," ")</f>
        <v>26356627.628516003</v>
      </c>
    </row>
    <row r="323" spans="2:34">
      <c r="B323">
        <f t="shared" si="36"/>
        <v>320</v>
      </c>
      <c r="C323">
        <f t="shared" si="43"/>
        <v>27</v>
      </c>
      <c r="D323">
        <f t="shared" si="44"/>
        <v>8</v>
      </c>
      <c r="E323" s="15">
        <f>IF(C323&lt;='Input sheet(dashboard)'!$D$6, -PMT('Input sheet(dashboard)'!$E$5,'Input sheet(dashboard)'!$D$6*12,'Input sheet(dashboard)'!$D$3*'Input sheet(dashboard)'!$D$4),0)</f>
        <v>39834.137922259193</v>
      </c>
      <c r="F323" s="3">
        <f>I322*'Input sheet(dashboard)'!$E$5</f>
        <v>5517.1220213212237</v>
      </c>
      <c r="G323" s="3">
        <f>IF(C323&lt;='Input sheet(dashboard)'!$D$6,E323*'Input sheet(dashboard)'!$D$7,0)</f>
        <v>3186.7310337807357</v>
      </c>
      <c r="H323" s="3">
        <f t="shared" si="37"/>
        <v>34317.015900937971</v>
      </c>
      <c r="I323" s="3">
        <f t="shared" si="38"/>
        <v>1480215.5499969588</v>
      </c>
      <c r="J323" s="3">
        <f>IF(B323&lt;='Input sheet(dashboard)'!$D$27*12,'Input sheet(dashboard)'!$D$3*(1+'Input sheet(dashboard)'!$E$24)^B323,0)</f>
        <v>32576139.393234998</v>
      </c>
      <c r="K323" s="3">
        <f>IF(B323&lt;='Input sheet(dashboard)'!$D$27*12,J323*'Input sheet(dashboard)'!$E$8,0)</f>
        <v>33740.606550801327</v>
      </c>
      <c r="L323" s="3">
        <f>IF(B323&lt;='Input sheet(dashboard)'!$D$27*12,'Input sheet(dashboard)'!$D$9*(1+'Input sheet(dashboard)'!$E$22)^B323,0)</f>
        <v>5795.5011787931298</v>
      </c>
      <c r="M323" s="3">
        <f>IF(B323=1,'Input sheet(dashboard)'!$D$3*'Input sheet(dashboard)'!$D$10,0)</f>
        <v>0</v>
      </c>
      <c r="N323" s="3">
        <f>IF(B323='Input sheet(dashboard)'!$D$27*12,J323*'Input sheet(dashboard)'!$D$11,0)</f>
        <v>0</v>
      </c>
      <c r="O323" s="3">
        <f>IF(SUM(F323:F334)&gt;=150000,150000/12*'Input sheet(dashboard)'!$D$28,SUM(F323:F334)/12*'Input sheet(dashboard)'!$D$28)</f>
        <v>723.17272441061368</v>
      </c>
      <c r="P323" s="3">
        <f t="shared" si="42"/>
        <v>0</v>
      </c>
      <c r="Q323" s="3">
        <f>IF(B323&lt;='Input sheet(dashboard)'!$D$27*12,'Input sheet(dashboard)'!$D$12/12,0)</f>
        <v>192.5</v>
      </c>
      <c r="R323" s="3">
        <f>IF(B323&lt;='Input sheet(dashboard)'!$D$27*12,('Input sheet(dashboard)'!$D$15/12)*(1+'Input sheet(dashboard)'!$E$22)^Calculations!B323,0)</f>
        <v>643.94457542145881</v>
      </c>
      <c r="S323" s="3">
        <f>IF(B323&lt;='Input sheet(dashboard)'!$D$27*12,(E323+G323+K323+L323-O323+M323+Q323+R323),0)</f>
        <v>82670.248536645231</v>
      </c>
      <c r="T323" s="3">
        <f>IF(B323&lt;='Input sheet(dashboard)'!$D$27*12,IF(D323=12,SUM(S312:S323),0),0)</f>
        <v>0</v>
      </c>
      <c r="U323" s="3">
        <f>IF(B323&lt;='Input sheet(dashboard)'!$D$27*12,IF(S323&lt;AD323,AD323-S323,0),0)</f>
        <v>12098.642119591983</v>
      </c>
      <c r="V323" s="3">
        <f>IF(B323&lt;='Input sheet(dashboard)'!$D$27*12,V322*(1+'Input sheet(dashboard)'!$E$25)+U323,0)</f>
        <v>476120.02942856774</v>
      </c>
      <c r="W323" s="17">
        <f>IF(B323&lt;='Input sheet(dashboard)'!$D$27*12,J323-I323+V323-N323,0)</f>
        <v>31572043.872666609</v>
      </c>
      <c r="X323" s="3">
        <f>IF(B323&lt;='Input sheet(dashboard)'!$D$27*12,'Input sheet(dashboard)'!$D$17*(1+'Input sheet(dashboard)'!$E$23)^(B323-1),0)</f>
        <v>94768.890656237214</v>
      </c>
      <c r="Y323" s="3"/>
      <c r="Z323" s="18"/>
      <c r="AA323" s="18"/>
      <c r="AB323" s="3">
        <f>IF(B323=1,'Input sheet(dashboard)'!$D$18*Calculations!X323,IF(Calculations!B323=12*'Input sheet(dashboard)'!$D$27,'Input sheet(dashboard)'!$D$18*-Calculations!X323,0))</f>
        <v>0</v>
      </c>
      <c r="AC323" s="3">
        <f>IF(B323&lt;='Input sheet(dashboard)'!$D$27*12,IF(MOD(B322,'Input sheet(dashboard)'!$D$19*12),0,'Input sheet(dashboard)'!$D$20*(1+'Input sheet(dashboard)'!$E$22)^Calculations!B323),0)</f>
        <v>0</v>
      </c>
      <c r="AD323" s="17">
        <f t="shared" si="39"/>
        <v>94768.890656237214</v>
      </c>
      <c r="AE323" s="17">
        <f>IF(B323&lt;='Input sheet(dashboard)'!$D$27*12,IF(D323=12,SUM(AD312:AD323),0),0)</f>
        <v>0</v>
      </c>
      <c r="AF323" s="17">
        <f t="shared" si="40"/>
        <v>-12098.642119591983</v>
      </c>
      <c r="AG323" s="17">
        <f t="shared" si="41"/>
        <v>0</v>
      </c>
      <c r="AH323" s="3">
        <f>IF(B323&lt;='Input sheet(dashboard)'!$D$27*12,AH322*(1+'Input sheet(dashboard)'!$E$25)+AG323," ")</f>
        <v>26526206.964276023</v>
      </c>
    </row>
    <row r="324" spans="2:34">
      <c r="B324">
        <f t="shared" ref="B324:B387" si="45">B323+1</f>
        <v>321</v>
      </c>
      <c r="C324">
        <f t="shared" si="43"/>
        <v>27</v>
      </c>
      <c r="D324">
        <f t="shared" si="44"/>
        <v>9</v>
      </c>
      <c r="E324" s="15">
        <f>IF(C324&lt;='Input sheet(dashboard)'!$D$6, -PMT('Input sheet(dashboard)'!$E$5,'Input sheet(dashboard)'!$D$6*12,'Input sheet(dashboard)'!$D$3*'Input sheet(dashboard)'!$D$4),0)</f>
        <v>39834.137922259193</v>
      </c>
      <c r="F324" s="3">
        <f>I323*'Input sheet(dashboard)'!$E$5</f>
        <v>5392.1123857437606</v>
      </c>
      <c r="G324" s="3">
        <f>IF(C324&lt;='Input sheet(dashboard)'!$D$6,E324*'Input sheet(dashboard)'!$D$7,0)</f>
        <v>3186.7310337807357</v>
      </c>
      <c r="H324" s="3">
        <f t="shared" ref="H324:H387" si="46">E324-F324</f>
        <v>34442.02553651543</v>
      </c>
      <c r="I324" s="3">
        <f t="shared" ref="I324:I387" si="47">I323-H324</f>
        <v>1445773.5244604433</v>
      </c>
      <c r="J324" s="3">
        <f>IF(B324&lt;='Input sheet(dashboard)'!$D$27*12,'Input sheet(dashboard)'!$D$3*(1+'Input sheet(dashboard)'!$E$24)^B324,0)</f>
        <v>32708858.617516421</v>
      </c>
      <c r="K324" s="3">
        <f>IF(B324&lt;='Input sheet(dashboard)'!$D$27*12,J324*'Input sheet(dashboard)'!$E$8,0)</f>
        <v>33878.069958424669</v>
      </c>
      <c r="L324" s="3">
        <f>IF(B324&lt;='Input sheet(dashboard)'!$D$27*12,'Input sheet(dashboard)'!$D$9*(1+'Input sheet(dashboard)'!$E$22)^B324,0)</f>
        <v>5807.4389623231245</v>
      </c>
      <c r="M324" s="3">
        <f>IF(B324=1,'Input sheet(dashboard)'!$D$3*'Input sheet(dashboard)'!$D$10,0)</f>
        <v>0</v>
      </c>
      <c r="N324" s="3">
        <f>IF(B324='Input sheet(dashboard)'!$D$27*12,J324*'Input sheet(dashboard)'!$D$11,0)</f>
        <v>0</v>
      </c>
      <c r="O324" s="3">
        <f>IF(SUM(F324:F335)&gt;=150000,150000/12*'Input sheet(dashboard)'!$D$28,SUM(F324:F335)/12*'Input sheet(dashboard)'!$D$28)</f>
        <v>704.04098804584066</v>
      </c>
      <c r="P324" s="3">
        <f t="shared" si="42"/>
        <v>0</v>
      </c>
      <c r="Q324" s="3">
        <f>IF(B324&lt;='Input sheet(dashboard)'!$D$27*12,'Input sheet(dashboard)'!$D$12/12,0)</f>
        <v>192.5</v>
      </c>
      <c r="R324" s="3">
        <f>IF(B324&lt;='Input sheet(dashboard)'!$D$27*12,('Input sheet(dashboard)'!$D$15/12)*(1+'Input sheet(dashboard)'!$E$22)^Calculations!B324,0)</f>
        <v>645.27099581368043</v>
      </c>
      <c r="S324" s="3">
        <f>IF(B324&lt;='Input sheet(dashboard)'!$D$27*12,(E324+G324+K324+L324-O324+M324+Q324+R324),0)</f>
        <v>82840.10788455556</v>
      </c>
      <c r="T324" s="3">
        <f>IF(B324&lt;='Input sheet(dashboard)'!$D$27*12,IF(D324=12,SUM(S313:S324),0),0)</f>
        <v>0</v>
      </c>
      <c r="U324" s="3">
        <f>IF(B324&lt;='Input sheet(dashboard)'!$D$27*12,IF(S324&lt;AD324,AD324-S324,0),0)</f>
        <v>12314.882963054202</v>
      </c>
      <c r="V324" s="3">
        <f>IF(B324&lt;='Input sheet(dashboard)'!$D$27*12,V323*(1+'Input sheet(dashboard)'!$E$25)+U324,0)</f>
        <v>491498.28299694101</v>
      </c>
      <c r="W324" s="17">
        <f>IF(B324&lt;='Input sheet(dashboard)'!$D$27*12,J324-I324+V324-N324,0)</f>
        <v>31754583.37605292</v>
      </c>
      <c r="X324" s="3">
        <f>IF(B324&lt;='Input sheet(dashboard)'!$D$27*12,'Input sheet(dashboard)'!$D$17*(1+'Input sheet(dashboard)'!$E$23)^(B324-1),0)</f>
        <v>95154.990847609763</v>
      </c>
      <c r="Y324" s="3"/>
      <c r="Z324" s="18"/>
      <c r="AA324" s="18"/>
      <c r="AB324" s="3">
        <f>IF(B324=1,'Input sheet(dashboard)'!$D$18*Calculations!X324,IF(Calculations!B324=12*'Input sheet(dashboard)'!$D$27,'Input sheet(dashboard)'!$D$18*-Calculations!X324,0))</f>
        <v>0</v>
      </c>
      <c r="AC324" s="3">
        <f>IF(B324&lt;='Input sheet(dashboard)'!$D$27*12,IF(MOD(B323,'Input sheet(dashboard)'!$D$19*12),0,'Input sheet(dashboard)'!$D$20*(1+'Input sheet(dashboard)'!$E$22)^Calculations!B324),0)</f>
        <v>0</v>
      </c>
      <c r="AD324" s="17">
        <f t="shared" ref="AD324:AD387" si="48">X324+Y324+AB324+AC324</f>
        <v>95154.990847609763</v>
      </c>
      <c r="AE324" s="17">
        <f>IF(B324&lt;='Input sheet(dashboard)'!$D$27*12,IF(D324=12,SUM(AD313:AD324),0),0)</f>
        <v>0</v>
      </c>
      <c r="AF324" s="17">
        <f t="shared" ref="AF324:AF387" si="49">S324-AD324</f>
        <v>-12314.882963054202</v>
      </c>
      <c r="AG324" s="17">
        <f t="shared" ref="AG324:AG387" si="50">IF(AF324&gt;0,AF324,0)</f>
        <v>0</v>
      </c>
      <c r="AH324" s="3">
        <f>IF(B324&lt;='Input sheet(dashboard)'!$D$27*12,AH323*(1+'Input sheet(dashboard)'!$E$25)+AG324," ")</f>
        <v>26696877.378588356</v>
      </c>
    </row>
    <row r="325" spans="2:34">
      <c r="B325">
        <f t="shared" si="45"/>
        <v>322</v>
      </c>
      <c r="C325">
        <f t="shared" si="43"/>
        <v>27</v>
      </c>
      <c r="D325">
        <f t="shared" si="44"/>
        <v>10</v>
      </c>
      <c r="E325" s="15">
        <f>IF(C325&lt;='Input sheet(dashboard)'!$D$6, -PMT('Input sheet(dashboard)'!$E$5,'Input sheet(dashboard)'!$D$6*12,'Input sheet(dashboard)'!$D$3*'Input sheet(dashboard)'!$D$4),0)</f>
        <v>39834.137922259193</v>
      </c>
      <c r="F325" s="3">
        <f>I324*'Input sheet(dashboard)'!$E$5</f>
        <v>5266.6473664863088</v>
      </c>
      <c r="G325" s="3">
        <f>IF(C325&lt;='Input sheet(dashboard)'!$D$6,E325*'Input sheet(dashboard)'!$D$7,0)</f>
        <v>3186.7310337807357</v>
      </c>
      <c r="H325" s="3">
        <f t="shared" si="46"/>
        <v>34567.490555772885</v>
      </c>
      <c r="I325" s="3">
        <f t="shared" si="47"/>
        <v>1411206.0339046705</v>
      </c>
      <c r="J325" s="3">
        <f>IF(B325&lt;='Input sheet(dashboard)'!$D$27*12,'Input sheet(dashboard)'!$D$3*(1+'Input sheet(dashboard)'!$E$24)^B325,0)</f>
        <v>32842118.556346044</v>
      </c>
      <c r="K325" s="3">
        <f>IF(B325&lt;='Input sheet(dashboard)'!$D$27*12,J325*'Input sheet(dashboard)'!$E$8,0)</f>
        <v>34016.093408986395</v>
      </c>
      <c r="L325" s="3">
        <f>IF(B325&lt;='Input sheet(dashboard)'!$D$27*12,'Input sheet(dashboard)'!$D$9*(1+'Input sheet(dashboard)'!$E$22)^B325,0)</f>
        <v>5819.4013357326148</v>
      </c>
      <c r="M325" s="3">
        <f>IF(B325=1,'Input sheet(dashboard)'!$D$3*'Input sheet(dashboard)'!$D$10,0)</f>
        <v>0</v>
      </c>
      <c r="N325" s="3">
        <f>IF(B325='Input sheet(dashboard)'!$D$27*12,J325*'Input sheet(dashboard)'!$D$11,0)</f>
        <v>0</v>
      </c>
      <c r="O325" s="3">
        <f>IF(SUM(F325:F336)&gt;=150000,150000/12*'Input sheet(dashboard)'!$D$28,SUM(F325:F336)/12*'Input sheet(dashboard)'!$D$28)</f>
        <v>684.83955880923327</v>
      </c>
      <c r="P325" s="3">
        <f t="shared" si="42"/>
        <v>0</v>
      </c>
      <c r="Q325" s="3">
        <f>IF(B325&lt;='Input sheet(dashboard)'!$D$27*12,'Input sheet(dashboard)'!$D$12/12,0)</f>
        <v>192.5</v>
      </c>
      <c r="R325" s="3">
        <f>IF(B325&lt;='Input sheet(dashboard)'!$D$27*12,('Input sheet(dashboard)'!$D$15/12)*(1+'Input sheet(dashboard)'!$E$22)^Calculations!B325,0)</f>
        <v>646.60014841473492</v>
      </c>
      <c r="S325" s="3">
        <f>IF(B325&lt;='Input sheet(dashboard)'!$D$27*12,(E325+G325+K325+L325-O325+M325+Q325+R325),0)</f>
        <v>83010.624290364445</v>
      </c>
      <c r="T325" s="3">
        <f>IF(B325&lt;='Input sheet(dashboard)'!$D$27*12,IF(D325=12,SUM(S314:S325),0),0)</f>
        <v>0</v>
      </c>
      <c r="U325" s="3">
        <f>IF(B325&lt;='Input sheet(dashboard)'!$D$27*12,IF(S325&lt;AD325,AD325-S325,0),0)</f>
        <v>12532.039768590417</v>
      </c>
      <c r="V325" s="3">
        <f>IF(B325&lt;='Input sheet(dashboard)'!$D$27*12,V324*(1+'Input sheet(dashboard)'!$E$25)+U325,0)</f>
        <v>507192.63751734875</v>
      </c>
      <c r="W325" s="17">
        <f>IF(B325&lt;='Input sheet(dashboard)'!$D$27*12,J325-I325+V325-N325,0)</f>
        <v>31938105.15995872</v>
      </c>
      <c r="X325" s="3">
        <f>IF(B325&lt;='Input sheet(dashboard)'!$D$27*12,'Input sheet(dashboard)'!$D$17*(1+'Input sheet(dashboard)'!$E$23)^(B325-1),0)</f>
        <v>95542.664058954862</v>
      </c>
      <c r="Y325" s="3"/>
      <c r="Z325" s="18"/>
      <c r="AA325" s="18"/>
      <c r="AB325" s="3">
        <f>IF(B325=1,'Input sheet(dashboard)'!$D$18*Calculations!X325,IF(Calculations!B325=12*'Input sheet(dashboard)'!$D$27,'Input sheet(dashboard)'!$D$18*-Calculations!X325,0))</f>
        <v>0</v>
      </c>
      <c r="AC325" s="3">
        <f>IF(B325&lt;='Input sheet(dashboard)'!$D$27*12,IF(MOD(B324,'Input sheet(dashboard)'!$D$19*12),0,'Input sheet(dashboard)'!$D$20*(1+'Input sheet(dashboard)'!$E$22)^Calculations!B325),0)</f>
        <v>0</v>
      </c>
      <c r="AD325" s="17">
        <f t="shared" si="48"/>
        <v>95542.664058954862</v>
      </c>
      <c r="AE325" s="17">
        <f>IF(B325&lt;='Input sheet(dashboard)'!$D$27*12,IF(D325=12,SUM(AD314:AD325),0),0)</f>
        <v>0</v>
      </c>
      <c r="AF325" s="17">
        <f t="shared" si="49"/>
        <v>-12532.039768590417</v>
      </c>
      <c r="AG325" s="17">
        <f t="shared" si="50"/>
        <v>0</v>
      </c>
      <c r="AH325" s="3">
        <f>IF(B325&lt;='Input sheet(dashboard)'!$D$27*12,AH324*(1+'Input sheet(dashboard)'!$E$25)+AG325," ")</f>
        <v>26868645.891485263</v>
      </c>
    </row>
    <row r="326" spans="2:34">
      <c r="B326">
        <f t="shared" si="45"/>
        <v>323</v>
      </c>
      <c r="C326">
        <f t="shared" si="43"/>
        <v>27</v>
      </c>
      <c r="D326">
        <f t="shared" si="44"/>
        <v>11</v>
      </c>
      <c r="E326" s="15">
        <f>IF(C326&lt;='Input sheet(dashboard)'!$D$6, -PMT('Input sheet(dashboard)'!$E$5,'Input sheet(dashboard)'!$D$6*12,'Input sheet(dashboard)'!$D$3*'Input sheet(dashboard)'!$D$4),0)</f>
        <v>39834.137922259193</v>
      </c>
      <c r="F326" s="3">
        <f>I325*'Input sheet(dashboard)'!$E$5</f>
        <v>5140.7253046823735</v>
      </c>
      <c r="G326" s="3">
        <f>IF(C326&lt;='Input sheet(dashboard)'!$D$6,E326*'Input sheet(dashboard)'!$D$7,0)</f>
        <v>3186.7310337807357</v>
      </c>
      <c r="H326" s="3">
        <f t="shared" si="46"/>
        <v>34693.412617576818</v>
      </c>
      <c r="I326" s="3">
        <f t="shared" si="47"/>
        <v>1376512.6212870937</v>
      </c>
      <c r="J326" s="3">
        <f>IF(B326&lt;='Input sheet(dashboard)'!$D$27*12,'Input sheet(dashboard)'!$D$3*(1+'Input sheet(dashboard)'!$E$24)^B326,0)</f>
        <v>32975921.412661847</v>
      </c>
      <c r="K326" s="3">
        <f>IF(B326&lt;='Input sheet(dashboard)'!$D$27*12,J326*'Input sheet(dashboard)'!$E$8,0)</f>
        <v>34154.679184170745</v>
      </c>
      <c r="L326" s="3">
        <f>IF(B326&lt;='Input sheet(dashboard)'!$D$27*12,'Input sheet(dashboard)'!$D$9*(1+'Input sheet(dashboard)'!$E$22)^B326,0)</f>
        <v>5831.3883496727294</v>
      </c>
      <c r="M326" s="3">
        <f>IF(B326=1,'Input sheet(dashboard)'!$D$3*'Input sheet(dashboard)'!$D$10,0)</f>
        <v>0</v>
      </c>
      <c r="N326" s="3">
        <f>IF(B326='Input sheet(dashboard)'!$D$27*12,J326*'Input sheet(dashboard)'!$D$11,0)</f>
        <v>0</v>
      </c>
      <c r="O326" s="3">
        <f>IF(SUM(F326:F337)&gt;=150000,150000/12*'Input sheet(dashboard)'!$D$28,SUM(F326:F337)/12*'Input sheet(dashboard)'!$D$28)</f>
        <v>665.56818282438951</v>
      </c>
      <c r="P326" s="3">
        <f t="shared" si="42"/>
        <v>0</v>
      </c>
      <c r="Q326" s="3">
        <f>IF(B326&lt;='Input sheet(dashboard)'!$D$27*12,'Input sheet(dashboard)'!$D$12/12,0)</f>
        <v>192.5</v>
      </c>
      <c r="R326" s="3">
        <f>IF(B326&lt;='Input sheet(dashboard)'!$D$27*12,('Input sheet(dashboard)'!$D$15/12)*(1+'Input sheet(dashboard)'!$E$22)^Calculations!B326,0)</f>
        <v>647.93203885252535</v>
      </c>
      <c r="S326" s="3">
        <f>IF(B326&lt;='Input sheet(dashboard)'!$D$27*12,(E326+G326+K326+L326-O326+M326+Q326+R326),0)</f>
        <v>83181.800345911557</v>
      </c>
      <c r="T326" s="3">
        <f>IF(B326&lt;='Input sheet(dashboard)'!$D$27*12,IF(D326=12,SUM(S315:S326),0),0)</f>
        <v>0</v>
      </c>
      <c r="U326" s="3">
        <f>IF(B326&lt;='Input sheet(dashboard)'!$D$27*12,IF(S326&lt;AD326,AD326-S326,0),0)</f>
        <v>12750.116353039033</v>
      </c>
      <c r="V326" s="3">
        <f>IF(B326&lt;='Input sheet(dashboard)'!$D$27*12,V325*(1+'Input sheet(dashboard)'!$E$25)+U326,0)</f>
        <v>523206.04657174647</v>
      </c>
      <c r="W326" s="17">
        <f>IF(B326&lt;='Input sheet(dashboard)'!$D$27*12,J326-I326+V326-N326,0)</f>
        <v>32122614.837946501</v>
      </c>
      <c r="X326" s="3">
        <f>IF(B326&lt;='Input sheet(dashboard)'!$D$27*12,'Input sheet(dashboard)'!$D$17*(1+'Input sheet(dashboard)'!$E$23)^(B326-1),0)</f>
        <v>95931.91669895059</v>
      </c>
      <c r="Y326" s="3"/>
      <c r="Z326" s="18"/>
      <c r="AA326" s="18"/>
      <c r="AB326" s="3">
        <f>IF(B326=1,'Input sheet(dashboard)'!$D$18*Calculations!X326,IF(Calculations!B326=12*'Input sheet(dashboard)'!$D$27,'Input sheet(dashboard)'!$D$18*-Calculations!X326,0))</f>
        <v>0</v>
      </c>
      <c r="AC326" s="3">
        <f>IF(B326&lt;='Input sheet(dashboard)'!$D$27*12,IF(MOD(B325,'Input sheet(dashboard)'!$D$19*12),0,'Input sheet(dashboard)'!$D$20*(1+'Input sheet(dashboard)'!$E$22)^Calculations!B326),0)</f>
        <v>0</v>
      </c>
      <c r="AD326" s="17">
        <f t="shared" si="48"/>
        <v>95931.91669895059</v>
      </c>
      <c r="AE326" s="17">
        <f>IF(B326&lt;='Input sheet(dashboard)'!$D$27*12,IF(D326=12,SUM(AD315:AD326),0),0)</f>
        <v>0</v>
      </c>
      <c r="AF326" s="17">
        <f t="shared" si="49"/>
        <v>-12750.116353039033</v>
      </c>
      <c r="AG326" s="17">
        <f t="shared" si="50"/>
        <v>0</v>
      </c>
      <c r="AH326" s="3">
        <f>IF(B326&lt;='Input sheet(dashboard)'!$D$27*12,AH325*(1+'Input sheet(dashboard)'!$E$25)+AG326," ")</f>
        <v>27041519.568166099</v>
      </c>
    </row>
    <row r="327" spans="2:34">
      <c r="B327">
        <f t="shared" si="45"/>
        <v>324</v>
      </c>
      <c r="C327">
        <f t="shared" si="43"/>
        <v>27</v>
      </c>
      <c r="D327">
        <f t="shared" si="44"/>
        <v>12</v>
      </c>
      <c r="E327" s="15">
        <f>IF(C327&lt;='Input sheet(dashboard)'!$D$6, -PMT('Input sheet(dashboard)'!$E$5,'Input sheet(dashboard)'!$D$6*12,'Input sheet(dashboard)'!$D$3*'Input sheet(dashboard)'!$D$4),0)</f>
        <v>39834.137922259193</v>
      </c>
      <c r="F327" s="3">
        <f>I326*'Input sheet(dashboard)'!$E$5</f>
        <v>5014.3445354225587</v>
      </c>
      <c r="G327" s="3">
        <f>IF(C327&lt;='Input sheet(dashboard)'!$D$6,E327*'Input sheet(dashboard)'!$D$7,0)</f>
        <v>3186.7310337807357</v>
      </c>
      <c r="H327" s="3">
        <f t="shared" si="46"/>
        <v>34819.793386836638</v>
      </c>
      <c r="I327" s="3">
        <f t="shared" si="47"/>
        <v>1341692.8279002572</v>
      </c>
      <c r="J327" s="3">
        <f>IF(B327&lt;='Input sheet(dashboard)'!$D$27*12,'Input sheet(dashboard)'!$D$3*(1+'Input sheet(dashboard)'!$E$24)^B327,0)</f>
        <v>33110269.398376893</v>
      </c>
      <c r="K327" s="3">
        <f>IF(B327&lt;='Input sheet(dashboard)'!$D$27*12,J327*'Input sheet(dashboard)'!$E$8,0)</f>
        <v>34293.829574957854</v>
      </c>
      <c r="L327" s="3">
        <f>IF(B327&lt;='Input sheet(dashboard)'!$D$27*12,'Input sheet(dashboard)'!$D$9*(1+'Input sheet(dashboard)'!$E$22)^B327,0)</f>
        <v>5843.4000548989225</v>
      </c>
      <c r="M327" s="3">
        <f>IF(B327=1,'Input sheet(dashboard)'!$D$3*'Input sheet(dashboard)'!$D$10,0)</f>
        <v>0</v>
      </c>
      <c r="N327" s="3">
        <f>IF(B327='Input sheet(dashboard)'!$D$27*12,J327*'Input sheet(dashboard)'!$D$11,0)</f>
        <v>0</v>
      </c>
      <c r="O327" s="3">
        <f>IF(SUM(F327:F338)&gt;=150000,150000/12*'Input sheet(dashboard)'!$D$28,SUM(F327:F338)/12*'Input sheet(dashboard)'!$D$28)</f>
        <v>646.22660529009067</v>
      </c>
      <c r="P327" s="3">
        <f t="shared" si="42"/>
        <v>10995.100846205196</v>
      </c>
      <c r="Q327" s="3">
        <f>IF(B327&lt;='Input sheet(dashboard)'!$D$27*12,'Input sheet(dashboard)'!$D$12/12,0)</f>
        <v>192.5</v>
      </c>
      <c r="R327" s="3">
        <f>IF(B327&lt;='Input sheet(dashboard)'!$D$27*12,('Input sheet(dashboard)'!$D$15/12)*(1+'Input sheet(dashboard)'!$E$22)^Calculations!B327,0)</f>
        <v>649.26667276654689</v>
      </c>
      <c r="S327" s="3">
        <f>IF(B327&lt;='Input sheet(dashboard)'!$D$27*12,(E327+G327+K327+L327-O327+M327+Q327+R327),0)</f>
        <v>83353.638653373171</v>
      </c>
      <c r="T327" s="3">
        <f>IF(B327&lt;='Input sheet(dashboard)'!$D$27*12,IF(D327=12,SUM(S316:S327),0),0)</f>
        <v>989046.75104049081</v>
      </c>
      <c r="U327" s="3">
        <f>IF(B327&lt;='Input sheet(dashboard)'!$D$27*12,IF(S327&lt;AD327,AD327-S327,0),0)</f>
        <v>12969.116549011567</v>
      </c>
      <c r="V327" s="3">
        <f>IF(B327&lt;='Input sheet(dashboard)'!$D$27*12,V326*(1+'Input sheet(dashboard)'!$E$25)+U327,0)</f>
        <v>539541.48657813645</v>
      </c>
      <c r="W327" s="17">
        <f>IF(B327&lt;='Input sheet(dashboard)'!$D$27*12,J327-I327+V327-N327,0)</f>
        <v>32308118.057054773</v>
      </c>
      <c r="X327" s="3">
        <f>IF(B327&lt;='Input sheet(dashboard)'!$D$27*12,'Input sheet(dashboard)'!$D$17*(1+'Input sheet(dashboard)'!$E$23)^(B327-1),0)</f>
        <v>96322.755202384738</v>
      </c>
      <c r="Y327" s="3"/>
      <c r="Z327" s="18"/>
      <c r="AA327" s="18"/>
      <c r="AB327" s="3">
        <f>IF(B327=1,'Input sheet(dashboard)'!$D$18*Calculations!X327,IF(Calculations!B327=12*'Input sheet(dashboard)'!$D$27,'Input sheet(dashboard)'!$D$18*-Calculations!X327,0))</f>
        <v>0</v>
      </c>
      <c r="AC327" s="3">
        <f>IF(B327&lt;='Input sheet(dashboard)'!$D$27*12,IF(MOD(B326,'Input sheet(dashboard)'!$D$19*12),0,'Input sheet(dashboard)'!$D$20*(1+'Input sheet(dashboard)'!$E$22)^Calculations!B327),0)</f>
        <v>0</v>
      </c>
      <c r="AD327" s="17">
        <f t="shared" si="48"/>
        <v>96322.755202384738</v>
      </c>
      <c r="AE327" s="17">
        <f>IF(B327&lt;='Input sheet(dashboard)'!$D$27*12,IF(D327=12,SUM(AD316:AD327),0),0)</f>
        <v>1145657.1024606826</v>
      </c>
      <c r="AF327" s="17">
        <f t="shared" si="49"/>
        <v>-12969.116549011567</v>
      </c>
      <c r="AG327" s="17">
        <f t="shared" si="50"/>
        <v>0</v>
      </c>
      <c r="AH327" s="3">
        <f>IF(B327&lt;='Input sheet(dashboard)'!$D$27*12,AH326*(1+'Input sheet(dashboard)'!$E$25)+AG327," ")</f>
        <v>27215505.519287929</v>
      </c>
    </row>
    <row r="328" spans="2:34">
      <c r="B328">
        <f t="shared" si="45"/>
        <v>325</v>
      </c>
      <c r="C328">
        <f t="shared" si="43"/>
        <v>28</v>
      </c>
      <c r="D328">
        <f t="shared" si="44"/>
        <v>1</v>
      </c>
      <c r="E328" s="15">
        <f>IF(C328&lt;='Input sheet(dashboard)'!$D$6, -PMT('Input sheet(dashboard)'!$E$5,'Input sheet(dashboard)'!$D$6*12,'Input sheet(dashboard)'!$D$3*'Input sheet(dashboard)'!$D$4),0)</f>
        <v>39834.137922259193</v>
      </c>
      <c r="F328" s="3">
        <f>I327*'Input sheet(dashboard)'!$E$5</f>
        <v>4887.5033877325586</v>
      </c>
      <c r="G328" s="3">
        <f>IF(C328&lt;='Input sheet(dashboard)'!$D$6,E328*'Input sheet(dashboard)'!$D$7,0)</f>
        <v>3186.7310337807357</v>
      </c>
      <c r="H328" s="3">
        <f t="shared" si="46"/>
        <v>34946.634534526631</v>
      </c>
      <c r="I328" s="3">
        <f t="shared" si="47"/>
        <v>1306746.1933657306</v>
      </c>
      <c r="J328" s="3">
        <f>IF(B328&lt;='Input sheet(dashboard)'!$D$27*12,'Input sheet(dashboard)'!$D$3*(1+'Input sheet(dashboard)'!$E$24)^B328,0)</f>
        <v>33245164.734415829</v>
      </c>
      <c r="K328" s="3">
        <f>IF(B328&lt;='Input sheet(dashboard)'!$D$27*12,J328*'Input sheet(dashboard)'!$E$8,0)</f>
        <v>34433.546881661583</v>
      </c>
      <c r="L328" s="3">
        <f>IF(B328&lt;='Input sheet(dashboard)'!$D$27*12,'Input sheet(dashboard)'!$D$9*(1+'Input sheet(dashboard)'!$E$22)^B328,0)</f>
        <v>5855.4365022712045</v>
      </c>
      <c r="M328" s="3">
        <f>IF(B328=1,'Input sheet(dashboard)'!$D$3*'Input sheet(dashboard)'!$D$10,0)</f>
        <v>0</v>
      </c>
      <c r="N328" s="3">
        <f>IF(B328='Input sheet(dashboard)'!$D$27*12,J328*'Input sheet(dashboard)'!$D$11,0)</f>
        <v>0</v>
      </c>
      <c r="O328" s="3">
        <f>IF(SUM(F328:F339)&gt;=150000,150000/12*'Input sheet(dashboard)'!$D$28,SUM(F328:F339)/12*'Input sheet(dashboard)'!$D$28)</f>
        <v>626.81457047692902</v>
      </c>
      <c r="P328" s="3">
        <f t="shared" si="42"/>
        <v>0</v>
      </c>
      <c r="Q328" s="3">
        <f>IF(B328&lt;='Input sheet(dashboard)'!$D$27*12,'Input sheet(dashboard)'!$D$12/12,0)</f>
        <v>192.5</v>
      </c>
      <c r="R328" s="3">
        <f>IF(B328&lt;='Input sheet(dashboard)'!$D$27*12,('Input sheet(dashboard)'!$D$15/12)*(1+'Input sheet(dashboard)'!$E$22)^Calculations!B328,0)</f>
        <v>650.60405580791155</v>
      </c>
      <c r="S328" s="3">
        <f>IF(B328&lt;='Input sheet(dashboard)'!$D$27*12,(E328+G328+K328+L328-O328+M328+Q328+R328),0)</f>
        <v>83526.141825303697</v>
      </c>
      <c r="T328" s="3">
        <f>IF(B328&lt;='Input sheet(dashboard)'!$D$27*12,IF(D328=12,SUM(S317:S328),0),0)</f>
        <v>0</v>
      </c>
      <c r="U328" s="3">
        <f>IF(B328&lt;='Input sheet(dashboard)'!$D$27*12,IF(S328&lt;AD328,AD328-S328,0),0)</f>
        <v>13189.044204957623</v>
      </c>
      <c r="V328" s="3">
        <f>IF(B328&lt;='Input sheet(dashboard)'!$D$27*12,V327*(1+'Input sheet(dashboard)'!$E$25)+U328,0)</f>
        <v>556201.95695333381</v>
      </c>
      <c r="W328" s="17">
        <f>IF(B328&lt;='Input sheet(dashboard)'!$D$27*12,J328-I328+V328-N328,0)</f>
        <v>32494620.498003434</v>
      </c>
      <c r="X328" s="3">
        <f>IF(B328&lt;='Input sheet(dashboard)'!$D$27*12,'Input sheet(dashboard)'!$D$17*(1+'Input sheet(dashboard)'!$E$23)^(B328-1),0)</f>
        <v>96715.18603026132</v>
      </c>
      <c r="Y328" s="3"/>
      <c r="Z328" s="18"/>
      <c r="AA328" s="18"/>
      <c r="AB328" s="3">
        <f>IF(B328=1,'Input sheet(dashboard)'!$D$18*Calculations!X328,IF(Calculations!B328=12*'Input sheet(dashboard)'!$D$27,'Input sheet(dashboard)'!$D$18*-Calculations!X328,0))</f>
        <v>0</v>
      </c>
      <c r="AC328" s="3">
        <f>IF(B328&lt;='Input sheet(dashboard)'!$D$27*12,IF(MOD(B327,'Input sheet(dashboard)'!$D$19*12),0,'Input sheet(dashboard)'!$D$20*(1+'Input sheet(dashboard)'!$E$22)^Calculations!B328),0)</f>
        <v>0</v>
      </c>
      <c r="AD328" s="17">
        <f t="shared" si="48"/>
        <v>96715.18603026132</v>
      </c>
      <c r="AE328" s="17">
        <f>IF(B328&lt;='Input sheet(dashboard)'!$D$27*12,IF(D328=12,SUM(AD317:AD328),0),0)</f>
        <v>0</v>
      </c>
      <c r="AF328" s="17">
        <f t="shared" si="49"/>
        <v>-13189.044204957623</v>
      </c>
      <c r="AG328" s="17">
        <f t="shared" si="50"/>
        <v>0</v>
      </c>
      <c r="AH328" s="3">
        <f>IF(B328&lt;='Input sheet(dashboard)'!$D$27*12,AH327*(1+'Input sheet(dashboard)'!$E$25)+AG328," ")</f>
        <v>27390610.901257992</v>
      </c>
    </row>
    <row r="329" spans="2:34">
      <c r="B329">
        <f t="shared" si="45"/>
        <v>326</v>
      </c>
      <c r="C329">
        <f t="shared" si="43"/>
        <v>28</v>
      </c>
      <c r="D329">
        <f t="shared" si="44"/>
        <v>2</v>
      </c>
      <c r="E329" s="15">
        <f>IF(C329&lt;='Input sheet(dashboard)'!$D$6, -PMT('Input sheet(dashboard)'!$E$5,'Input sheet(dashboard)'!$D$6*12,'Input sheet(dashboard)'!$D$3*'Input sheet(dashboard)'!$D$4),0)</f>
        <v>39834.137922259193</v>
      </c>
      <c r="F329" s="3">
        <f>I328*'Input sheet(dashboard)'!$E$5</f>
        <v>4760.2001845510567</v>
      </c>
      <c r="G329" s="3">
        <f>IF(C329&lt;='Input sheet(dashboard)'!$D$6,E329*'Input sheet(dashboard)'!$D$7,0)</f>
        <v>3186.7310337807357</v>
      </c>
      <c r="H329" s="3">
        <f t="shared" si="46"/>
        <v>35073.93773770814</v>
      </c>
      <c r="I329" s="3">
        <f t="shared" si="47"/>
        <v>1271672.2556280224</v>
      </c>
      <c r="J329" s="3">
        <f>IF(B329&lt;='Input sheet(dashboard)'!$D$27*12,'Input sheet(dashboard)'!$D$3*(1+'Input sheet(dashboard)'!$E$24)^B329,0)</f>
        <v>33380609.650751621</v>
      </c>
      <c r="K329" s="3">
        <f>IF(B329&lt;='Input sheet(dashboard)'!$D$27*12,J329*'Input sheet(dashboard)'!$E$8,0)</f>
        <v>34573.833413967528</v>
      </c>
      <c r="L329" s="3">
        <f>IF(B329&lt;='Input sheet(dashboard)'!$D$27*12,'Input sheet(dashboard)'!$D$9*(1+'Input sheet(dashboard)'!$E$22)^B329,0)</f>
        <v>5867.4977427543436</v>
      </c>
      <c r="M329" s="3">
        <f>IF(B329=1,'Input sheet(dashboard)'!$D$3*'Input sheet(dashboard)'!$D$10,0)</f>
        <v>0</v>
      </c>
      <c r="N329" s="3">
        <f>IF(B329='Input sheet(dashboard)'!$D$27*12,J329*'Input sheet(dashboard)'!$D$11,0)</f>
        <v>0</v>
      </c>
      <c r="O329" s="3">
        <f>IF(SUM(F329:F340)&gt;=150000,150000/12*'Input sheet(dashboard)'!$D$28,SUM(F329:F340)/12*'Input sheet(dashboard)'!$D$28)</f>
        <v>607.33182172393026</v>
      </c>
      <c r="P329" s="3">
        <f t="shared" si="42"/>
        <v>0</v>
      </c>
      <c r="Q329" s="3">
        <f>IF(B329&lt;='Input sheet(dashboard)'!$D$27*12,'Input sheet(dashboard)'!$D$12/12,0)</f>
        <v>192.5</v>
      </c>
      <c r="R329" s="3">
        <f>IF(B329&lt;='Input sheet(dashboard)'!$D$27*12,('Input sheet(dashboard)'!$D$15/12)*(1+'Input sheet(dashboard)'!$E$22)^Calculations!B329,0)</f>
        <v>651.94419363937152</v>
      </c>
      <c r="S329" s="3">
        <f>IF(B329&lt;='Input sheet(dashboard)'!$D$27*12,(E329+G329+K329+L329-O329+M329+Q329+R329),0)</f>
        <v>83699.312484677255</v>
      </c>
      <c r="T329" s="3">
        <f>IF(B329&lt;='Input sheet(dashboard)'!$D$27*12,IF(D329=12,SUM(S318:S329),0),0)</f>
        <v>0</v>
      </c>
      <c r="U329" s="3">
        <f>IF(B329&lt;='Input sheet(dashboard)'!$D$27*12,IF(S329&lt;AD329,AD329-S329,0),0)</f>
        <v>13409.903185229938</v>
      </c>
      <c r="V329" s="3">
        <f>IF(B329&lt;='Input sheet(dashboard)'!$D$27*12,V328*(1+'Input sheet(dashboard)'!$E$25)+U329,0)</f>
        <v>573190.48027684435</v>
      </c>
      <c r="W329" s="17">
        <f>IF(B329&lt;='Input sheet(dashboard)'!$D$27*12,J329-I329+V329-N329,0)</f>
        <v>32682127.875400443</v>
      </c>
      <c r="X329" s="3">
        <f>IF(B329&lt;='Input sheet(dashboard)'!$D$27*12,'Input sheet(dashboard)'!$D$17*(1+'Input sheet(dashboard)'!$E$23)^(B329-1),0)</f>
        <v>97109.215669907193</v>
      </c>
      <c r="Y329" s="3"/>
      <c r="Z329" s="18"/>
      <c r="AA329" s="18"/>
      <c r="AB329" s="3">
        <f>IF(B329=1,'Input sheet(dashboard)'!$D$18*Calculations!X329,IF(Calculations!B329=12*'Input sheet(dashboard)'!$D$27,'Input sheet(dashboard)'!$D$18*-Calculations!X329,0))</f>
        <v>0</v>
      </c>
      <c r="AC329" s="3">
        <f>IF(B329&lt;='Input sheet(dashboard)'!$D$27*12,IF(MOD(B328,'Input sheet(dashboard)'!$D$19*12),0,'Input sheet(dashboard)'!$D$20*(1+'Input sheet(dashboard)'!$E$22)^Calculations!B329),0)</f>
        <v>0</v>
      </c>
      <c r="AD329" s="17">
        <f t="shared" si="48"/>
        <v>97109.215669907193</v>
      </c>
      <c r="AE329" s="17">
        <f>IF(B329&lt;='Input sheet(dashboard)'!$D$27*12,IF(D329=12,SUM(AD318:AD329),0),0)</f>
        <v>0</v>
      </c>
      <c r="AF329" s="17">
        <f t="shared" si="49"/>
        <v>-13409.903185229938</v>
      </c>
      <c r="AG329" s="17">
        <f t="shared" si="50"/>
        <v>0</v>
      </c>
      <c r="AH329" s="3">
        <f>IF(B329&lt;='Input sheet(dashboard)'!$D$27*12,AH328*(1+'Input sheet(dashboard)'!$E$25)+AG329," ")</f>
        <v>27566842.916528072</v>
      </c>
    </row>
    <row r="330" spans="2:34">
      <c r="B330">
        <f t="shared" si="45"/>
        <v>327</v>
      </c>
      <c r="C330">
        <f t="shared" si="43"/>
        <v>28</v>
      </c>
      <c r="D330">
        <f t="shared" si="44"/>
        <v>3</v>
      </c>
      <c r="E330" s="15">
        <f>IF(C330&lt;='Input sheet(dashboard)'!$D$6, -PMT('Input sheet(dashboard)'!$E$5,'Input sheet(dashboard)'!$D$6*12,'Input sheet(dashboard)'!$D$3*'Input sheet(dashboard)'!$D$4),0)</f>
        <v>39834.137922259193</v>
      </c>
      <c r="F330" s="3">
        <f>I329*'Input sheet(dashboard)'!$E$5</f>
        <v>4632.4332427075587</v>
      </c>
      <c r="G330" s="3">
        <f>IF(C330&lt;='Input sheet(dashboard)'!$D$6,E330*'Input sheet(dashboard)'!$D$7,0)</f>
        <v>3186.7310337807357</v>
      </c>
      <c r="H330" s="3">
        <f t="shared" si="46"/>
        <v>35201.704679551636</v>
      </c>
      <c r="I330" s="3">
        <f t="shared" si="47"/>
        <v>1236470.5509484708</v>
      </c>
      <c r="J330" s="3">
        <f>IF(B330&lt;='Input sheet(dashboard)'!$D$27*12,'Input sheet(dashboard)'!$D$3*(1+'Input sheet(dashboard)'!$E$24)^B330,0)</f>
        <v>33516606.386442427</v>
      </c>
      <c r="K330" s="3">
        <f>IF(B330&lt;='Input sheet(dashboard)'!$D$27*12,J330*'Input sheet(dashboard)'!$E$8,0)</f>
        <v>34714.691490971265</v>
      </c>
      <c r="L330" s="3">
        <f>IF(B330&lt;='Input sheet(dashboard)'!$D$27*12,'Input sheet(dashboard)'!$D$9*(1+'Input sheet(dashboard)'!$E$22)^B330,0)</f>
        <v>5879.5838274180906</v>
      </c>
      <c r="M330" s="3">
        <f>IF(B330=1,'Input sheet(dashboard)'!$D$3*'Input sheet(dashboard)'!$D$10,0)</f>
        <v>0</v>
      </c>
      <c r="N330" s="3">
        <f>IF(B330='Input sheet(dashboard)'!$D$27*12,J330*'Input sheet(dashboard)'!$D$11,0)</f>
        <v>0</v>
      </c>
      <c r="O330" s="3">
        <f>IF(SUM(F330:F341)&gt;=150000,150000/12*'Input sheet(dashboard)'!$D$28,SUM(F330:F341)/12*'Input sheet(dashboard)'!$D$28)</f>
        <v>587.77810143515785</v>
      </c>
      <c r="P330" s="3">
        <f t="shared" si="42"/>
        <v>0</v>
      </c>
      <c r="Q330" s="3">
        <f>IF(B330&lt;='Input sheet(dashboard)'!$D$27*12,'Input sheet(dashboard)'!$D$12/12,0)</f>
        <v>192.5</v>
      </c>
      <c r="R330" s="3">
        <f>IF(B330&lt;='Input sheet(dashboard)'!$D$27*12,('Input sheet(dashboard)'!$D$15/12)*(1+'Input sheet(dashboard)'!$E$22)^Calculations!B330,0)</f>
        <v>653.28709193534337</v>
      </c>
      <c r="S330" s="3">
        <f>IF(B330&lt;='Input sheet(dashboard)'!$D$27*12,(E330+G330+K330+L330-O330+M330+Q330+R330),0)</f>
        <v>83873.153264929468</v>
      </c>
      <c r="T330" s="3">
        <f>IF(B330&lt;='Input sheet(dashboard)'!$D$27*12,IF(D330=12,SUM(S319:S330),0),0)</f>
        <v>0</v>
      </c>
      <c r="U330" s="3">
        <f>IF(B330&lt;='Input sheet(dashboard)'!$D$27*12,IF(S330&lt;AD330,AD330-S330,0),0)</f>
        <v>13631.697370149937</v>
      </c>
      <c r="V330" s="3">
        <f>IF(B330&lt;='Input sheet(dashboard)'!$D$27*12,V329*(1+'Input sheet(dashboard)'!$E$25)+U330,0)</f>
        <v>590510.1024558628</v>
      </c>
      <c r="W330" s="17">
        <f>IF(B330&lt;='Input sheet(dashboard)'!$D$27*12,J330-I330+V330-N330,0)</f>
        <v>32870645.937949818</v>
      </c>
      <c r="X330" s="3">
        <f>IF(B330&lt;='Input sheet(dashboard)'!$D$27*12,'Input sheet(dashboard)'!$D$17*(1+'Input sheet(dashboard)'!$E$23)^(B330-1),0)</f>
        <v>97504.850635079405</v>
      </c>
      <c r="Y330" s="3"/>
      <c r="Z330" s="18"/>
      <c r="AA330" s="18"/>
      <c r="AB330" s="3">
        <f>IF(B330=1,'Input sheet(dashboard)'!$D$18*Calculations!X330,IF(Calculations!B330=12*'Input sheet(dashboard)'!$D$27,'Input sheet(dashboard)'!$D$18*-Calculations!X330,0))</f>
        <v>0</v>
      </c>
      <c r="AC330" s="3">
        <f>IF(B330&lt;='Input sheet(dashboard)'!$D$27*12,IF(MOD(B329,'Input sheet(dashboard)'!$D$19*12),0,'Input sheet(dashboard)'!$D$20*(1+'Input sheet(dashboard)'!$E$22)^Calculations!B330),0)</f>
        <v>0</v>
      </c>
      <c r="AD330" s="17">
        <f t="shared" si="48"/>
        <v>97504.850635079405</v>
      </c>
      <c r="AE330" s="17">
        <f>IF(B330&lt;='Input sheet(dashboard)'!$D$27*12,IF(D330=12,SUM(AD319:AD330),0),0)</f>
        <v>0</v>
      </c>
      <c r="AF330" s="17">
        <f t="shared" si="49"/>
        <v>-13631.697370149937</v>
      </c>
      <c r="AG330" s="17">
        <f t="shared" si="50"/>
        <v>0</v>
      </c>
      <c r="AH330" s="3">
        <f>IF(B330&lt;='Input sheet(dashboard)'!$D$27*12,AH329*(1+'Input sheet(dashboard)'!$E$25)+AG330," ")</f>
        <v>27744208.813890748</v>
      </c>
    </row>
    <row r="331" spans="2:34">
      <c r="B331">
        <f t="shared" si="45"/>
        <v>328</v>
      </c>
      <c r="C331">
        <f t="shared" si="43"/>
        <v>28</v>
      </c>
      <c r="D331">
        <f t="shared" si="44"/>
        <v>4</v>
      </c>
      <c r="E331" s="15">
        <f>IF(C331&lt;='Input sheet(dashboard)'!$D$6, -PMT('Input sheet(dashboard)'!$E$5,'Input sheet(dashboard)'!$D$6*12,'Input sheet(dashboard)'!$D$3*'Input sheet(dashboard)'!$D$4),0)</f>
        <v>39834.137922259193</v>
      </c>
      <c r="F331" s="3">
        <f>I330*'Input sheet(dashboard)'!$E$5</f>
        <v>4504.2008729001391</v>
      </c>
      <c r="G331" s="3">
        <f>IF(C331&lt;='Input sheet(dashboard)'!$D$6,E331*'Input sheet(dashboard)'!$D$7,0)</f>
        <v>3186.7310337807357</v>
      </c>
      <c r="H331" s="3">
        <f t="shared" si="46"/>
        <v>35329.937049359054</v>
      </c>
      <c r="I331" s="3">
        <f t="shared" si="47"/>
        <v>1201140.6138991117</v>
      </c>
      <c r="J331" s="3">
        <f>IF(B331&lt;='Input sheet(dashboard)'!$D$27*12,'Input sheet(dashboard)'!$D$3*(1+'Input sheet(dashboard)'!$E$24)^B331,0)</f>
        <v>33653157.189668618</v>
      </c>
      <c r="K331" s="3">
        <f>IF(B331&lt;='Input sheet(dashboard)'!$D$27*12,J331*'Input sheet(dashboard)'!$E$8,0)</f>
        <v>34856.123441216652</v>
      </c>
      <c r="L331" s="3">
        <f>IF(B331&lt;='Input sheet(dashboard)'!$D$27*12,'Input sheet(dashboard)'!$D$9*(1+'Input sheet(dashboard)'!$E$22)^B331,0)</f>
        <v>5891.6948074373868</v>
      </c>
      <c r="M331" s="3">
        <f>IF(B331=1,'Input sheet(dashboard)'!$D$3*'Input sheet(dashboard)'!$D$10,0)</f>
        <v>0</v>
      </c>
      <c r="N331" s="3">
        <f>IF(B331='Input sheet(dashboard)'!$D$27*12,J331*'Input sheet(dashboard)'!$D$11,0)</f>
        <v>0</v>
      </c>
      <c r="O331" s="3">
        <f>IF(SUM(F331:F342)&gt;=150000,150000/12*'Input sheet(dashboard)'!$D$28,SUM(F331:F342)/12*'Input sheet(dashboard)'!$D$28)</f>
        <v>568.15315107630772</v>
      </c>
      <c r="P331" s="3">
        <f t="shared" si="42"/>
        <v>0</v>
      </c>
      <c r="Q331" s="3">
        <f>IF(B331&lt;='Input sheet(dashboard)'!$D$27*12,'Input sheet(dashboard)'!$D$12/12,0)</f>
        <v>192.5</v>
      </c>
      <c r="R331" s="3">
        <f>IF(B331&lt;='Input sheet(dashboard)'!$D$27*12,('Input sheet(dashboard)'!$D$15/12)*(1+'Input sheet(dashboard)'!$E$22)^Calculations!B331,0)</f>
        <v>654.63275638193181</v>
      </c>
      <c r="S331" s="3">
        <f>IF(B331&lt;='Input sheet(dashboard)'!$D$27*12,(E331+G331+K331+L331-O331+M331+Q331+R331),0)</f>
        <v>84047.666809999602</v>
      </c>
      <c r="T331" s="3">
        <f>IF(B331&lt;='Input sheet(dashboard)'!$D$27*12,IF(D331=12,SUM(S320:S331),0),0)</f>
        <v>0</v>
      </c>
      <c r="U331" s="3">
        <f>IF(B331&lt;='Input sheet(dashboard)'!$D$27*12,IF(S331&lt;AD331,AD331-S331,0),0)</f>
        <v>13854.430656073251</v>
      </c>
      <c r="V331" s="3">
        <f>IF(B331&lt;='Input sheet(dashboard)'!$D$27*12,V330*(1+'Input sheet(dashboard)'!$E$25)+U331,0)</f>
        <v>608163.89289139828</v>
      </c>
      <c r="W331" s="17">
        <f>IF(B331&lt;='Input sheet(dashboard)'!$D$27*12,J331-I331+V331-N331,0)</f>
        <v>33060180.468660906</v>
      </c>
      <c r="X331" s="3">
        <f>IF(B331&lt;='Input sheet(dashboard)'!$D$27*12,'Input sheet(dashboard)'!$D$17*(1+'Input sheet(dashboard)'!$E$23)^(B331-1),0)</f>
        <v>97902.097466072853</v>
      </c>
      <c r="Y331" s="3"/>
      <c r="Z331" s="18"/>
      <c r="AA331" s="18"/>
      <c r="AB331" s="3">
        <f>IF(B331=1,'Input sheet(dashboard)'!$D$18*Calculations!X331,IF(Calculations!B331=12*'Input sheet(dashboard)'!$D$27,'Input sheet(dashboard)'!$D$18*-Calculations!X331,0))</f>
        <v>0</v>
      </c>
      <c r="AC331" s="3">
        <f>IF(B331&lt;='Input sheet(dashboard)'!$D$27*12,IF(MOD(B330,'Input sheet(dashboard)'!$D$19*12),0,'Input sheet(dashboard)'!$D$20*(1+'Input sheet(dashboard)'!$E$22)^Calculations!B331),0)</f>
        <v>0</v>
      </c>
      <c r="AD331" s="17">
        <f t="shared" si="48"/>
        <v>97902.097466072853</v>
      </c>
      <c r="AE331" s="17">
        <f>IF(B331&lt;='Input sheet(dashboard)'!$D$27*12,IF(D331=12,SUM(AD320:AD331),0),0)</f>
        <v>0</v>
      </c>
      <c r="AF331" s="17">
        <f t="shared" si="49"/>
        <v>-13854.430656073251</v>
      </c>
      <c r="AG331" s="17">
        <f t="shared" si="50"/>
        <v>0</v>
      </c>
      <c r="AH331" s="3">
        <f>IF(B331&lt;='Input sheet(dashboard)'!$D$27*12,AH330*(1+'Input sheet(dashboard)'!$E$25)+AG331," ")</f>
        <v>27922715.888777543</v>
      </c>
    </row>
    <row r="332" spans="2:34">
      <c r="B332">
        <f t="shared" si="45"/>
        <v>329</v>
      </c>
      <c r="C332">
        <f t="shared" si="43"/>
        <v>28</v>
      </c>
      <c r="D332">
        <f t="shared" si="44"/>
        <v>5</v>
      </c>
      <c r="E332" s="15">
        <f>IF(C332&lt;='Input sheet(dashboard)'!$D$6, -PMT('Input sheet(dashboard)'!$E$5,'Input sheet(dashboard)'!$D$6*12,'Input sheet(dashboard)'!$D$3*'Input sheet(dashboard)'!$D$4),0)</f>
        <v>39834.137922259193</v>
      </c>
      <c r="F332" s="3">
        <f>I331*'Input sheet(dashboard)'!$E$5</f>
        <v>4375.5013796730964</v>
      </c>
      <c r="G332" s="3">
        <f>IF(C332&lt;='Input sheet(dashboard)'!$D$6,E332*'Input sheet(dashboard)'!$D$7,0)</f>
        <v>3186.7310337807357</v>
      </c>
      <c r="H332" s="3">
        <f t="shared" si="46"/>
        <v>35458.6365425861</v>
      </c>
      <c r="I332" s="3">
        <f t="shared" si="47"/>
        <v>1165681.9773565256</v>
      </c>
      <c r="J332" s="3">
        <f>IF(B332&lt;='Input sheet(dashboard)'!$D$27*12,'Input sheet(dashboard)'!$D$3*(1+'Input sheet(dashboard)'!$E$24)^B332,0)</f>
        <v>33790264.317769907</v>
      </c>
      <c r="K332" s="3">
        <f>IF(B332&lt;='Input sheet(dashboard)'!$D$27*12,J332*'Input sheet(dashboard)'!$E$8,0)</f>
        <v>34998.131602734305</v>
      </c>
      <c r="L332" s="3">
        <f>IF(B332&lt;='Input sheet(dashboard)'!$D$27*12,'Input sheet(dashboard)'!$D$9*(1+'Input sheet(dashboard)'!$E$22)^B332,0)</f>
        <v>5903.8307340925903</v>
      </c>
      <c r="M332" s="3">
        <f>IF(B332=1,'Input sheet(dashboard)'!$D$3*'Input sheet(dashboard)'!$D$10,0)</f>
        <v>0</v>
      </c>
      <c r="N332" s="3">
        <f>IF(B332='Input sheet(dashboard)'!$D$27*12,J332*'Input sheet(dashboard)'!$D$11,0)</f>
        <v>0</v>
      </c>
      <c r="O332" s="3">
        <f>IF(SUM(F332:F343)&gt;=150000,150000/12*'Input sheet(dashboard)'!$D$28,SUM(F332:F343)/12*'Input sheet(dashboard)'!$D$28)</f>
        <v>548.45671117128995</v>
      </c>
      <c r="P332" s="3">
        <f t="shared" si="42"/>
        <v>0</v>
      </c>
      <c r="Q332" s="3">
        <f>IF(B332&lt;='Input sheet(dashboard)'!$D$27*12,'Input sheet(dashboard)'!$D$12/12,0)</f>
        <v>192.5</v>
      </c>
      <c r="R332" s="3">
        <f>IF(B332&lt;='Input sheet(dashboard)'!$D$27*12,('Input sheet(dashboard)'!$D$15/12)*(1+'Input sheet(dashboard)'!$E$22)^Calculations!B332,0)</f>
        <v>655.98119267695438</v>
      </c>
      <c r="S332" s="3">
        <f>IF(B332&lt;='Input sheet(dashboard)'!$D$27*12,(E332+G332+K332+L332-O332+M332+Q332+R332),0)</f>
        <v>84222.855774372496</v>
      </c>
      <c r="T332" s="3">
        <f>IF(B332&lt;='Input sheet(dashboard)'!$D$27*12,IF(D332=12,SUM(S321:S332),0),0)</f>
        <v>0</v>
      </c>
      <c r="U332" s="3">
        <f>IF(B332&lt;='Input sheet(dashboard)'!$D$27*12,IF(S332&lt;AD332,AD332-S332,0),0)</f>
        <v>14078.106955455951</v>
      </c>
      <c r="V332" s="3">
        <f>IF(B332&lt;='Input sheet(dashboard)'!$D$27*12,V331*(1+'Input sheet(dashboard)'!$E$25)+U332,0)</f>
        <v>626154.94464553439</v>
      </c>
      <c r="W332" s="17">
        <f>IF(B332&lt;='Input sheet(dashboard)'!$D$27*12,J332-I332+V332-N332,0)</f>
        <v>33250737.285058916</v>
      </c>
      <c r="X332" s="3">
        <f>IF(B332&lt;='Input sheet(dashboard)'!$D$27*12,'Input sheet(dashboard)'!$D$17*(1+'Input sheet(dashboard)'!$E$23)^(B332-1),0)</f>
        <v>98300.962729828447</v>
      </c>
      <c r="Y332" s="3"/>
      <c r="Z332" s="18"/>
      <c r="AA332" s="18"/>
      <c r="AB332" s="3">
        <f>IF(B332=1,'Input sheet(dashboard)'!$D$18*Calculations!X332,IF(Calculations!B332=12*'Input sheet(dashboard)'!$D$27,'Input sheet(dashboard)'!$D$18*-Calculations!X332,0))</f>
        <v>0</v>
      </c>
      <c r="AC332" s="3">
        <f>IF(B332&lt;='Input sheet(dashboard)'!$D$27*12,IF(MOD(B331,'Input sheet(dashboard)'!$D$19*12),0,'Input sheet(dashboard)'!$D$20*(1+'Input sheet(dashboard)'!$E$22)^Calculations!B332),0)</f>
        <v>0</v>
      </c>
      <c r="AD332" s="17">
        <f t="shared" si="48"/>
        <v>98300.962729828447</v>
      </c>
      <c r="AE332" s="17">
        <f>IF(B332&lt;='Input sheet(dashboard)'!$D$27*12,IF(D332=12,SUM(AD321:AD332),0),0)</f>
        <v>0</v>
      </c>
      <c r="AF332" s="17">
        <f t="shared" si="49"/>
        <v>-14078.106955455951</v>
      </c>
      <c r="AG332" s="17">
        <f t="shared" si="50"/>
        <v>0</v>
      </c>
      <c r="AH332" s="3">
        <f>IF(B332&lt;='Input sheet(dashboard)'!$D$27*12,AH331*(1+'Input sheet(dashboard)'!$E$25)+AG332," ")</f>
        <v>28102371.483559009</v>
      </c>
    </row>
    <row r="333" spans="2:34">
      <c r="B333">
        <f t="shared" si="45"/>
        <v>330</v>
      </c>
      <c r="C333">
        <f t="shared" si="43"/>
        <v>28</v>
      </c>
      <c r="D333">
        <f t="shared" si="44"/>
        <v>6</v>
      </c>
      <c r="E333" s="15">
        <f>IF(C333&lt;='Input sheet(dashboard)'!$D$6, -PMT('Input sheet(dashboard)'!$E$5,'Input sheet(dashboard)'!$D$6*12,'Input sheet(dashboard)'!$D$3*'Input sheet(dashboard)'!$D$4),0)</f>
        <v>39834.137922259193</v>
      </c>
      <c r="F333" s="3">
        <f>I332*'Input sheet(dashboard)'!$E$5</f>
        <v>4246.3330613945473</v>
      </c>
      <c r="G333" s="3">
        <f>IF(C333&lt;='Input sheet(dashboard)'!$D$6,E333*'Input sheet(dashboard)'!$D$7,0)</f>
        <v>3186.7310337807357</v>
      </c>
      <c r="H333" s="3">
        <f t="shared" si="46"/>
        <v>35587.80486086465</v>
      </c>
      <c r="I333" s="3">
        <f t="shared" si="47"/>
        <v>1130094.1724956608</v>
      </c>
      <c r="J333" s="3">
        <f>IF(B333&lt;='Input sheet(dashboard)'!$D$27*12,'Input sheet(dashboard)'!$D$3*(1+'Input sheet(dashboard)'!$E$24)^B333,0)</f>
        <v>33927930.037282698</v>
      </c>
      <c r="K333" s="3">
        <f>IF(B333&lt;='Input sheet(dashboard)'!$D$27*12,J333*'Input sheet(dashboard)'!$E$8,0)</f>
        <v>35140.718323080255</v>
      </c>
      <c r="L333" s="3">
        <f>IF(B333&lt;='Input sheet(dashboard)'!$D$27*12,'Input sheet(dashboard)'!$D$9*(1+'Input sheet(dashboard)'!$E$22)^B333,0)</f>
        <v>5915.9916587696862</v>
      </c>
      <c r="M333" s="3">
        <f>IF(B333=1,'Input sheet(dashboard)'!$D$3*'Input sheet(dashboard)'!$D$10,0)</f>
        <v>0</v>
      </c>
      <c r="N333" s="3">
        <f>IF(B333='Input sheet(dashboard)'!$D$27*12,J333*'Input sheet(dashboard)'!$D$11,0)</f>
        <v>0</v>
      </c>
      <c r="O333" s="3">
        <f>IF(SUM(F333:F344)&gt;=150000,150000/12*'Input sheet(dashboard)'!$D$28,SUM(F333:F344)/12*'Input sheet(dashboard)'!$D$28)</f>
        <v>528.68852129879815</v>
      </c>
      <c r="P333" s="3">
        <f t="shared" si="42"/>
        <v>0</v>
      </c>
      <c r="Q333" s="3">
        <f>IF(B333&lt;='Input sheet(dashboard)'!$D$27*12,'Input sheet(dashboard)'!$D$12/12,0)</f>
        <v>192.5</v>
      </c>
      <c r="R333" s="3">
        <f>IF(B333&lt;='Input sheet(dashboard)'!$D$27*12,('Input sheet(dashboard)'!$D$15/12)*(1+'Input sheet(dashboard)'!$E$22)^Calculations!B333,0)</f>
        <v>657.33240652996506</v>
      </c>
      <c r="S333" s="3">
        <f>IF(B333&lt;='Input sheet(dashboard)'!$D$27*12,(E333+G333+K333+L333-O333+M333+Q333+R333),0)</f>
        <v>84398.722823121032</v>
      </c>
      <c r="T333" s="3">
        <f>IF(B333&lt;='Input sheet(dashboard)'!$D$27*12,IF(D333=12,SUM(S322:S333),0),0)</f>
        <v>0</v>
      </c>
      <c r="U333" s="3">
        <f>IF(B333&lt;='Input sheet(dashboard)'!$D$27*12,IF(S333&lt;AD333,AD333-S333,0),0)</f>
        <v>14302.730196920558</v>
      </c>
      <c r="V333" s="3">
        <f>IF(B333&lt;='Input sheet(dashboard)'!$D$27*12,V332*(1+'Input sheet(dashboard)'!$E$25)+U333,0)</f>
        <v>644486.37460983184</v>
      </c>
      <c r="W333" s="17">
        <f>IF(B333&lt;='Input sheet(dashboard)'!$D$27*12,J333-I333+V333-N333,0)</f>
        <v>33442322.23939687</v>
      </c>
      <c r="X333" s="3">
        <f>IF(B333&lt;='Input sheet(dashboard)'!$D$27*12,'Input sheet(dashboard)'!$D$17*(1+'Input sheet(dashboard)'!$E$23)^(B333-1),0)</f>
        <v>98701.45302004159</v>
      </c>
      <c r="Y333" s="3"/>
      <c r="Z333" s="18"/>
      <c r="AA333" s="18"/>
      <c r="AB333" s="3">
        <f>IF(B333=1,'Input sheet(dashboard)'!$D$18*Calculations!X333,IF(Calculations!B333=12*'Input sheet(dashboard)'!$D$27,'Input sheet(dashboard)'!$D$18*-Calculations!X333,0))</f>
        <v>0</v>
      </c>
      <c r="AC333" s="3">
        <f>IF(B333&lt;='Input sheet(dashboard)'!$D$27*12,IF(MOD(B332,'Input sheet(dashboard)'!$D$19*12),0,'Input sheet(dashboard)'!$D$20*(1+'Input sheet(dashboard)'!$E$22)^Calculations!B333),0)</f>
        <v>0</v>
      </c>
      <c r="AD333" s="17">
        <f t="shared" si="48"/>
        <v>98701.45302004159</v>
      </c>
      <c r="AE333" s="17">
        <f>IF(B333&lt;='Input sheet(dashboard)'!$D$27*12,IF(D333=12,SUM(AD322:AD333),0),0)</f>
        <v>0</v>
      </c>
      <c r="AF333" s="17">
        <f t="shared" si="49"/>
        <v>-14302.730196920558</v>
      </c>
      <c r="AG333" s="17">
        <f t="shared" si="50"/>
        <v>0</v>
      </c>
      <c r="AH333" s="3">
        <f>IF(B333&lt;='Input sheet(dashboard)'!$D$27*12,AH332*(1+'Input sheet(dashboard)'!$E$25)+AG333," ")</f>
        <v>28283182.987846728</v>
      </c>
    </row>
    <row r="334" spans="2:34">
      <c r="B334">
        <f t="shared" si="45"/>
        <v>331</v>
      </c>
      <c r="C334">
        <f t="shared" si="43"/>
        <v>28</v>
      </c>
      <c r="D334">
        <f t="shared" si="44"/>
        <v>7</v>
      </c>
      <c r="E334" s="15">
        <f>IF(C334&lt;='Input sheet(dashboard)'!$D$6, -PMT('Input sheet(dashboard)'!$E$5,'Input sheet(dashboard)'!$D$6*12,'Input sheet(dashboard)'!$D$3*'Input sheet(dashboard)'!$D$4),0)</f>
        <v>39834.137922259193</v>
      </c>
      <c r="F334" s="3">
        <f>I333*'Input sheet(dashboard)'!$E$5</f>
        <v>4116.6942102339208</v>
      </c>
      <c r="G334" s="3">
        <f>IF(C334&lt;='Input sheet(dashboard)'!$D$6,E334*'Input sheet(dashboard)'!$D$7,0)</f>
        <v>3186.7310337807357</v>
      </c>
      <c r="H334" s="3">
        <f t="shared" si="46"/>
        <v>35717.44371202527</v>
      </c>
      <c r="I334" s="3">
        <f t="shared" si="47"/>
        <v>1094376.7287836357</v>
      </c>
      <c r="J334" s="3">
        <f>IF(B334&lt;='Input sheet(dashboard)'!$D$27*12,'Input sheet(dashboard)'!$D$3*(1+'Input sheet(dashboard)'!$E$24)^B334,0)</f>
        <v>34066156.623977542</v>
      </c>
      <c r="K334" s="3">
        <f>IF(B334&lt;='Input sheet(dashboard)'!$D$27*12,J334*'Input sheet(dashboard)'!$E$8,0)</f>
        <v>35283.885959374798</v>
      </c>
      <c r="L334" s="3">
        <f>IF(B334&lt;='Input sheet(dashboard)'!$D$27*12,'Input sheet(dashboard)'!$D$9*(1+'Input sheet(dashboard)'!$E$22)^B334,0)</f>
        <v>5928.1776329605073</v>
      </c>
      <c r="M334" s="3">
        <f>IF(B334=1,'Input sheet(dashboard)'!$D$3*'Input sheet(dashboard)'!$D$10,0)</f>
        <v>0</v>
      </c>
      <c r="N334" s="3">
        <f>IF(B334='Input sheet(dashboard)'!$D$27*12,J334*'Input sheet(dashboard)'!$D$11,0)</f>
        <v>0</v>
      </c>
      <c r="O334" s="3">
        <f>IF(SUM(F334:F345)&gt;=150000,150000/12*'Input sheet(dashboard)'!$D$28,SUM(F334:F345)/12*'Input sheet(dashboard)'!$D$28)</f>
        <v>508.84832008886605</v>
      </c>
      <c r="P334" s="3">
        <f t="shared" si="42"/>
        <v>0</v>
      </c>
      <c r="Q334" s="3">
        <f>IF(B334&lt;='Input sheet(dashboard)'!$D$27*12,'Input sheet(dashboard)'!$D$12/12,0)</f>
        <v>192.5</v>
      </c>
      <c r="R334" s="3">
        <f>IF(B334&lt;='Input sheet(dashboard)'!$D$27*12,('Input sheet(dashboard)'!$D$15/12)*(1+'Input sheet(dashboard)'!$E$22)^Calculations!B334,0)</f>
        <v>658.68640366227851</v>
      </c>
      <c r="S334" s="3">
        <f>IF(B334&lt;='Input sheet(dashboard)'!$D$27*12,(E334+G334+K334+L334-O334+M334+Q334+R334),0)</f>
        <v>84575.270631948631</v>
      </c>
      <c r="T334" s="3">
        <f>IF(B334&lt;='Input sheet(dashboard)'!$D$27*12,IF(D334=12,SUM(S323:S334),0),0)</f>
        <v>0</v>
      </c>
      <c r="U334" s="3">
        <f>IF(B334&lt;='Input sheet(dashboard)'!$D$27*12,IF(S334&lt;AD334,AD334-S334,0),0)</f>
        <v>14528.304325322562</v>
      </c>
      <c r="V334" s="3">
        <f>IF(B334&lt;='Input sheet(dashboard)'!$D$27*12,V333*(1+'Input sheet(dashboard)'!$E$25)+U334,0)</f>
        <v>663161.3236748809</v>
      </c>
      <c r="W334" s="17">
        <f>IF(B334&lt;='Input sheet(dashboard)'!$D$27*12,J334-I334+V334-N334,0)</f>
        <v>33634941.218868785</v>
      </c>
      <c r="X334" s="3">
        <f>IF(B334&lt;='Input sheet(dashboard)'!$D$27*12,'Input sheet(dashboard)'!$D$17*(1+'Input sheet(dashboard)'!$E$23)^(B334-1),0)</f>
        <v>99103.574957271194</v>
      </c>
      <c r="Y334" s="3"/>
      <c r="Z334" s="18"/>
      <c r="AA334" s="18"/>
      <c r="AB334" s="3">
        <f>IF(B334=1,'Input sheet(dashboard)'!$D$18*Calculations!X334,IF(Calculations!B334=12*'Input sheet(dashboard)'!$D$27,'Input sheet(dashboard)'!$D$18*-Calculations!X334,0))</f>
        <v>0</v>
      </c>
      <c r="AC334" s="3">
        <f>IF(B334&lt;='Input sheet(dashboard)'!$D$27*12,IF(MOD(B333,'Input sheet(dashboard)'!$D$19*12),0,'Input sheet(dashboard)'!$D$20*(1+'Input sheet(dashboard)'!$E$22)^Calculations!B334),0)</f>
        <v>0</v>
      </c>
      <c r="AD334" s="17">
        <f t="shared" si="48"/>
        <v>99103.574957271194</v>
      </c>
      <c r="AE334" s="17">
        <f>IF(B334&lt;='Input sheet(dashboard)'!$D$27*12,IF(D334=12,SUM(AD323:AD334),0),0)</f>
        <v>0</v>
      </c>
      <c r="AF334" s="17">
        <f t="shared" si="49"/>
        <v>-14528.304325322562</v>
      </c>
      <c r="AG334" s="17">
        <f t="shared" si="50"/>
        <v>0</v>
      </c>
      <c r="AH334" s="3">
        <f>IF(B334&lt;='Input sheet(dashboard)'!$D$27*12,AH333*(1+'Input sheet(dashboard)'!$E$25)+AG334," ")</f>
        <v>28465157.838797271</v>
      </c>
    </row>
    <row r="335" spans="2:34">
      <c r="B335">
        <f t="shared" si="45"/>
        <v>332</v>
      </c>
      <c r="C335">
        <f t="shared" si="43"/>
        <v>28</v>
      </c>
      <c r="D335">
        <f t="shared" si="44"/>
        <v>8</v>
      </c>
      <c r="E335" s="15">
        <f>IF(C335&lt;='Input sheet(dashboard)'!$D$6, -PMT('Input sheet(dashboard)'!$E$5,'Input sheet(dashboard)'!$D$6*12,'Input sheet(dashboard)'!$D$3*'Input sheet(dashboard)'!$D$4),0)</f>
        <v>39834.137922259193</v>
      </c>
      <c r="F335" s="3">
        <f>I334*'Input sheet(dashboard)'!$E$5</f>
        <v>3986.5831121393812</v>
      </c>
      <c r="G335" s="3">
        <f>IF(C335&lt;='Input sheet(dashboard)'!$D$6,E335*'Input sheet(dashboard)'!$D$7,0)</f>
        <v>3186.7310337807357</v>
      </c>
      <c r="H335" s="3">
        <f t="shared" si="46"/>
        <v>35847.554810119815</v>
      </c>
      <c r="I335" s="3">
        <f t="shared" si="47"/>
        <v>1058529.1739735159</v>
      </c>
      <c r="J335" s="3">
        <f>IF(B335&lt;='Input sheet(dashboard)'!$D$27*12,'Input sheet(dashboard)'!$D$3*(1+'Input sheet(dashboard)'!$E$24)^B335,0)</f>
        <v>34204946.362896785</v>
      </c>
      <c r="K335" s="3">
        <f>IF(B335&lt;='Input sheet(dashboard)'!$D$27*12,J335*'Input sheet(dashboard)'!$E$8,0)</f>
        <v>35427.636878341429</v>
      </c>
      <c r="L335" s="3">
        <f>IF(B335&lt;='Input sheet(dashboard)'!$D$27*12,'Input sheet(dashboard)'!$D$9*(1+'Input sheet(dashboard)'!$E$22)^B335,0)</f>
        <v>5940.3887082629508</v>
      </c>
      <c r="M335" s="3">
        <f>IF(B335=1,'Input sheet(dashboard)'!$D$3*'Input sheet(dashboard)'!$D$10,0)</f>
        <v>0</v>
      </c>
      <c r="N335" s="3">
        <f>IF(B335='Input sheet(dashboard)'!$D$27*12,J335*'Input sheet(dashboard)'!$D$11,0)</f>
        <v>0</v>
      </c>
      <c r="O335" s="3">
        <f>IF(SUM(F335:F346)&gt;=150000,150000/12*'Input sheet(dashboard)'!$D$28,SUM(F335:F346)/12*'Input sheet(dashboard)'!$D$28)</f>
        <v>488.93584521941182</v>
      </c>
      <c r="P335" s="3">
        <f t="shared" ref="P335:P398" si="51">IF(D335=12,IF(SUM(F324:F336)&gt;=150000,150000*0.15,SUM(F324:F336)*0.15),0)</f>
        <v>0</v>
      </c>
      <c r="Q335" s="3">
        <f>IF(B335&lt;='Input sheet(dashboard)'!$D$27*12,'Input sheet(dashboard)'!$D$12/12,0)</f>
        <v>192.5</v>
      </c>
      <c r="R335" s="3">
        <f>IF(B335&lt;='Input sheet(dashboard)'!$D$27*12,('Input sheet(dashboard)'!$D$15/12)*(1+'Input sheet(dashboard)'!$E$22)^Calculations!B335,0)</f>
        <v>660.04318980699452</v>
      </c>
      <c r="S335" s="3">
        <f>IF(B335&lt;='Input sheet(dashboard)'!$D$27*12,(E335+G335+K335+L335-O335+M335+Q335+R335),0)</f>
        <v>84752.501887231891</v>
      </c>
      <c r="T335" s="3">
        <f>IF(B335&lt;='Input sheet(dashboard)'!$D$27*12,IF(D335=12,SUM(S324:S335),0),0)</f>
        <v>0</v>
      </c>
      <c r="U335" s="3">
        <f>IF(B335&lt;='Input sheet(dashboard)'!$D$27*12,IF(S335&lt;AD335,AD335-S335,0),0)</f>
        <v>14754.833301817285</v>
      </c>
      <c r="V335" s="3">
        <f>IF(B335&lt;='Input sheet(dashboard)'!$D$27*12,V334*(1+'Input sheet(dashboard)'!$E$25)+U335,0)</f>
        <v>682182.9569010121</v>
      </c>
      <c r="W335" s="17">
        <f>IF(B335&lt;='Input sheet(dashboard)'!$D$27*12,J335-I335+V335-N335,0)</f>
        <v>33828600.145824283</v>
      </c>
      <c r="X335" s="3">
        <f>IF(B335&lt;='Input sheet(dashboard)'!$D$27*12,'Input sheet(dashboard)'!$D$17*(1+'Input sheet(dashboard)'!$E$23)^(B335-1),0)</f>
        <v>99507.335189049176</v>
      </c>
      <c r="Y335" s="3"/>
      <c r="Z335" s="18"/>
      <c r="AA335" s="18"/>
      <c r="AB335" s="3">
        <f>IF(B335=1,'Input sheet(dashboard)'!$D$18*Calculations!X335,IF(Calculations!B335=12*'Input sheet(dashboard)'!$D$27,'Input sheet(dashboard)'!$D$18*-Calculations!X335,0))</f>
        <v>0</v>
      </c>
      <c r="AC335" s="3">
        <f>IF(B335&lt;='Input sheet(dashboard)'!$D$27*12,IF(MOD(B334,'Input sheet(dashboard)'!$D$19*12),0,'Input sheet(dashboard)'!$D$20*(1+'Input sheet(dashboard)'!$E$22)^Calculations!B335),0)</f>
        <v>0</v>
      </c>
      <c r="AD335" s="17">
        <f t="shared" si="48"/>
        <v>99507.335189049176</v>
      </c>
      <c r="AE335" s="17">
        <f>IF(B335&lt;='Input sheet(dashboard)'!$D$27*12,IF(D335=12,SUM(AD324:AD335),0),0)</f>
        <v>0</v>
      </c>
      <c r="AF335" s="17">
        <f t="shared" si="49"/>
        <v>-14754.833301817285</v>
      </c>
      <c r="AG335" s="17">
        <f t="shared" si="50"/>
        <v>0</v>
      </c>
      <c r="AH335" s="3">
        <f>IF(B335&lt;='Input sheet(dashboard)'!$D$27*12,AH334*(1+'Input sheet(dashboard)'!$E$25)+AG335," ")</f>
        <v>28648303.521418095</v>
      </c>
    </row>
    <row r="336" spans="2:34">
      <c r="B336">
        <f t="shared" si="45"/>
        <v>333</v>
      </c>
      <c r="C336">
        <f t="shared" ref="C336:C399" si="52">C324+1</f>
        <v>28</v>
      </c>
      <c r="D336">
        <f t="shared" ref="D336:D399" si="53">D324</f>
        <v>9</v>
      </c>
      <c r="E336" s="15">
        <f>IF(C336&lt;='Input sheet(dashboard)'!$D$6, -PMT('Input sheet(dashboard)'!$E$5,'Input sheet(dashboard)'!$D$6*12,'Input sheet(dashboard)'!$D$3*'Input sheet(dashboard)'!$D$4),0)</f>
        <v>39834.137922259193</v>
      </c>
      <c r="F336" s="3">
        <f>I335*'Input sheet(dashboard)'!$E$5</f>
        <v>3855.9980468151639</v>
      </c>
      <c r="G336" s="3">
        <f>IF(C336&lt;='Input sheet(dashboard)'!$D$6,E336*'Input sheet(dashboard)'!$D$7,0)</f>
        <v>3186.7310337807357</v>
      </c>
      <c r="H336" s="3">
        <f t="shared" si="46"/>
        <v>35978.139875444031</v>
      </c>
      <c r="I336" s="3">
        <f t="shared" si="47"/>
        <v>1022551.0340980719</v>
      </c>
      <c r="J336" s="3">
        <f>IF(B336&lt;='Input sheet(dashboard)'!$D$27*12,'Input sheet(dashboard)'!$D$3*(1+'Input sheet(dashboard)'!$E$24)^B336,0)</f>
        <v>34344301.548392281</v>
      </c>
      <c r="K336" s="3">
        <f>IF(B336&lt;='Input sheet(dashboard)'!$D$27*12,J336*'Input sheet(dashboard)'!$E$8,0)</f>
        <v>35571.973456345942</v>
      </c>
      <c r="L336" s="3">
        <f>IF(B336&lt;='Input sheet(dashboard)'!$D$27*12,'Input sheet(dashboard)'!$D$9*(1+'Input sheet(dashboard)'!$E$22)^B336,0)</f>
        <v>5952.624936381193</v>
      </c>
      <c r="M336" s="3">
        <f>IF(B336=1,'Input sheet(dashboard)'!$D$3*'Input sheet(dashboard)'!$D$10,0)</f>
        <v>0</v>
      </c>
      <c r="N336" s="3">
        <f>IF(B336='Input sheet(dashboard)'!$D$27*12,J336*'Input sheet(dashboard)'!$D$11,0)</f>
        <v>0</v>
      </c>
      <c r="O336" s="3">
        <f>IF(SUM(F336:F347)&gt;=150000,150000/12*'Input sheet(dashboard)'!$D$28,SUM(F336:F347)/12*'Input sheet(dashboard)'!$D$28)</f>
        <v>468.95083341276995</v>
      </c>
      <c r="P336" s="3">
        <f t="shared" si="51"/>
        <v>0</v>
      </c>
      <c r="Q336" s="3">
        <f>IF(B336&lt;='Input sheet(dashboard)'!$D$27*12,'Input sheet(dashboard)'!$D$12/12,0)</f>
        <v>192.5</v>
      </c>
      <c r="R336" s="3">
        <f>IF(B336&lt;='Input sheet(dashboard)'!$D$27*12,('Input sheet(dashboard)'!$D$15/12)*(1+'Input sheet(dashboard)'!$E$22)^Calculations!B336,0)</f>
        <v>661.40277070902141</v>
      </c>
      <c r="S336" s="3">
        <f>IF(B336&lt;='Input sheet(dashboard)'!$D$27*12,(E336+G336+K336+L336-O336+M336+Q336+R336),0)</f>
        <v>84930.419286063319</v>
      </c>
      <c r="T336" s="3">
        <f>IF(B336&lt;='Input sheet(dashboard)'!$D$27*12,IF(D336=12,SUM(S325:S336),0),0)</f>
        <v>0</v>
      </c>
      <c r="U336" s="3">
        <f>IF(B336&lt;='Input sheet(dashboard)'!$D$27*12,IF(S336&lt;AD336,AD336-S336,0),0)</f>
        <v>14982.321103927054</v>
      </c>
      <c r="V336" s="3">
        <f>IF(B336&lt;='Input sheet(dashboard)'!$D$27*12,V335*(1+'Input sheet(dashboard)'!$E$25)+U336,0)</f>
        <v>701554.46369017148</v>
      </c>
      <c r="W336" s="17">
        <f>IF(B336&lt;='Input sheet(dashboard)'!$D$27*12,J336-I336+V336-N336,0)</f>
        <v>34023304.977984384</v>
      </c>
      <c r="X336" s="3">
        <f>IF(B336&lt;='Input sheet(dashboard)'!$D$27*12,'Input sheet(dashboard)'!$D$17*(1+'Input sheet(dashboard)'!$E$23)^(B336-1),0)</f>
        <v>99912.740389990373</v>
      </c>
      <c r="Y336" s="3"/>
      <c r="Z336" s="18"/>
      <c r="AA336" s="18"/>
      <c r="AB336" s="3">
        <f>IF(B336=1,'Input sheet(dashboard)'!$D$18*Calculations!X336,IF(Calculations!B336=12*'Input sheet(dashboard)'!$D$27,'Input sheet(dashboard)'!$D$18*-Calculations!X336,0))</f>
        <v>0</v>
      </c>
      <c r="AC336" s="3">
        <f>IF(B336&lt;='Input sheet(dashboard)'!$D$27*12,IF(MOD(B335,'Input sheet(dashboard)'!$D$19*12),0,'Input sheet(dashboard)'!$D$20*(1+'Input sheet(dashboard)'!$E$22)^Calculations!B336),0)</f>
        <v>0</v>
      </c>
      <c r="AD336" s="17">
        <f t="shared" si="48"/>
        <v>99912.740389990373</v>
      </c>
      <c r="AE336" s="17">
        <f>IF(B336&lt;='Input sheet(dashboard)'!$D$27*12,IF(D336=12,SUM(AD325:AD336),0),0)</f>
        <v>0</v>
      </c>
      <c r="AF336" s="17">
        <f t="shared" si="49"/>
        <v>-14982.321103927054</v>
      </c>
      <c r="AG336" s="17">
        <f t="shared" si="50"/>
        <v>0</v>
      </c>
      <c r="AH336" s="3">
        <f>IF(B336&lt;='Input sheet(dashboard)'!$D$27*12,AH335*(1+'Input sheet(dashboard)'!$E$25)+AG336," ")</f>
        <v>28832627.568875417</v>
      </c>
    </row>
    <row r="337" spans="2:34">
      <c r="B337">
        <f t="shared" si="45"/>
        <v>334</v>
      </c>
      <c r="C337">
        <f t="shared" si="52"/>
        <v>28</v>
      </c>
      <c r="D337">
        <f t="shared" si="53"/>
        <v>10</v>
      </c>
      <c r="E337" s="15">
        <f>IF(C337&lt;='Input sheet(dashboard)'!$D$6, -PMT('Input sheet(dashboard)'!$E$5,'Input sheet(dashboard)'!$D$6*12,'Input sheet(dashboard)'!$D$3*'Input sheet(dashboard)'!$D$4),0)</f>
        <v>39834.137922259193</v>
      </c>
      <c r="F337" s="3">
        <f>I336*'Input sheet(dashboard)'!$E$5</f>
        <v>3724.93728769883</v>
      </c>
      <c r="G337" s="3">
        <f>IF(C337&lt;='Input sheet(dashboard)'!$D$6,E337*'Input sheet(dashboard)'!$D$7,0)</f>
        <v>3186.7310337807357</v>
      </c>
      <c r="H337" s="3">
        <f t="shared" si="46"/>
        <v>36109.200634560366</v>
      </c>
      <c r="I337" s="3">
        <f t="shared" si="47"/>
        <v>986441.83346351155</v>
      </c>
      <c r="J337" s="3">
        <f>IF(B337&lt;='Input sheet(dashboard)'!$D$27*12,'Input sheet(dashboard)'!$D$3*(1+'Input sheet(dashboard)'!$E$24)^B337,0)</f>
        <v>34484224.484163381</v>
      </c>
      <c r="K337" s="3">
        <f>IF(B337&lt;='Input sheet(dashboard)'!$D$27*12,J337*'Input sheet(dashboard)'!$E$8,0)</f>
        <v>35716.898079435749</v>
      </c>
      <c r="L337" s="3">
        <f>IF(B337&lt;='Input sheet(dashboard)'!$D$27*12,'Input sheet(dashboard)'!$D$9*(1+'Input sheet(dashboard)'!$E$22)^B337,0)</f>
        <v>5964.8863691259221</v>
      </c>
      <c r="M337" s="3">
        <f>IF(B337=1,'Input sheet(dashboard)'!$D$3*'Input sheet(dashboard)'!$D$10,0)</f>
        <v>0</v>
      </c>
      <c r="N337" s="3">
        <f>IF(B337='Input sheet(dashboard)'!$D$27*12,J337*'Input sheet(dashboard)'!$D$11,0)</f>
        <v>0</v>
      </c>
      <c r="O337" s="3">
        <f>IF(SUM(F337:F348)&gt;=150000,150000/12*'Input sheet(dashboard)'!$D$28,SUM(F337:F348)/12*'Input sheet(dashboard)'!$D$28)</f>
        <v>448.89302043220977</v>
      </c>
      <c r="P337" s="3">
        <f t="shared" si="51"/>
        <v>0</v>
      </c>
      <c r="Q337" s="3">
        <f>IF(B337&lt;='Input sheet(dashboard)'!$D$27*12,'Input sheet(dashboard)'!$D$12/12,0)</f>
        <v>192.5</v>
      </c>
      <c r="R337" s="3">
        <f>IF(B337&lt;='Input sheet(dashboard)'!$D$27*12,('Input sheet(dashboard)'!$D$15/12)*(1+'Input sheet(dashboard)'!$E$22)^Calculations!B337,0)</f>
        <v>662.76515212510242</v>
      </c>
      <c r="S337" s="3">
        <f>IF(B337&lt;='Input sheet(dashboard)'!$D$27*12,(E337+G337+K337+L337-O337+M337+Q337+R337),0)</f>
        <v>85109.025536294474</v>
      </c>
      <c r="T337" s="3">
        <f>IF(B337&lt;='Input sheet(dashboard)'!$D$27*12,IF(D337=12,SUM(S326:S337),0),0)</f>
        <v>0</v>
      </c>
      <c r="U337" s="3">
        <f>IF(B337&lt;='Input sheet(dashboard)'!$D$27*12,IF(S337&lt;AD337,AD337-S337,0),0)</f>
        <v>15210.77172560824</v>
      </c>
      <c r="V337" s="3">
        <f>IF(B337&lt;='Input sheet(dashboard)'!$D$27*12,V336*(1+'Input sheet(dashboard)'!$E$25)+U337,0)</f>
        <v>721279.05795896961</v>
      </c>
      <c r="W337" s="17">
        <f>IF(B337&lt;='Input sheet(dashboard)'!$D$27*12,J337-I337+V337-N337,0)</f>
        <v>34219061.708658837</v>
      </c>
      <c r="X337" s="3">
        <f>IF(B337&lt;='Input sheet(dashboard)'!$D$27*12,'Input sheet(dashboard)'!$D$17*(1+'Input sheet(dashboard)'!$E$23)^(B337-1),0)</f>
        <v>100319.79726190271</v>
      </c>
      <c r="Y337" s="3"/>
      <c r="Z337" s="18"/>
      <c r="AA337" s="18"/>
      <c r="AB337" s="3">
        <f>IF(B337=1,'Input sheet(dashboard)'!$D$18*Calculations!X337,IF(Calculations!B337=12*'Input sheet(dashboard)'!$D$27,'Input sheet(dashboard)'!$D$18*-Calculations!X337,0))</f>
        <v>0</v>
      </c>
      <c r="AC337" s="3">
        <f>IF(B337&lt;='Input sheet(dashboard)'!$D$27*12,IF(MOD(B336,'Input sheet(dashboard)'!$D$19*12),0,'Input sheet(dashboard)'!$D$20*(1+'Input sheet(dashboard)'!$E$22)^Calculations!B337),0)</f>
        <v>0</v>
      </c>
      <c r="AD337" s="17">
        <f t="shared" si="48"/>
        <v>100319.79726190271</v>
      </c>
      <c r="AE337" s="17">
        <f>IF(B337&lt;='Input sheet(dashboard)'!$D$27*12,IF(D337=12,SUM(AD326:AD337),0),0)</f>
        <v>0</v>
      </c>
      <c r="AF337" s="17">
        <f t="shared" si="49"/>
        <v>-15210.77172560824</v>
      </c>
      <c r="AG337" s="17">
        <f t="shared" si="50"/>
        <v>0</v>
      </c>
      <c r="AH337" s="3">
        <f>IF(B337&lt;='Input sheet(dashboard)'!$D$27*12,AH336*(1+'Input sheet(dashboard)'!$E$25)+AG337," ")</f>
        <v>29018137.562804077</v>
      </c>
    </row>
    <row r="338" spans="2:34">
      <c r="B338">
        <f t="shared" si="45"/>
        <v>335</v>
      </c>
      <c r="C338">
        <f t="shared" si="52"/>
        <v>28</v>
      </c>
      <c r="D338">
        <f t="shared" si="53"/>
        <v>11</v>
      </c>
      <c r="E338" s="15">
        <f>IF(C338&lt;='Input sheet(dashboard)'!$D$6, -PMT('Input sheet(dashboard)'!$E$5,'Input sheet(dashboard)'!$D$6*12,'Input sheet(dashboard)'!$D$3*'Input sheet(dashboard)'!$D$4),0)</f>
        <v>39834.137922259193</v>
      </c>
      <c r="F338" s="3">
        <f>I337*'Input sheet(dashboard)'!$E$5</f>
        <v>3593.3991019384389</v>
      </c>
      <c r="G338" s="3">
        <f>IF(C338&lt;='Input sheet(dashboard)'!$D$6,E338*'Input sheet(dashboard)'!$D$7,0)</f>
        <v>3186.7310337807357</v>
      </c>
      <c r="H338" s="3">
        <f t="shared" si="46"/>
        <v>36240.738820320752</v>
      </c>
      <c r="I338" s="3">
        <f t="shared" si="47"/>
        <v>950201.09464319074</v>
      </c>
      <c r="J338" s="3">
        <f>IF(B338&lt;='Input sheet(dashboard)'!$D$27*12,'Input sheet(dashboard)'!$D$3*(1+'Input sheet(dashboard)'!$E$24)^B338,0)</f>
        <v>34624717.483294979</v>
      </c>
      <c r="K338" s="3">
        <f>IF(B338&lt;='Input sheet(dashboard)'!$D$27*12,J338*'Input sheet(dashboard)'!$E$8,0)</f>
        <v>35862.413143379323</v>
      </c>
      <c r="L338" s="3">
        <f>IF(B338&lt;='Input sheet(dashboard)'!$D$27*12,'Input sheet(dashboard)'!$D$9*(1+'Input sheet(dashboard)'!$E$22)^B338,0)</f>
        <v>5977.1730584145389</v>
      </c>
      <c r="M338" s="3">
        <f>IF(B338=1,'Input sheet(dashboard)'!$D$3*'Input sheet(dashboard)'!$D$10,0)</f>
        <v>0</v>
      </c>
      <c r="N338" s="3">
        <f>IF(B338='Input sheet(dashboard)'!$D$27*12,J338*'Input sheet(dashboard)'!$D$11,0)</f>
        <v>0</v>
      </c>
      <c r="O338" s="3">
        <f>IF(SUM(F338:F349)&gt;=150000,150000/12*'Input sheet(dashboard)'!$D$28,SUM(F338:F349)/12*'Input sheet(dashboard)'!$D$28)</f>
        <v>428.76214107844226</v>
      </c>
      <c r="P338" s="3">
        <f t="shared" si="51"/>
        <v>0</v>
      </c>
      <c r="Q338" s="3">
        <f>IF(B338&lt;='Input sheet(dashboard)'!$D$27*12,'Input sheet(dashboard)'!$D$12/12,0)</f>
        <v>192.5</v>
      </c>
      <c r="R338" s="3">
        <f>IF(B338&lt;='Input sheet(dashboard)'!$D$27*12,('Input sheet(dashboard)'!$D$15/12)*(1+'Input sheet(dashboard)'!$E$22)^Calculations!B338,0)</f>
        <v>664.13033982383763</v>
      </c>
      <c r="S338" s="3">
        <f>IF(B338&lt;='Input sheet(dashboard)'!$D$27*12,(E338+G338+K338+L338-O338+M338+Q338+R338),0)</f>
        <v>85288.323356579174</v>
      </c>
      <c r="T338" s="3">
        <f>IF(B338&lt;='Input sheet(dashboard)'!$D$27*12,IF(D338=12,SUM(S327:S338),0),0)</f>
        <v>0</v>
      </c>
      <c r="U338" s="3">
        <f>IF(B338&lt;='Input sheet(dashboard)'!$D$27*12,IF(S338&lt;AD338,AD338-S338,0),0)</f>
        <v>15440.189177319044</v>
      </c>
      <c r="V338" s="3">
        <f>IF(B338&lt;='Input sheet(dashboard)'!$D$27*12,V337*(1+'Input sheet(dashboard)'!$E$25)+U338,0)</f>
        <v>741359.97831291158</v>
      </c>
      <c r="W338" s="17">
        <f>IF(B338&lt;='Input sheet(dashboard)'!$D$27*12,J338-I338+V338-N338,0)</f>
        <v>34415876.366964698</v>
      </c>
      <c r="X338" s="3">
        <f>IF(B338&lt;='Input sheet(dashboard)'!$D$27*12,'Input sheet(dashboard)'!$D$17*(1+'Input sheet(dashboard)'!$E$23)^(B338-1),0)</f>
        <v>100728.51253389822</v>
      </c>
      <c r="Y338" s="3"/>
      <c r="Z338" s="18"/>
      <c r="AA338" s="18"/>
      <c r="AB338" s="3">
        <f>IF(B338=1,'Input sheet(dashboard)'!$D$18*Calculations!X338,IF(Calculations!B338=12*'Input sheet(dashboard)'!$D$27,'Input sheet(dashboard)'!$D$18*-Calculations!X338,0))</f>
        <v>0</v>
      </c>
      <c r="AC338" s="3">
        <f>IF(B338&lt;='Input sheet(dashboard)'!$D$27*12,IF(MOD(B337,'Input sheet(dashboard)'!$D$19*12),0,'Input sheet(dashboard)'!$D$20*(1+'Input sheet(dashboard)'!$E$22)^Calculations!B338),0)</f>
        <v>0</v>
      </c>
      <c r="AD338" s="17">
        <f t="shared" si="48"/>
        <v>100728.51253389822</v>
      </c>
      <c r="AE338" s="17">
        <f>IF(B338&lt;='Input sheet(dashboard)'!$D$27*12,IF(D338=12,SUM(AD327:AD338),0),0)</f>
        <v>0</v>
      </c>
      <c r="AF338" s="17">
        <f t="shared" si="49"/>
        <v>-15440.189177319044</v>
      </c>
      <c r="AG338" s="17">
        <f t="shared" si="50"/>
        <v>0</v>
      </c>
      <c r="AH338" s="3">
        <f>IF(B338&lt;='Input sheet(dashboard)'!$D$27*12,AH337*(1+'Input sheet(dashboard)'!$E$25)+AG338," ")</f>
        <v>29204841.133619379</v>
      </c>
    </row>
    <row r="339" spans="2:34">
      <c r="B339">
        <f t="shared" si="45"/>
        <v>336</v>
      </c>
      <c r="C339">
        <f t="shared" si="52"/>
        <v>28</v>
      </c>
      <c r="D339">
        <f t="shared" si="53"/>
        <v>12</v>
      </c>
      <c r="E339" s="15">
        <f>IF(C339&lt;='Input sheet(dashboard)'!$D$6, -PMT('Input sheet(dashboard)'!$E$5,'Input sheet(dashboard)'!$D$6*12,'Input sheet(dashboard)'!$D$3*'Input sheet(dashboard)'!$D$4),0)</f>
        <v>39834.137922259193</v>
      </c>
      <c r="F339" s="3">
        <f>I338*'Input sheet(dashboard)'!$E$5</f>
        <v>3461.3817503696368</v>
      </c>
      <c r="G339" s="3">
        <f>IF(C339&lt;='Input sheet(dashboard)'!$D$6,E339*'Input sheet(dashboard)'!$D$7,0)</f>
        <v>3186.7310337807357</v>
      </c>
      <c r="H339" s="3">
        <f t="shared" si="46"/>
        <v>36372.756171889559</v>
      </c>
      <c r="I339" s="3">
        <f t="shared" si="47"/>
        <v>913828.33847130113</v>
      </c>
      <c r="J339" s="3">
        <f>IF(B339&lt;='Input sheet(dashboard)'!$D$27*12,'Input sheet(dashboard)'!$D$3*(1+'Input sheet(dashboard)'!$E$24)^B339,0)</f>
        <v>34765782.868295781</v>
      </c>
      <c r="K339" s="3">
        <f>IF(B339&lt;='Input sheet(dashboard)'!$D$27*12,J339*'Input sheet(dashboard)'!$E$8,0)</f>
        <v>36008.521053705794</v>
      </c>
      <c r="L339" s="3">
        <f>IF(B339&lt;='Input sheet(dashboard)'!$D$27*12,'Input sheet(dashboard)'!$D$9*(1+'Input sheet(dashboard)'!$E$22)^B339,0)</f>
        <v>5989.4850562713873</v>
      </c>
      <c r="M339" s="3">
        <f>IF(B339=1,'Input sheet(dashboard)'!$D$3*'Input sheet(dashboard)'!$D$10,0)</f>
        <v>0</v>
      </c>
      <c r="N339" s="3">
        <f>IF(B339='Input sheet(dashboard)'!$D$27*12,J339*'Input sheet(dashboard)'!$D$11,0)</f>
        <v>0</v>
      </c>
      <c r="O339" s="3">
        <f>IF(SUM(F339:F350)&gt;=150000,150000/12*'Input sheet(dashboard)'!$D$28,SUM(F339:F350)/12*'Input sheet(dashboard)'!$D$28)</f>
        <v>408.55792918611331</v>
      </c>
      <c r="P339" s="3">
        <f t="shared" si="51"/>
        <v>8021.1073688470469</v>
      </c>
      <c r="Q339" s="3">
        <f>IF(B339&lt;='Input sheet(dashboard)'!$D$27*12,'Input sheet(dashboard)'!$D$12/12,0)</f>
        <v>192.5</v>
      </c>
      <c r="R339" s="3">
        <f>IF(B339&lt;='Input sheet(dashboard)'!$D$27*12,('Input sheet(dashboard)'!$D$15/12)*(1+'Input sheet(dashboard)'!$E$22)^Calculations!B339,0)</f>
        <v>665.49833958570969</v>
      </c>
      <c r="S339" s="3">
        <f>IF(B339&lt;='Input sheet(dashboard)'!$D$27*12,(E339+G339+K339+L339-O339+M339+Q339+R339),0)</f>
        <v>85468.315476416712</v>
      </c>
      <c r="T339" s="3">
        <f>IF(B339&lt;='Input sheet(dashboard)'!$D$27*12,IF(D339=12,SUM(S328:S339),0),0)</f>
        <v>1013891.7091569377</v>
      </c>
      <c r="U339" s="3">
        <f>IF(B339&lt;='Input sheet(dashboard)'!$D$27*12,IF(S339&lt;AD339,AD339-S339,0),0)</f>
        <v>15670.577486087379</v>
      </c>
      <c r="V339" s="3">
        <f>IF(B339&lt;='Input sheet(dashboard)'!$D$27*12,V338*(1+'Input sheet(dashboard)'!$E$25)+U339,0)</f>
        <v>761800.48822181567</v>
      </c>
      <c r="W339" s="17">
        <f>IF(B339&lt;='Input sheet(dashboard)'!$D$27*12,J339-I339+V339-N339,0)</f>
        <v>34613755.018046297</v>
      </c>
      <c r="X339" s="3">
        <f>IF(B339&lt;='Input sheet(dashboard)'!$D$27*12,'Input sheet(dashboard)'!$D$17*(1+'Input sheet(dashboard)'!$E$23)^(B339-1),0)</f>
        <v>101138.89296250409</v>
      </c>
      <c r="Y339" s="3"/>
      <c r="Z339" s="18"/>
      <c r="AA339" s="18"/>
      <c r="AB339" s="3">
        <f>IF(B339=1,'Input sheet(dashboard)'!$D$18*Calculations!X339,IF(Calculations!B339=12*'Input sheet(dashboard)'!$D$27,'Input sheet(dashboard)'!$D$18*-Calculations!X339,0))</f>
        <v>0</v>
      </c>
      <c r="AC339" s="3">
        <f>IF(B339&lt;='Input sheet(dashboard)'!$D$27*12,IF(MOD(B338,'Input sheet(dashboard)'!$D$19*12),0,'Input sheet(dashboard)'!$D$20*(1+'Input sheet(dashboard)'!$E$22)^Calculations!B339),0)</f>
        <v>0</v>
      </c>
      <c r="AD339" s="17">
        <f t="shared" si="48"/>
        <v>101138.89296250409</v>
      </c>
      <c r="AE339" s="17">
        <f>IF(B339&lt;='Input sheet(dashboard)'!$D$27*12,IF(D339=12,SUM(AD328:AD339),0),0)</f>
        <v>1186944.6188458067</v>
      </c>
      <c r="AF339" s="17">
        <f t="shared" si="49"/>
        <v>-15670.577486087379</v>
      </c>
      <c r="AG339" s="17">
        <f t="shared" si="50"/>
        <v>0</v>
      </c>
      <c r="AH339" s="3">
        <f>IF(B339&lt;='Input sheet(dashboard)'!$D$27*12,AH338*(1+'Input sheet(dashboard)'!$E$25)+AG339," ")</f>
        <v>29392745.960830953</v>
      </c>
    </row>
    <row r="340" spans="2:34">
      <c r="B340">
        <f t="shared" si="45"/>
        <v>337</v>
      </c>
      <c r="C340">
        <f t="shared" si="52"/>
        <v>29</v>
      </c>
      <c r="D340">
        <f t="shared" si="53"/>
        <v>1</v>
      </c>
      <c r="E340" s="15">
        <f>IF(C340&lt;='Input sheet(dashboard)'!$D$6, -PMT('Input sheet(dashboard)'!$E$5,'Input sheet(dashboard)'!$D$6*12,'Input sheet(dashboard)'!$D$3*'Input sheet(dashboard)'!$D$4),0)</f>
        <v>39834.137922259193</v>
      </c>
      <c r="F340" s="3">
        <f>I339*'Input sheet(dashboard)'!$E$5</f>
        <v>3328.8834874926615</v>
      </c>
      <c r="G340" s="3">
        <f>IF(C340&lt;='Input sheet(dashboard)'!$D$6,E340*'Input sheet(dashboard)'!$D$7,0)</f>
        <v>3186.7310337807357</v>
      </c>
      <c r="H340" s="3">
        <f t="shared" si="46"/>
        <v>36505.254434766532</v>
      </c>
      <c r="I340" s="3">
        <f t="shared" si="47"/>
        <v>877323.08403653465</v>
      </c>
      <c r="J340" s="3">
        <f>IF(B340&lt;='Input sheet(dashboard)'!$D$27*12,'Input sheet(dashboard)'!$D$3*(1+'Input sheet(dashboard)'!$E$24)^B340,0)</f>
        <v>34907422.971136659</v>
      </c>
      <c r="K340" s="3">
        <f>IF(B340&lt;='Input sheet(dashboard)'!$D$27*12,J340*'Input sheet(dashboard)'!$E$8,0)</f>
        <v>36155.2242257447</v>
      </c>
      <c r="L340" s="3">
        <f>IF(B340&lt;='Input sheet(dashboard)'!$D$27*12,'Input sheet(dashboard)'!$D$9*(1+'Input sheet(dashboard)'!$E$22)^B340,0)</f>
        <v>6001.822414827976</v>
      </c>
      <c r="M340" s="3">
        <f>IF(B340=1,'Input sheet(dashboard)'!$D$3*'Input sheet(dashboard)'!$D$10,0)</f>
        <v>0</v>
      </c>
      <c r="N340" s="3">
        <f>IF(B340='Input sheet(dashboard)'!$D$27*12,J340*'Input sheet(dashboard)'!$D$11,0)</f>
        <v>0</v>
      </c>
      <c r="O340" s="3">
        <f>IF(SUM(F340:F351)&gt;=150000,150000/12*'Input sheet(dashboard)'!$D$28,SUM(F340:F351)/12*'Input sheet(dashboard)'!$D$28)</f>
        <v>388.28011762028473</v>
      </c>
      <c r="P340" s="3">
        <f t="shared" si="51"/>
        <v>0</v>
      </c>
      <c r="Q340" s="3">
        <f>IF(B340&lt;='Input sheet(dashboard)'!$D$27*12,'Input sheet(dashboard)'!$D$12/12,0)</f>
        <v>192.5</v>
      </c>
      <c r="R340" s="3">
        <f>IF(B340&lt;='Input sheet(dashboard)'!$D$27*12,('Input sheet(dashboard)'!$D$15/12)*(1+'Input sheet(dashboard)'!$E$22)^Calculations!B340,0)</f>
        <v>666.86915720310844</v>
      </c>
      <c r="S340" s="3">
        <f>IF(B340&lt;='Input sheet(dashboard)'!$D$27*12,(E340+G340+K340+L340-O340+M340+Q340+R340),0)</f>
        <v>85649.004636195416</v>
      </c>
      <c r="T340" s="3">
        <f>IF(B340&lt;='Input sheet(dashboard)'!$D$27*12,IF(D340=12,SUM(S329:S340),0),0)</f>
        <v>0</v>
      </c>
      <c r="U340" s="3">
        <f>IF(B340&lt;='Input sheet(dashboard)'!$D$27*12,IF(S340&lt;AD340,AD340-S340,0),0)</f>
        <v>15901.940695579091</v>
      </c>
      <c r="V340" s="3">
        <f>IF(B340&lt;='Input sheet(dashboard)'!$D$27*12,V339*(1+'Input sheet(dashboard)'!$E$25)+U340,0)</f>
        <v>782603.87619642925</v>
      </c>
      <c r="W340" s="17">
        <f>IF(B340&lt;='Input sheet(dashboard)'!$D$27*12,J340-I340+V340-N340,0)</f>
        <v>34812703.763296552</v>
      </c>
      <c r="X340" s="3">
        <f>IF(B340&lt;='Input sheet(dashboard)'!$D$27*12,'Input sheet(dashboard)'!$D$17*(1+'Input sheet(dashboard)'!$E$23)^(B340-1),0)</f>
        <v>101550.94533177451</v>
      </c>
      <c r="Y340" s="3"/>
      <c r="Z340" s="18"/>
      <c r="AA340" s="18"/>
      <c r="AB340" s="3">
        <f>IF(B340=1,'Input sheet(dashboard)'!$D$18*Calculations!X340,IF(Calculations!B340=12*'Input sheet(dashboard)'!$D$27,'Input sheet(dashboard)'!$D$18*-Calculations!X340,0))</f>
        <v>0</v>
      </c>
      <c r="AC340" s="3">
        <f>IF(B340&lt;='Input sheet(dashboard)'!$D$27*12,IF(MOD(B339,'Input sheet(dashboard)'!$D$19*12),0,'Input sheet(dashboard)'!$D$20*(1+'Input sheet(dashboard)'!$E$22)^Calculations!B340),0)</f>
        <v>0</v>
      </c>
      <c r="AD340" s="17">
        <f t="shared" si="48"/>
        <v>101550.94533177451</v>
      </c>
      <c r="AE340" s="17">
        <f>IF(B340&lt;='Input sheet(dashboard)'!$D$27*12,IF(D340=12,SUM(AD329:AD340),0),0)</f>
        <v>0</v>
      </c>
      <c r="AF340" s="17">
        <f t="shared" si="49"/>
        <v>-15901.940695579091</v>
      </c>
      <c r="AG340" s="17">
        <f t="shared" si="50"/>
        <v>0</v>
      </c>
      <c r="AH340" s="3">
        <f>IF(B340&lt;='Input sheet(dashboard)'!$D$27*12,AH339*(1+'Input sheet(dashboard)'!$E$25)+AG340," ")</f>
        <v>29581859.773358621</v>
      </c>
    </row>
    <row r="341" spans="2:34">
      <c r="B341">
        <f t="shared" si="45"/>
        <v>338</v>
      </c>
      <c r="C341">
        <f t="shared" si="52"/>
        <v>29</v>
      </c>
      <c r="D341">
        <f t="shared" si="53"/>
        <v>2</v>
      </c>
      <c r="E341" s="15">
        <f>IF(C341&lt;='Input sheet(dashboard)'!$D$6, -PMT('Input sheet(dashboard)'!$E$5,'Input sheet(dashboard)'!$D$6*12,'Input sheet(dashboard)'!$D$3*'Input sheet(dashboard)'!$D$4),0)</f>
        <v>39834.137922259193</v>
      </c>
      <c r="F341" s="3">
        <f>I340*'Input sheet(dashboard)'!$E$5</f>
        <v>3195.9025614492643</v>
      </c>
      <c r="G341" s="3">
        <f>IF(C341&lt;='Input sheet(dashboard)'!$D$6,E341*'Input sheet(dashboard)'!$D$7,0)</f>
        <v>3186.7310337807357</v>
      </c>
      <c r="H341" s="3">
        <f t="shared" si="46"/>
        <v>36638.235360809929</v>
      </c>
      <c r="I341" s="3">
        <f t="shared" si="47"/>
        <v>840684.8486757247</v>
      </c>
      <c r="J341" s="3">
        <f>IF(B341&lt;='Input sheet(dashboard)'!$D$27*12,'Input sheet(dashboard)'!$D$3*(1+'Input sheet(dashboard)'!$E$24)^B341,0)</f>
        <v>35049640.13328924</v>
      </c>
      <c r="K341" s="3">
        <f>IF(B341&lt;='Input sheet(dashboard)'!$D$27*12,J341*'Input sheet(dashboard)'!$E$8,0)</f>
        <v>36302.525084665947</v>
      </c>
      <c r="L341" s="3">
        <f>IF(B341&lt;='Input sheet(dashboard)'!$D$27*12,'Input sheet(dashboard)'!$D$9*(1+'Input sheet(dashboard)'!$E$22)^B341,0)</f>
        <v>6014.1851863231941</v>
      </c>
      <c r="M341" s="3">
        <f>IF(B341=1,'Input sheet(dashboard)'!$D$3*'Input sheet(dashboard)'!$D$10,0)</f>
        <v>0</v>
      </c>
      <c r="N341" s="3">
        <f>IF(B341='Input sheet(dashboard)'!$D$27*12,J341*'Input sheet(dashboard)'!$D$11,0)</f>
        <v>0</v>
      </c>
      <c r="O341" s="3">
        <f>IF(SUM(F341:F352)&gt;=150000,150000/12*'Input sheet(dashboard)'!$D$28,SUM(F341:F352)/12*'Input sheet(dashboard)'!$D$28)</f>
        <v>367.92843827290227</v>
      </c>
      <c r="P341" s="3">
        <f t="shared" si="51"/>
        <v>0</v>
      </c>
      <c r="Q341" s="3">
        <f>IF(B341&lt;='Input sheet(dashboard)'!$D$27*12,'Input sheet(dashboard)'!$D$12/12,0)</f>
        <v>192.5</v>
      </c>
      <c r="R341" s="3">
        <f>IF(B341&lt;='Input sheet(dashboard)'!$D$27*12,('Input sheet(dashboard)'!$D$15/12)*(1+'Input sheet(dashboard)'!$E$22)^Calculations!B341,0)</f>
        <v>668.24279848035496</v>
      </c>
      <c r="S341" s="3">
        <f>IF(B341&lt;='Input sheet(dashboard)'!$D$27*12,(E341+G341+K341+L341-O341+M341+Q341+R341),0)</f>
        <v>85830.393587236511</v>
      </c>
      <c r="T341" s="3">
        <f>IF(B341&lt;='Input sheet(dashboard)'!$D$27*12,IF(D341=12,SUM(S330:S341),0),0)</f>
        <v>0</v>
      </c>
      <c r="U341" s="3">
        <f>IF(B341&lt;='Input sheet(dashboard)'!$D$27*12,IF(S341&lt;AD341,AD341-S341,0),0)</f>
        <v>16134.282866166148</v>
      </c>
      <c r="V341" s="3">
        <f>IF(B341&lt;='Input sheet(dashboard)'!$D$27*12,V340*(1+'Input sheet(dashboard)'!$E$25)+U341,0)</f>
        <v>803773.45596624864</v>
      </c>
      <c r="W341" s="17">
        <f>IF(B341&lt;='Input sheet(dashboard)'!$D$27*12,J341-I341+V341-N341,0)</f>
        <v>35012728.740579762</v>
      </c>
      <c r="X341" s="3">
        <f>IF(B341&lt;='Input sheet(dashboard)'!$D$27*12,'Input sheet(dashboard)'!$D$17*(1+'Input sheet(dashboard)'!$E$23)^(B341-1),0)</f>
        <v>101964.67645340266</v>
      </c>
      <c r="Y341" s="3"/>
      <c r="Z341" s="18"/>
      <c r="AA341" s="18"/>
      <c r="AB341" s="3">
        <f>IF(B341=1,'Input sheet(dashboard)'!$D$18*Calculations!X341,IF(Calculations!B341=12*'Input sheet(dashboard)'!$D$27,'Input sheet(dashboard)'!$D$18*-Calculations!X341,0))</f>
        <v>0</v>
      </c>
      <c r="AC341" s="3">
        <f>IF(B341&lt;='Input sheet(dashboard)'!$D$27*12,IF(MOD(B340,'Input sheet(dashboard)'!$D$19*12),0,'Input sheet(dashboard)'!$D$20*(1+'Input sheet(dashboard)'!$E$22)^Calculations!B341),0)</f>
        <v>0</v>
      </c>
      <c r="AD341" s="17">
        <f t="shared" si="48"/>
        <v>101964.67645340266</v>
      </c>
      <c r="AE341" s="17">
        <f>IF(B341&lt;='Input sheet(dashboard)'!$D$27*12,IF(D341=12,SUM(AD330:AD341),0),0)</f>
        <v>0</v>
      </c>
      <c r="AF341" s="17">
        <f t="shared" si="49"/>
        <v>-16134.282866166148</v>
      </c>
      <c r="AG341" s="17">
        <f t="shared" si="50"/>
        <v>0</v>
      </c>
      <c r="AH341" s="3">
        <f>IF(B341&lt;='Input sheet(dashboard)'!$D$27*12,AH340*(1+'Input sheet(dashboard)'!$E$25)+AG341," ")</f>
        <v>29772190.349850308</v>
      </c>
    </row>
    <row r="342" spans="2:34">
      <c r="B342">
        <f t="shared" si="45"/>
        <v>339</v>
      </c>
      <c r="C342">
        <f t="shared" si="52"/>
        <v>29</v>
      </c>
      <c r="D342">
        <f t="shared" si="53"/>
        <v>3</v>
      </c>
      <c r="E342" s="15">
        <f>IF(C342&lt;='Input sheet(dashboard)'!$D$6, -PMT('Input sheet(dashboard)'!$E$5,'Input sheet(dashboard)'!$D$6*12,'Input sheet(dashboard)'!$D$3*'Input sheet(dashboard)'!$D$4),0)</f>
        <v>39834.137922259193</v>
      </c>
      <c r="F342" s="3">
        <f>I341*'Input sheet(dashboard)'!$E$5</f>
        <v>3062.4372139995471</v>
      </c>
      <c r="G342" s="3">
        <f>IF(C342&lt;='Input sheet(dashboard)'!$D$6,E342*'Input sheet(dashboard)'!$D$7,0)</f>
        <v>3186.7310337807357</v>
      </c>
      <c r="H342" s="3">
        <f t="shared" si="46"/>
        <v>36771.700708259646</v>
      </c>
      <c r="I342" s="3">
        <f t="shared" si="47"/>
        <v>803913.14796746511</v>
      </c>
      <c r="J342" s="3">
        <f>IF(B342&lt;='Input sheet(dashboard)'!$D$27*12,'Input sheet(dashboard)'!$D$3*(1+'Input sheet(dashboard)'!$E$24)^B342,0)</f>
        <v>35192436.705764592</v>
      </c>
      <c r="K342" s="3">
        <f>IF(B342&lt;='Input sheet(dashboard)'!$D$27*12,J342*'Input sheet(dashboard)'!$E$8,0)</f>
        <v>36450.426065519874</v>
      </c>
      <c r="L342" s="3">
        <f>IF(B342&lt;='Input sheet(dashboard)'!$D$27*12,'Input sheet(dashboard)'!$D$9*(1+'Input sheet(dashboard)'!$E$22)^B342,0)</f>
        <v>6026.5734231035331</v>
      </c>
      <c r="M342" s="3">
        <f>IF(B342=1,'Input sheet(dashboard)'!$D$3*'Input sheet(dashboard)'!$D$10,0)</f>
        <v>0</v>
      </c>
      <c r="N342" s="3">
        <f>IF(B342='Input sheet(dashboard)'!$D$27*12,J342*'Input sheet(dashboard)'!$D$11,0)</f>
        <v>0</v>
      </c>
      <c r="O342" s="3">
        <f>IF(SUM(F342:F353)&gt;=150000,150000/12*'Input sheet(dashboard)'!$D$28,SUM(F342:F353)/12*'Input sheet(dashboard)'!$D$28)</f>
        <v>347.50262205925054</v>
      </c>
      <c r="P342" s="3">
        <f t="shared" si="51"/>
        <v>0</v>
      </c>
      <c r="Q342" s="3">
        <f>IF(B342&lt;='Input sheet(dashboard)'!$D$27*12,'Input sheet(dashboard)'!$D$12/12,0)</f>
        <v>192.5</v>
      </c>
      <c r="R342" s="3">
        <f>IF(B342&lt;='Input sheet(dashboard)'!$D$27*12,('Input sheet(dashboard)'!$D$15/12)*(1+'Input sheet(dashboard)'!$E$22)^Calculations!B342,0)</f>
        <v>669.61926923372596</v>
      </c>
      <c r="S342" s="3">
        <f>IF(B342&lt;='Input sheet(dashboard)'!$D$27*12,(E342+G342+K342+L342-O342+M342+Q342+R342),0)</f>
        <v>86012.485091837807</v>
      </c>
      <c r="T342" s="3">
        <f>IF(B342&lt;='Input sheet(dashboard)'!$D$27*12,IF(D342=12,SUM(S331:S342),0),0)</f>
        <v>0</v>
      </c>
      <c r="U342" s="3">
        <f>IF(B342&lt;='Input sheet(dashboard)'!$D$27*12,IF(S342&lt;AD342,AD342-S342,0),0)</f>
        <v>16367.608074995675</v>
      </c>
      <c r="V342" s="3">
        <f>IF(B342&lt;='Input sheet(dashboard)'!$D$27*12,V341*(1+'Input sheet(dashboard)'!$E$25)+U342,0)</f>
        <v>825312.56665855274</v>
      </c>
      <c r="W342" s="17">
        <f>IF(B342&lt;='Input sheet(dashboard)'!$D$27*12,J342-I342+V342-N342,0)</f>
        <v>35213836.124455675</v>
      </c>
      <c r="X342" s="3">
        <f>IF(B342&lt;='Input sheet(dashboard)'!$D$27*12,'Input sheet(dashboard)'!$D$17*(1+'Input sheet(dashboard)'!$E$23)^(B342-1),0)</f>
        <v>102380.09316683348</v>
      </c>
      <c r="Y342" s="3"/>
      <c r="Z342" s="18"/>
      <c r="AA342" s="18"/>
      <c r="AB342" s="3">
        <f>IF(B342=1,'Input sheet(dashboard)'!$D$18*Calculations!X342,IF(Calculations!B342=12*'Input sheet(dashboard)'!$D$27,'Input sheet(dashboard)'!$D$18*-Calculations!X342,0))</f>
        <v>0</v>
      </c>
      <c r="AC342" s="3">
        <f>IF(B342&lt;='Input sheet(dashboard)'!$D$27*12,IF(MOD(B341,'Input sheet(dashboard)'!$D$19*12),0,'Input sheet(dashboard)'!$D$20*(1+'Input sheet(dashboard)'!$E$22)^Calculations!B342),0)</f>
        <v>0</v>
      </c>
      <c r="AD342" s="17">
        <f t="shared" si="48"/>
        <v>102380.09316683348</v>
      </c>
      <c r="AE342" s="17">
        <f>IF(B342&lt;='Input sheet(dashboard)'!$D$27*12,IF(D342=12,SUM(AD331:AD342),0),0)</f>
        <v>0</v>
      </c>
      <c r="AF342" s="17">
        <f t="shared" si="49"/>
        <v>-16367.608074995675</v>
      </c>
      <c r="AG342" s="17">
        <f t="shared" si="50"/>
        <v>0</v>
      </c>
      <c r="AH342" s="3">
        <f>IF(B342&lt;='Input sheet(dashboard)'!$D$27*12,AH341*(1+'Input sheet(dashboard)'!$E$25)+AG342," ")</f>
        <v>29963745.519001998</v>
      </c>
    </row>
    <row r="343" spans="2:34">
      <c r="B343">
        <f t="shared" si="45"/>
        <v>340</v>
      </c>
      <c r="C343">
        <f t="shared" si="52"/>
        <v>29</v>
      </c>
      <c r="D343">
        <f t="shared" si="53"/>
        <v>4</v>
      </c>
      <c r="E343" s="15">
        <f>IF(C343&lt;='Input sheet(dashboard)'!$D$6, -PMT('Input sheet(dashboard)'!$E$5,'Input sheet(dashboard)'!$D$6*12,'Input sheet(dashboard)'!$D$3*'Input sheet(dashboard)'!$D$4),0)</f>
        <v>39834.137922259193</v>
      </c>
      <c r="F343" s="3">
        <f>I342*'Input sheet(dashboard)'!$E$5</f>
        <v>2928.4856804987157</v>
      </c>
      <c r="G343" s="3">
        <f>IF(C343&lt;='Input sheet(dashboard)'!$D$6,E343*'Input sheet(dashboard)'!$D$7,0)</f>
        <v>3186.7310337807357</v>
      </c>
      <c r="H343" s="3">
        <f t="shared" si="46"/>
        <v>36905.652241760479</v>
      </c>
      <c r="I343" s="3">
        <f t="shared" si="47"/>
        <v>767007.49572570459</v>
      </c>
      <c r="J343" s="3">
        <f>IF(B343&lt;='Input sheet(dashboard)'!$D$27*12,'Input sheet(dashboard)'!$D$3*(1+'Input sheet(dashboard)'!$E$24)^B343,0)</f>
        <v>35335815.049152084</v>
      </c>
      <c r="K343" s="3">
        <f>IF(B343&lt;='Input sheet(dashboard)'!$D$27*12,J343*'Input sheet(dashboard)'!$E$8,0)</f>
        <v>36598.92961327752</v>
      </c>
      <c r="L343" s="3">
        <f>IF(B343&lt;='Input sheet(dashboard)'!$D$27*12,'Input sheet(dashboard)'!$D$9*(1+'Input sheet(dashboard)'!$E$22)^B343,0)</f>
        <v>6038.987177623314</v>
      </c>
      <c r="M343" s="3">
        <f>IF(B343=1,'Input sheet(dashboard)'!$D$3*'Input sheet(dashboard)'!$D$10,0)</f>
        <v>0</v>
      </c>
      <c r="N343" s="3">
        <f>IF(B343='Input sheet(dashboard)'!$D$27*12,J343*'Input sheet(dashboard)'!$D$11,0)</f>
        <v>0</v>
      </c>
      <c r="O343" s="3">
        <f>IF(SUM(F343:F354)&gt;=150000,150000/12*'Input sheet(dashboard)'!$D$28,SUM(F343:F354)/12*'Input sheet(dashboard)'!$D$28)</f>
        <v>327.00239891439571</v>
      </c>
      <c r="P343" s="3">
        <f t="shared" si="51"/>
        <v>0</v>
      </c>
      <c r="Q343" s="3">
        <f>IF(B343&lt;='Input sheet(dashboard)'!$D$27*12,'Input sheet(dashboard)'!$D$12/12,0)</f>
        <v>192.5</v>
      </c>
      <c r="R343" s="3">
        <f>IF(B343&lt;='Input sheet(dashboard)'!$D$27*12,('Input sheet(dashboard)'!$D$15/12)*(1+'Input sheet(dashboard)'!$E$22)^Calculations!B343,0)</f>
        <v>670.99857529147926</v>
      </c>
      <c r="S343" s="3">
        <f>IF(B343&lt;='Input sheet(dashboard)'!$D$27*12,(E343+G343+K343+L343-O343+M343+Q343+R343),0)</f>
        <v>86195.281923317845</v>
      </c>
      <c r="T343" s="3">
        <f>IF(B343&lt;='Input sheet(dashboard)'!$D$27*12,IF(D343=12,SUM(S332:S343),0),0)</f>
        <v>0</v>
      </c>
      <c r="U343" s="3">
        <f>IF(B343&lt;='Input sheet(dashboard)'!$D$27*12,IF(S343&lt;AD343,AD343-S343,0),0)</f>
        <v>16601.920416058783</v>
      </c>
      <c r="V343" s="3">
        <f>IF(B343&lt;='Input sheet(dashboard)'!$D$27*12,V342*(1+'Input sheet(dashboard)'!$E$25)+U343,0)</f>
        <v>847224.57297865686</v>
      </c>
      <c r="W343" s="17">
        <f>IF(B343&lt;='Input sheet(dashboard)'!$D$27*12,J343-I343+V343-N343,0)</f>
        <v>35416032.126405038</v>
      </c>
      <c r="X343" s="3">
        <f>IF(B343&lt;='Input sheet(dashboard)'!$D$27*12,'Input sheet(dashboard)'!$D$17*(1+'Input sheet(dashboard)'!$E$23)^(B343-1),0)</f>
        <v>102797.20233937663</v>
      </c>
      <c r="Y343" s="3"/>
      <c r="Z343" s="18"/>
      <c r="AA343" s="18"/>
      <c r="AB343" s="3">
        <f>IF(B343=1,'Input sheet(dashboard)'!$D$18*Calculations!X343,IF(Calculations!B343=12*'Input sheet(dashboard)'!$D$27,'Input sheet(dashboard)'!$D$18*-Calculations!X343,0))</f>
        <v>0</v>
      </c>
      <c r="AC343" s="3">
        <f>IF(B343&lt;='Input sheet(dashboard)'!$D$27*12,IF(MOD(B342,'Input sheet(dashboard)'!$D$19*12),0,'Input sheet(dashboard)'!$D$20*(1+'Input sheet(dashboard)'!$E$22)^Calculations!B343),0)</f>
        <v>0</v>
      </c>
      <c r="AD343" s="17">
        <f t="shared" si="48"/>
        <v>102797.20233937663</v>
      </c>
      <c r="AE343" s="17">
        <f>IF(B343&lt;='Input sheet(dashboard)'!$D$27*12,IF(D343=12,SUM(AD332:AD343),0),0)</f>
        <v>0</v>
      </c>
      <c r="AF343" s="17">
        <f t="shared" si="49"/>
        <v>-16601.920416058783</v>
      </c>
      <c r="AG343" s="17">
        <f t="shared" si="50"/>
        <v>0</v>
      </c>
      <c r="AH343" s="3">
        <f>IF(B343&lt;='Input sheet(dashboard)'!$D$27*12,AH342*(1+'Input sheet(dashboard)'!$E$25)+AG343," ")</f>
        <v>30156533.159879737</v>
      </c>
    </row>
    <row r="344" spans="2:34">
      <c r="B344">
        <f t="shared" si="45"/>
        <v>341</v>
      </c>
      <c r="C344">
        <f t="shared" si="52"/>
        <v>29</v>
      </c>
      <c r="D344">
        <f t="shared" si="53"/>
        <v>5</v>
      </c>
      <c r="E344" s="15">
        <f>IF(C344&lt;='Input sheet(dashboard)'!$D$6, -PMT('Input sheet(dashboard)'!$E$5,'Input sheet(dashboard)'!$D$6*12,'Input sheet(dashboard)'!$D$3*'Input sheet(dashboard)'!$D$4),0)</f>
        <v>39834.137922259193</v>
      </c>
      <c r="F344" s="3">
        <f>I343*'Input sheet(dashboard)'!$E$5</f>
        <v>2794.0461898737472</v>
      </c>
      <c r="G344" s="3">
        <f>IF(C344&lt;='Input sheet(dashboard)'!$D$6,E344*'Input sheet(dashboard)'!$D$7,0)</f>
        <v>3186.7310337807357</v>
      </c>
      <c r="H344" s="3">
        <f t="shared" si="46"/>
        <v>37040.091732385445</v>
      </c>
      <c r="I344" s="3">
        <f t="shared" si="47"/>
        <v>729967.40399331914</v>
      </c>
      <c r="J344" s="3">
        <f>IF(B344&lt;='Input sheet(dashboard)'!$D$27*12,'Input sheet(dashboard)'!$D$3*(1+'Input sheet(dashboard)'!$E$24)^B344,0)</f>
        <v>35479777.533658445</v>
      </c>
      <c r="K344" s="3">
        <f>IF(B344&lt;='Input sheet(dashboard)'!$D$27*12,J344*'Input sheet(dashboard)'!$E$8,0)</f>
        <v>36748.03818287106</v>
      </c>
      <c r="L344" s="3">
        <f>IF(B344&lt;='Input sheet(dashboard)'!$D$27*12,'Input sheet(dashboard)'!$D$9*(1+'Input sheet(dashboard)'!$E$22)^B344,0)</f>
        <v>6051.426502444896</v>
      </c>
      <c r="M344" s="3">
        <f>IF(B344=1,'Input sheet(dashboard)'!$D$3*'Input sheet(dashboard)'!$D$10,0)</f>
        <v>0</v>
      </c>
      <c r="N344" s="3">
        <f>IF(B344='Input sheet(dashboard)'!$D$27*12,J344*'Input sheet(dashboard)'!$D$11,0)</f>
        <v>0</v>
      </c>
      <c r="O344" s="3">
        <f>IF(SUM(F344:F355)&gt;=150000,150000/12*'Input sheet(dashboard)'!$D$28,SUM(F344:F355)/12*'Input sheet(dashboard)'!$D$28)</f>
        <v>306.42749778961416</v>
      </c>
      <c r="P344" s="3">
        <f t="shared" si="51"/>
        <v>0</v>
      </c>
      <c r="Q344" s="3">
        <f>IF(B344&lt;='Input sheet(dashboard)'!$D$27*12,'Input sheet(dashboard)'!$D$12/12,0)</f>
        <v>192.5</v>
      </c>
      <c r="R344" s="3">
        <f>IF(B344&lt;='Input sheet(dashboard)'!$D$27*12,('Input sheet(dashboard)'!$D$15/12)*(1+'Input sheet(dashboard)'!$E$22)^Calculations!B344,0)</f>
        <v>672.38072249387722</v>
      </c>
      <c r="S344" s="3">
        <f>IF(B344&lt;='Input sheet(dashboard)'!$D$27*12,(E344+G344+K344+L344-O344+M344+Q344+R344),0)</f>
        <v>86378.786866060153</v>
      </c>
      <c r="T344" s="3">
        <f>IF(B344&lt;='Input sheet(dashboard)'!$D$27*12,IF(D344=12,SUM(S333:S344),0),0)</f>
        <v>0</v>
      </c>
      <c r="U344" s="3">
        <f>IF(B344&lt;='Input sheet(dashboard)'!$D$27*12,IF(S344&lt;AD344,AD344-S344,0),0)</f>
        <v>16837.224000259841</v>
      </c>
      <c r="V344" s="3">
        <f>IF(B344&lt;='Input sheet(dashboard)'!$D$27*12,V343*(1+'Input sheet(dashboard)'!$E$25)+U344,0)</f>
        <v>869512.86539139622</v>
      </c>
      <c r="W344" s="17">
        <f>IF(B344&lt;='Input sheet(dashboard)'!$D$27*12,J344-I344+V344-N344,0)</f>
        <v>35619322.995056525</v>
      </c>
      <c r="X344" s="3">
        <f>IF(B344&lt;='Input sheet(dashboard)'!$D$27*12,'Input sheet(dashboard)'!$D$17*(1+'Input sheet(dashboard)'!$E$23)^(B344-1),0)</f>
        <v>103216.01086631999</v>
      </c>
      <c r="Y344" s="3"/>
      <c r="Z344" s="18"/>
      <c r="AA344" s="18"/>
      <c r="AB344" s="3">
        <f>IF(B344=1,'Input sheet(dashboard)'!$D$18*Calculations!X344,IF(Calculations!B344=12*'Input sheet(dashboard)'!$D$27,'Input sheet(dashboard)'!$D$18*-Calculations!X344,0))</f>
        <v>0</v>
      </c>
      <c r="AC344" s="3">
        <f>IF(B344&lt;='Input sheet(dashboard)'!$D$27*12,IF(MOD(B343,'Input sheet(dashboard)'!$D$19*12),0,'Input sheet(dashboard)'!$D$20*(1+'Input sheet(dashboard)'!$E$22)^Calculations!B344),0)</f>
        <v>0</v>
      </c>
      <c r="AD344" s="17">
        <f t="shared" si="48"/>
        <v>103216.01086631999</v>
      </c>
      <c r="AE344" s="17">
        <f>IF(B344&lt;='Input sheet(dashboard)'!$D$27*12,IF(D344=12,SUM(AD333:AD344),0),0)</f>
        <v>0</v>
      </c>
      <c r="AF344" s="17">
        <f t="shared" si="49"/>
        <v>-16837.224000259841</v>
      </c>
      <c r="AG344" s="17">
        <f t="shared" si="50"/>
        <v>0</v>
      </c>
      <c r="AH344" s="3">
        <f>IF(B344&lt;='Input sheet(dashboard)'!$D$27*12,AH343*(1+'Input sheet(dashboard)'!$E$25)+AG344," ")</f>
        <v>30350561.202243719</v>
      </c>
    </row>
    <row r="345" spans="2:34">
      <c r="B345">
        <f t="shared" si="45"/>
        <v>342</v>
      </c>
      <c r="C345">
        <f t="shared" si="52"/>
        <v>29</v>
      </c>
      <c r="D345">
        <f t="shared" si="53"/>
        <v>6</v>
      </c>
      <c r="E345" s="15">
        <f>IF(C345&lt;='Input sheet(dashboard)'!$D$6, -PMT('Input sheet(dashboard)'!$E$5,'Input sheet(dashboard)'!$D$6*12,'Input sheet(dashboard)'!$D$3*'Input sheet(dashboard)'!$D$4),0)</f>
        <v>39834.137922259193</v>
      </c>
      <c r="F345" s="3">
        <f>I344*'Input sheet(dashboard)'!$E$5</f>
        <v>2659.1169645999748</v>
      </c>
      <c r="G345" s="3">
        <f>IF(C345&lt;='Input sheet(dashboard)'!$D$6,E345*'Input sheet(dashboard)'!$D$7,0)</f>
        <v>3186.7310337807357</v>
      </c>
      <c r="H345" s="3">
        <f t="shared" si="46"/>
        <v>37175.020957659217</v>
      </c>
      <c r="I345" s="3">
        <f t="shared" si="47"/>
        <v>692792.38303565991</v>
      </c>
      <c r="J345" s="3">
        <f>IF(B345&lt;='Input sheet(dashboard)'!$D$27*12,'Input sheet(dashboard)'!$D$3*(1+'Input sheet(dashboard)'!$E$24)^B345,0)</f>
        <v>35624326.53914687</v>
      </c>
      <c r="K345" s="3">
        <f>IF(B345&lt;='Input sheet(dashboard)'!$D$27*12,J345*'Input sheet(dashboard)'!$E$8,0)</f>
        <v>36897.754239234309</v>
      </c>
      <c r="L345" s="3">
        <f>IF(B345&lt;='Input sheet(dashboard)'!$D$27*12,'Input sheet(dashboard)'!$D$9*(1+'Input sheet(dashboard)'!$E$22)^B345,0)</f>
        <v>6063.8914502389198</v>
      </c>
      <c r="M345" s="3">
        <f>IF(B345=1,'Input sheet(dashboard)'!$D$3*'Input sheet(dashboard)'!$D$10,0)</f>
        <v>0</v>
      </c>
      <c r="N345" s="3">
        <f>IF(B345='Input sheet(dashboard)'!$D$27*12,J345*'Input sheet(dashboard)'!$D$11,0)</f>
        <v>0</v>
      </c>
      <c r="O345" s="3">
        <f>IF(SUM(F345:F356)&gt;=150000,150000/12*'Input sheet(dashboard)'!$D$28,SUM(F345:F356)/12*'Input sheet(dashboard)'!$D$28)</f>
        <v>285.77764664880914</v>
      </c>
      <c r="P345" s="3">
        <f t="shared" si="51"/>
        <v>0</v>
      </c>
      <c r="Q345" s="3">
        <f>IF(B345&lt;='Input sheet(dashboard)'!$D$27*12,'Input sheet(dashboard)'!$D$12/12,0)</f>
        <v>192.5</v>
      </c>
      <c r="R345" s="3">
        <f>IF(B345&lt;='Input sheet(dashboard)'!$D$27*12,('Input sheet(dashboard)'!$D$15/12)*(1+'Input sheet(dashboard)'!$E$22)^Calculations!B345,0)</f>
        <v>673.76571669321322</v>
      </c>
      <c r="S345" s="3">
        <f>IF(B345&lt;='Input sheet(dashboard)'!$D$27*12,(E345+G345+K345+L345-O345+M345+Q345+R345),0)</f>
        <v>86563.002715557566</v>
      </c>
      <c r="T345" s="3">
        <f>IF(B345&lt;='Input sheet(dashboard)'!$D$27*12,IF(D345=12,SUM(S334:S345),0),0)</f>
        <v>0</v>
      </c>
      <c r="U345" s="3">
        <f>IF(B345&lt;='Input sheet(dashboard)'!$D$27*12,IF(S345&lt;AD345,AD345-S345,0),0)</f>
        <v>17073.522955486216</v>
      </c>
      <c r="V345" s="3">
        <f>IF(B345&lt;='Input sheet(dashboard)'!$D$27*12,V344*(1+'Input sheet(dashboard)'!$E$25)+U345,0)</f>
        <v>892180.86030384607</v>
      </c>
      <c r="W345" s="17">
        <f>IF(B345&lt;='Input sheet(dashboard)'!$D$27*12,J345-I345+V345-N345,0)</f>
        <v>35823715.01641506</v>
      </c>
      <c r="X345" s="3">
        <f>IF(B345&lt;='Input sheet(dashboard)'!$D$27*12,'Input sheet(dashboard)'!$D$17*(1+'Input sheet(dashboard)'!$E$23)^(B345-1),0)</f>
        <v>103636.52567104378</v>
      </c>
      <c r="Y345" s="3"/>
      <c r="Z345" s="18"/>
      <c r="AA345" s="18"/>
      <c r="AB345" s="3">
        <f>IF(B345=1,'Input sheet(dashboard)'!$D$18*Calculations!X345,IF(Calculations!B345=12*'Input sheet(dashboard)'!$D$27,'Input sheet(dashboard)'!$D$18*-Calculations!X345,0))</f>
        <v>0</v>
      </c>
      <c r="AC345" s="3">
        <f>IF(B345&lt;='Input sheet(dashboard)'!$D$27*12,IF(MOD(B344,'Input sheet(dashboard)'!$D$19*12),0,'Input sheet(dashboard)'!$D$20*(1+'Input sheet(dashboard)'!$E$22)^Calculations!B345),0)</f>
        <v>0</v>
      </c>
      <c r="AD345" s="17">
        <f t="shared" si="48"/>
        <v>103636.52567104378</v>
      </c>
      <c r="AE345" s="17">
        <f>IF(B345&lt;='Input sheet(dashboard)'!$D$27*12,IF(D345=12,SUM(AD334:AD345),0),0)</f>
        <v>0</v>
      </c>
      <c r="AF345" s="17">
        <f t="shared" si="49"/>
        <v>-17073.522955486216</v>
      </c>
      <c r="AG345" s="17">
        <f t="shared" si="50"/>
        <v>0</v>
      </c>
      <c r="AH345" s="3">
        <f>IF(B345&lt;='Input sheet(dashboard)'!$D$27*12,AH344*(1+'Input sheet(dashboard)'!$E$25)+AG345," ")</f>
        <v>30545837.626874458</v>
      </c>
    </row>
    <row r="346" spans="2:34">
      <c r="B346">
        <f t="shared" si="45"/>
        <v>343</v>
      </c>
      <c r="C346">
        <f t="shared" si="52"/>
        <v>29</v>
      </c>
      <c r="D346">
        <f t="shared" si="53"/>
        <v>7</v>
      </c>
      <c r="E346" s="15">
        <f>IF(C346&lt;='Input sheet(dashboard)'!$D$6, -PMT('Input sheet(dashboard)'!$E$5,'Input sheet(dashboard)'!$D$6*12,'Input sheet(dashboard)'!$D$3*'Input sheet(dashboard)'!$D$4),0)</f>
        <v>39834.137922259193</v>
      </c>
      <c r="F346" s="3">
        <f>I345*'Input sheet(dashboard)'!$E$5</f>
        <v>2523.6962206775847</v>
      </c>
      <c r="G346" s="3">
        <f>IF(C346&lt;='Input sheet(dashboard)'!$D$6,E346*'Input sheet(dashboard)'!$D$7,0)</f>
        <v>3186.7310337807357</v>
      </c>
      <c r="H346" s="3">
        <f t="shared" si="46"/>
        <v>37310.441701581607</v>
      </c>
      <c r="I346" s="3">
        <f t="shared" si="47"/>
        <v>655481.94133407832</v>
      </c>
      <c r="J346" s="3">
        <f>IF(B346&lt;='Input sheet(dashboard)'!$D$27*12,'Input sheet(dashboard)'!$D$3*(1+'Input sheet(dashboard)'!$E$24)^B346,0)</f>
        <v>35769464.455176458</v>
      </c>
      <c r="K346" s="3">
        <f>IF(B346&lt;='Input sheet(dashboard)'!$D$27*12,J346*'Input sheet(dashboard)'!$E$8,0)</f>
        <v>37048.080257343579</v>
      </c>
      <c r="L346" s="3">
        <f>IF(B346&lt;='Input sheet(dashboard)'!$D$27*12,'Input sheet(dashboard)'!$D$9*(1+'Input sheet(dashboard)'!$E$22)^B346,0)</f>
        <v>6076.3820737845117</v>
      </c>
      <c r="M346" s="3">
        <f>IF(B346=1,'Input sheet(dashboard)'!$D$3*'Input sheet(dashboard)'!$D$10,0)</f>
        <v>0</v>
      </c>
      <c r="N346" s="3">
        <f>IF(B346='Input sheet(dashboard)'!$D$27*12,J346*'Input sheet(dashboard)'!$D$11,0)</f>
        <v>0</v>
      </c>
      <c r="O346" s="3">
        <f>IF(SUM(F346:F357)&gt;=150000,150000/12*'Input sheet(dashboard)'!$D$28,SUM(F346:F357)/12*'Input sheet(dashboard)'!$D$28)</f>
        <v>265.05257246491408</v>
      </c>
      <c r="P346" s="3">
        <f t="shared" si="51"/>
        <v>0</v>
      </c>
      <c r="Q346" s="3">
        <f>IF(B346&lt;='Input sheet(dashboard)'!$D$27*12,'Input sheet(dashboard)'!$D$12/12,0)</f>
        <v>192.5</v>
      </c>
      <c r="R346" s="3">
        <f>IF(B346&lt;='Input sheet(dashboard)'!$D$27*12,('Input sheet(dashboard)'!$D$15/12)*(1+'Input sheet(dashboard)'!$E$22)^Calculations!B346,0)</f>
        <v>675.15356375383453</v>
      </c>
      <c r="S346" s="3">
        <f>IF(B346&lt;='Input sheet(dashboard)'!$D$27*12,(E346+G346+K346+L346-O346+M346+Q346+R346),0)</f>
        <v>86747.932278456938</v>
      </c>
      <c r="T346" s="3">
        <f>IF(B346&lt;='Input sheet(dashboard)'!$D$27*12,IF(D346=12,SUM(S335:S346),0),0)</f>
        <v>0</v>
      </c>
      <c r="U346" s="3">
        <f>IF(B346&lt;='Input sheet(dashboard)'!$D$27*12,IF(S346&lt;AD346,AD346-S346,0),0)</f>
        <v>17310.821426677925</v>
      </c>
      <c r="V346" s="3">
        <f>IF(B346&lt;='Input sheet(dashboard)'!$D$27*12,V345*(1+'Input sheet(dashboard)'!$E$25)+U346,0)</f>
        <v>915232.00024928781</v>
      </c>
      <c r="W346" s="17">
        <f>IF(B346&lt;='Input sheet(dashboard)'!$D$27*12,J346-I346+V346-N346,0)</f>
        <v>36029214.514091671</v>
      </c>
      <c r="X346" s="3">
        <f>IF(B346&lt;='Input sheet(dashboard)'!$D$27*12,'Input sheet(dashboard)'!$D$17*(1+'Input sheet(dashboard)'!$E$23)^(B346-1),0)</f>
        <v>104058.75370513486</v>
      </c>
      <c r="Y346" s="3"/>
      <c r="Z346" s="18"/>
      <c r="AA346" s="18"/>
      <c r="AB346" s="3">
        <f>IF(B346=1,'Input sheet(dashboard)'!$D$18*Calculations!X346,IF(Calculations!B346=12*'Input sheet(dashboard)'!$D$27,'Input sheet(dashboard)'!$D$18*-Calculations!X346,0))</f>
        <v>0</v>
      </c>
      <c r="AC346" s="3">
        <f>IF(B346&lt;='Input sheet(dashboard)'!$D$27*12,IF(MOD(B345,'Input sheet(dashboard)'!$D$19*12),0,'Input sheet(dashboard)'!$D$20*(1+'Input sheet(dashboard)'!$E$22)^Calculations!B346),0)</f>
        <v>0</v>
      </c>
      <c r="AD346" s="17">
        <f t="shared" si="48"/>
        <v>104058.75370513486</v>
      </c>
      <c r="AE346" s="17">
        <f>IF(B346&lt;='Input sheet(dashboard)'!$D$27*12,IF(D346=12,SUM(AD335:AD346),0),0)</f>
        <v>0</v>
      </c>
      <c r="AF346" s="17">
        <f t="shared" si="49"/>
        <v>-17310.821426677925</v>
      </c>
      <c r="AG346" s="17">
        <f t="shared" si="50"/>
        <v>0</v>
      </c>
      <c r="AH346" s="3">
        <f>IF(B346&lt;='Input sheet(dashboard)'!$D$27*12,AH345*(1+'Input sheet(dashboard)'!$E$25)+AG346," ")</f>
        <v>30742370.465901043</v>
      </c>
    </row>
    <row r="347" spans="2:34">
      <c r="B347">
        <f t="shared" si="45"/>
        <v>344</v>
      </c>
      <c r="C347">
        <f t="shared" si="52"/>
        <v>29</v>
      </c>
      <c r="D347">
        <f t="shared" si="53"/>
        <v>8</v>
      </c>
      <c r="E347" s="15">
        <f>IF(C347&lt;='Input sheet(dashboard)'!$D$6, -PMT('Input sheet(dashboard)'!$E$5,'Input sheet(dashboard)'!$D$6*12,'Input sheet(dashboard)'!$D$3*'Input sheet(dashboard)'!$D$4),0)</f>
        <v>39834.137922259193</v>
      </c>
      <c r="F347" s="3">
        <f>I346*'Input sheet(dashboard)'!$E$5</f>
        <v>2387.7821676080284</v>
      </c>
      <c r="G347" s="3">
        <f>IF(C347&lt;='Input sheet(dashboard)'!$D$6,E347*'Input sheet(dashboard)'!$D$7,0)</f>
        <v>3186.7310337807357</v>
      </c>
      <c r="H347" s="3">
        <f t="shared" si="46"/>
        <v>37446.355754651166</v>
      </c>
      <c r="I347" s="3">
        <f t="shared" si="47"/>
        <v>618035.58557942719</v>
      </c>
      <c r="J347" s="3">
        <f>IF(B347&lt;='Input sheet(dashboard)'!$D$27*12,'Input sheet(dashboard)'!$D$3*(1+'Input sheet(dashboard)'!$E$24)^B347,0)</f>
        <v>35915193.681041665</v>
      </c>
      <c r="K347" s="3">
        <f>IF(B347&lt;='Input sheet(dashboard)'!$D$27*12,J347*'Input sheet(dashboard)'!$E$8,0)</f>
        <v>37199.018722258545</v>
      </c>
      <c r="L347" s="3">
        <f>IF(B347&lt;='Input sheet(dashboard)'!$D$27*12,'Input sheet(dashboard)'!$D$9*(1+'Input sheet(dashboard)'!$E$22)^B347,0)</f>
        <v>6088.8984259695144</v>
      </c>
      <c r="M347" s="3">
        <f>IF(B347=1,'Input sheet(dashboard)'!$D$3*'Input sheet(dashboard)'!$D$10,0)</f>
        <v>0</v>
      </c>
      <c r="N347" s="3">
        <f>IF(B347='Input sheet(dashboard)'!$D$27*12,J347*'Input sheet(dashboard)'!$D$11,0)</f>
        <v>0</v>
      </c>
      <c r="O347" s="3">
        <f>IF(SUM(F347:F358)&gt;=150000,150000/12*'Input sheet(dashboard)'!$D$28,SUM(F347:F358)/12*'Input sheet(dashboard)'!$D$28)</f>
        <v>244.2520012162822</v>
      </c>
      <c r="P347" s="3">
        <f t="shared" si="51"/>
        <v>0</v>
      </c>
      <c r="Q347" s="3">
        <f>IF(B347&lt;='Input sheet(dashboard)'!$D$27*12,'Input sheet(dashboard)'!$D$12/12,0)</f>
        <v>192.5</v>
      </c>
      <c r="R347" s="3">
        <f>IF(B347&lt;='Input sheet(dashboard)'!$D$27*12,('Input sheet(dashboard)'!$D$15/12)*(1+'Input sheet(dashboard)'!$E$22)^Calculations!B347,0)</f>
        <v>676.5442695521682</v>
      </c>
      <c r="S347" s="3">
        <f>IF(B347&lt;='Input sheet(dashboard)'!$D$27*12,(E347+G347+K347+L347-O347+M347+Q347+R347),0)</f>
        <v>86933.578372603864</v>
      </c>
      <c r="T347" s="3">
        <f>IF(B347&lt;='Input sheet(dashboard)'!$D$27*12,IF(D347=12,SUM(S336:S347),0),0)</f>
        <v>0</v>
      </c>
      <c r="U347" s="3">
        <f>IF(B347&lt;='Input sheet(dashboard)'!$D$27*12,IF(S347&lt;AD347,AD347-S347,0),0)</f>
        <v>17549.123575897873</v>
      </c>
      <c r="V347" s="3">
        <f>IF(B347&lt;='Input sheet(dashboard)'!$D$27*12,V346*(1+'Input sheet(dashboard)'!$E$25)+U347,0)</f>
        <v>938669.75407242833</v>
      </c>
      <c r="W347" s="17">
        <f>IF(B347&lt;='Input sheet(dashboard)'!$D$27*12,J347-I347+V347-N347,0)</f>
        <v>36235827.849534668</v>
      </c>
      <c r="X347" s="3">
        <f>IF(B347&lt;='Input sheet(dashboard)'!$D$27*12,'Input sheet(dashboard)'!$D$17*(1+'Input sheet(dashboard)'!$E$23)^(B347-1),0)</f>
        <v>104482.70194850174</v>
      </c>
      <c r="Y347" s="3"/>
      <c r="Z347" s="18"/>
      <c r="AA347" s="18"/>
      <c r="AB347" s="3">
        <f>IF(B347=1,'Input sheet(dashboard)'!$D$18*Calculations!X347,IF(Calculations!B347=12*'Input sheet(dashboard)'!$D$27,'Input sheet(dashboard)'!$D$18*-Calculations!X347,0))</f>
        <v>0</v>
      </c>
      <c r="AC347" s="3">
        <f>IF(B347&lt;='Input sheet(dashboard)'!$D$27*12,IF(MOD(B346,'Input sheet(dashboard)'!$D$19*12),0,'Input sheet(dashboard)'!$D$20*(1+'Input sheet(dashboard)'!$E$22)^Calculations!B347),0)</f>
        <v>0</v>
      </c>
      <c r="AD347" s="17">
        <f t="shared" si="48"/>
        <v>104482.70194850174</v>
      </c>
      <c r="AE347" s="17">
        <f>IF(B347&lt;='Input sheet(dashboard)'!$D$27*12,IF(D347=12,SUM(AD336:AD347),0),0)</f>
        <v>0</v>
      </c>
      <c r="AF347" s="17">
        <f t="shared" si="49"/>
        <v>-17549.123575897873</v>
      </c>
      <c r="AG347" s="17">
        <f t="shared" si="50"/>
        <v>0</v>
      </c>
      <c r="AH347" s="3">
        <f>IF(B347&lt;='Input sheet(dashboard)'!$D$27*12,AH346*(1+'Input sheet(dashboard)'!$E$25)+AG347," ")</f>
        <v>30940167.803131532</v>
      </c>
    </row>
    <row r="348" spans="2:34">
      <c r="B348">
        <f t="shared" si="45"/>
        <v>345</v>
      </c>
      <c r="C348">
        <f t="shared" si="52"/>
        <v>29</v>
      </c>
      <c r="D348">
        <f t="shared" si="53"/>
        <v>9</v>
      </c>
      <c r="E348" s="15">
        <f>IF(C348&lt;='Input sheet(dashboard)'!$D$6, -PMT('Input sheet(dashboard)'!$E$5,'Input sheet(dashboard)'!$D$6*12,'Input sheet(dashboard)'!$D$3*'Input sheet(dashboard)'!$D$4),0)</f>
        <v>39834.137922259193</v>
      </c>
      <c r="F348" s="3">
        <f>I347*'Input sheet(dashboard)'!$E$5</f>
        <v>2251.3730083703513</v>
      </c>
      <c r="G348" s="3">
        <f>IF(C348&lt;='Input sheet(dashboard)'!$D$6,E348*'Input sheet(dashboard)'!$D$7,0)</f>
        <v>3186.7310337807357</v>
      </c>
      <c r="H348" s="3">
        <f t="shared" si="46"/>
        <v>37582.764913888845</v>
      </c>
      <c r="I348" s="3">
        <f t="shared" si="47"/>
        <v>580452.82066553831</v>
      </c>
      <c r="J348" s="3">
        <f>IF(B348&lt;='Input sheet(dashboard)'!$D$27*12,'Input sheet(dashboard)'!$D$3*(1+'Input sheet(dashboard)'!$E$24)^B348,0)</f>
        <v>36061516.625811942</v>
      </c>
      <c r="K348" s="3">
        <f>IF(B348&lt;='Input sheet(dashboard)'!$D$27*12,J348*'Input sheet(dashboard)'!$E$8,0)</f>
        <v>37350.572129163287</v>
      </c>
      <c r="L348" s="3">
        <f>IF(B348&lt;='Input sheet(dashboard)'!$D$27*12,'Input sheet(dashboard)'!$D$9*(1+'Input sheet(dashboard)'!$E$22)^B348,0)</f>
        <v>6101.4405597907162</v>
      </c>
      <c r="M348" s="3">
        <f>IF(B348=1,'Input sheet(dashboard)'!$D$3*'Input sheet(dashboard)'!$D$10,0)</f>
        <v>0</v>
      </c>
      <c r="N348" s="3">
        <f>IF(B348='Input sheet(dashboard)'!$D$27*12,J348*'Input sheet(dashboard)'!$D$11,0)</f>
        <v>0</v>
      </c>
      <c r="O348" s="3">
        <f>IF(SUM(F348:F359)&gt;=150000,150000/12*'Input sheet(dashboard)'!$D$28,SUM(F348:F359)/12*'Input sheet(dashboard)'!$D$28)</f>
        <v>223.37565788306404</v>
      </c>
      <c r="P348" s="3">
        <f t="shared" si="51"/>
        <v>0</v>
      </c>
      <c r="Q348" s="3">
        <f>IF(B348&lt;='Input sheet(dashboard)'!$D$27*12,'Input sheet(dashboard)'!$D$12/12,0)</f>
        <v>192.5</v>
      </c>
      <c r="R348" s="3">
        <f>IF(B348&lt;='Input sheet(dashboard)'!$D$27*12,('Input sheet(dashboard)'!$D$15/12)*(1+'Input sheet(dashboard)'!$E$22)^Calculations!B348,0)</f>
        <v>677.9378399767462</v>
      </c>
      <c r="S348" s="3">
        <f>IF(B348&lt;='Input sheet(dashboard)'!$D$27*12,(E348+G348+K348+L348-O348+M348+Q348+R348),0)</f>
        <v>87119.943827087613</v>
      </c>
      <c r="T348" s="3">
        <f>IF(B348&lt;='Input sheet(dashboard)'!$D$27*12,IF(D348=12,SUM(S337:S348),0),0)</f>
        <v>0</v>
      </c>
      <c r="U348" s="3">
        <f>IF(B348&lt;='Input sheet(dashboard)'!$D$27*12,IF(S348&lt;AD348,AD348-S348,0),0)</f>
        <v>17788.433582402387</v>
      </c>
      <c r="V348" s="3">
        <f>IF(B348&lt;='Input sheet(dashboard)'!$D$27*12,V347*(1+'Input sheet(dashboard)'!$E$25)+U348,0)</f>
        <v>962497.61711588223</v>
      </c>
      <c r="W348" s="17">
        <f>IF(B348&lt;='Input sheet(dashboard)'!$D$27*12,J348-I348+V348-N348,0)</f>
        <v>36443561.422262289</v>
      </c>
      <c r="X348" s="3">
        <f>IF(B348&lt;='Input sheet(dashboard)'!$D$27*12,'Input sheet(dashboard)'!$D$17*(1+'Input sheet(dashboard)'!$E$23)^(B348-1),0)</f>
        <v>104908.37740949</v>
      </c>
      <c r="Y348" s="3"/>
      <c r="Z348" s="18"/>
      <c r="AA348" s="18"/>
      <c r="AB348" s="3">
        <f>IF(B348=1,'Input sheet(dashboard)'!$D$18*Calculations!X348,IF(Calculations!B348=12*'Input sheet(dashboard)'!$D$27,'Input sheet(dashboard)'!$D$18*-Calculations!X348,0))</f>
        <v>0</v>
      </c>
      <c r="AC348" s="3">
        <f>IF(B348&lt;='Input sheet(dashboard)'!$D$27*12,IF(MOD(B347,'Input sheet(dashboard)'!$D$19*12),0,'Input sheet(dashboard)'!$D$20*(1+'Input sheet(dashboard)'!$E$22)^Calculations!B348),0)</f>
        <v>0</v>
      </c>
      <c r="AD348" s="17">
        <f t="shared" si="48"/>
        <v>104908.37740949</v>
      </c>
      <c r="AE348" s="17">
        <f>IF(B348&lt;='Input sheet(dashboard)'!$D$27*12,IF(D348=12,SUM(AD337:AD348),0),0)</f>
        <v>0</v>
      </c>
      <c r="AF348" s="17">
        <f t="shared" si="49"/>
        <v>-17788.433582402387</v>
      </c>
      <c r="AG348" s="17">
        <f t="shared" si="50"/>
        <v>0</v>
      </c>
      <c r="AH348" s="3">
        <f>IF(B348&lt;='Input sheet(dashboard)'!$D$27*12,AH347*(1+'Input sheet(dashboard)'!$E$25)+AG348," ")</f>
        <v>31139237.774385437</v>
      </c>
    </row>
    <row r="349" spans="2:34">
      <c r="B349">
        <f t="shared" si="45"/>
        <v>346</v>
      </c>
      <c r="C349">
        <f t="shared" si="52"/>
        <v>29</v>
      </c>
      <c r="D349">
        <f t="shared" si="53"/>
        <v>10</v>
      </c>
      <c r="E349" s="15">
        <f>IF(C349&lt;='Input sheet(dashboard)'!$D$6, -PMT('Input sheet(dashboard)'!$E$5,'Input sheet(dashboard)'!$D$6*12,'Input sheet(dashboard)'!$D$3*'Input sheet(dashboard)'!$D$4),0)</f>
        <v>39834.137922259193</v>
      </c>
      <c r="F349" s="3">
        <f>I348*'Input sheet(dashboard)'!$E$5</f>
        <v>2114.4669393974286</v>
      </c>
      <c r="G349" s="3">
        <f>IF(C349&lt;='Input sheet(dashboard)'!$D$6,E349*'Input sheet(dashboard)'!$D$7,0)</f>
        <v>3186.7310337807357</v>
      </c>
      <c r="H349" s="3">
        <f t="shared" si="46"/>
        <v>37719.670982861768</v>
      </c>
      <c r="I349" s="3">
        <f t="shared" si="47"/>
        <v>542733.14968267654</v>
      </c>
      <c r="J349" s="3">
        <f>IF(B349&lt;='Input sheet(dashboard)'!$D$27*12,'Input sheet(dashboard)'!$D$3*(1+'Input sheet(dashboard)'!$E$24)^B349,0)</f>
        <v>36208435.708371595</v>
      </c>
      <c r="K349" s="3">
        <f>IF(B349&lt;='Input sheet(dashboard)'!$D$27*12,J349*'Input sheet(dashboard)'!$E$8,0)</f>
        <v>37502.742983407588</v>
      </c>
      <c r="L349" s="3">
        <f>IF(B349&lt;='Input sheet(dashboard)'!$D$27*12,'Input sheet(dashboard)'!$D$9*(1+'Input sheet(dashboard)'!$E$22)^B349,0)</f>
        <v>6114.008528354062</v>
      </c>
      <c r="M349" s="3">
        <f>IF(B349=1,'Input sheet(dashboard)'!$D$3*'Input sheet(dashboard)'!$D$10,0)</f>
        <v>0</v>
      </c>
      <c r="N349" s="3">
        <f>IF(B349='Input sheet(dashboard)'!$D$27*12,J349*'Input sheet(dashboard)'!$D$11,0)</f>
        <v>0</v>
      </c>
      <c r="O349" s="3">
        <f>IF(SUM(F349:F360)&gt;=150000,150000/12*'Input sheet(dashboard)'!$D$28,SUM(F349:F360)/12*'Input sheet(dashboard)'!$D$28)</f>
        <v>202.42326644357092</v>
      </c>
      <c r="P349" s="3">
        <f t="shared" si="51"/>
        <v>0</v>
      </c>
      <c r="Q349" s="3">
        <f>IF(B349&lt;='Input sheet(dashboard)'!$D$27*12,'Input sheet(dashboard)'!$D$12/12,0)</f>
        <v>192.5</v>
      </c>
      <c r="R349" s="3">
        <f>IF(B349&lt;='Input sheet(dashboard)'!$D$27*12,('Input sheet(dashboard)'!$D$15/12)*(1+'Input sheet(dashboard)'!$E$22)^Calculations!B349,0)</f>
        <v>679.33428092822908</v>
      </c>
      <c r="S349" s="3">
        <f>IF(B349&lt;='Input sheet(dashboard)'!$D$27*12,(E349+G349+K349+L349-O349+M349+Q349+R349),0)</f>
        <v>87307.031482286257</v>
      </c>
      <c r="T349" s="3">
        <f>IF(B349&lt;='Input sheet(dashboard)'!$D$27*12,IF(D349=12,SUM(S338:S349),0),0)</f>
        <v>0</v>
      </c>
      <c r="U349" s="3">
        <f>IF(B349&lt;='Input sheet(dashboard)'!$D$27*12,IF(S349&lt;AD349,AD349-S349,0),0)</f>
        <v>18028.755642711723</v>
      </c>
      <c r="V349" s="3">
        <f>IF(B349&lt;='Input sheet(dashboard)'!$D$27*12,V348*(1+'Input sheet(dashboard)'!$E$25)+U349,0)</f>
        <v>986719.11140792409</v>
      </c>
      <c r="W349" s="17">
        <f>IF(B349&lt;='Input sheet(dashboard)'!$D$27*12,J349-I349+V349-N349,0)</f>
        <v>36652421.670096837</v>
      </c>
      <c r="X349" s="3">
        <f>IF(B349&lt;='Input sheet(dashboard)'!$D$27*12,'Input sheet(dashboard)'!$D$17*(1+'Input sheet(dashboard)'!$E$23)^(B349-1),0)</f>
        <v>105335.78712499798</v>
      </c>
      <c r="Y349" s="3"/>
      <c r="Z349" s="18"/>
      <c r="AA349" s="18"/>
      <c r="AB349" s="3">
        <f>IF(B349=1,'Input sheet(dashboard)'!$D$18*Calculations!X349,IF(Calculations!B349=12*'Input sheet(dashboard)'!$D$27,'Input sheet(dashboard)'!$D$18*-Calculations!X349,0))</f>
        <v>0</v>
      </c>
      <c r="AC349" s="3">
        <f>IF(B349&lt;='Input sheet(dashboard)'!$D$27*12,IF(MOD(B348,'Input sheet(dashboard)'!$D$19*12),0,'Input sheet(dashboard)'!$D$20*(1+'Input sheet(dashboard)'!$E$22)^Calculations!B349),0)</f>
        <v>0</v>
      </c>
      <c r="AD349" s="17">
        <f t="shared" si="48"/>
        <v>105335.78712499798</v>
      </c>
      <c r="AE349" s="17">
        <f>IF(B349&lt;='Input sheet(dashboard)'!$D$27*12,IF(D349=12,SUM(AD338:AD349),0),0)</f>
        <v>0</v>
      </c>
      <c r="AF349" s="17">
        <f t="shared" si="49"/>
        <v>-18028.755642711723</v>
      </c>
      <c r="AG349" s="17">
        <f t="shared" si="50"/>
        <v>0</v>
      </c>
      <c r="AH349" s="3">
        <f>IF(B349&lt;='Input sheet(dashboard)'!$D$27*12,AH348*(1+'Input sheet(dashboard)'!$E$25)+AG349," ")</f>
        <v>31339588.567828391</v>
      </c>
    </row>
    <row r="350" spans="2:34">
      <c r="B350">
        <f t="shared" si="45"/>
        <v>347</v>
      </c>
      <c r="C350">
        <f t="shared" si="52"/>
        <v>29</v>
      </c>
      <c r="D350">
        <f t="shared" si="53"/>
        <v>11</v>
      </c>
      <c r="E350" s="15">
        <f>IF(C350&lt;='Input sheet(dashboard)'!$D$6, -PMT('Input sheet(dashboard)'!$E$5,'Input sheet(dashboard)'!$D$6*12,'Input sheet(dashboard)'!$D$3*'Input sheet(dashboard)'!$D$4),0)</f>
        <v>39834.137922259193</v>
      </c>
      <c r="F350" s="3">
        <f>I349*'Input sheet(dashboard)'!$E$5</f>
        <v>1977.062150552124</v>
      </c>
      <c r="G350" s="3">
        <f>IF(C350&lt;='Input sheet(dashboard)'!$D$6,E350*'Input sheet(dashboard)'!$D$7,0)</f>
        <v>3186.7310337807357</v>
      </c>
      <c r="H350" s="3">
        <f t="shared" si="46"/>
        <v>37857.075771707066</v>
      </c>
      <c r="I350" s="3">
        <f t="shared" si="47"/>
        <v>504876.07391096948</v>
      </c>
      <c r="J350" s="3">
        <f>IF(B350&lt;='Input sheet(dashboard)'!$D$27*12,'Input sheet(dashboard)'!$D$3*(1+'Input sheet(dashboard)'!$E$24)^B350,0)</f>
        <v>36355953.357459769</v>
      </c>
      <c r="K350" s="3">
        <f>IF(B350&lt;='Input sheet(dashboard)'!$D$27*12,J350*'Input sheet(dashboard)'!$E$8,0)</f>
        <v>37655.533800548335</v>
      </c>
      <c r="L350" s="3">
        <f>IF(B350&lt;='Input sheet(dashboard)'!$D$27*12,'Input sheet(dashboard)'!$D$9*(1+'Input sheet(dashboard)'!$E$22)^B350,0)</f>
        <v>6126.6023848748946</v>
      </c>
      <c r="M350" s="3">
        <f>IF(B350=1,'Input sheet(dashboard)'!$D$3*'Input sheet(dashboard)'!$D$10,0)</f>
        <v>0</v>
      </c>
      <c r="N350" s="3">
        <f>IF(B350='Input sheet(dashboard)'!$D$27*12,J350*'Input sheet(dashboard)'!$D$11,0)</f>
        <v>0</v>
      </c>
      <c r="O350" s="3">
        <f>IF(SUM(F350:F361)&gt;=150000,150000/12*'Input sheet(dashboard)'!$D$28,SUM(F350:F361)/12*'Input sheet(dashboard)'!$D$28)</f>
        <v>181.39454987062538</v>
      </c>
      <c r="P350" s="3">
        <f t="shared" si="51"/>
        <v>0</v>
      </c>
      <c r="Q350" s="3">
        <f>IF(B350&lt;='Input sheet(dashboard)'!$D$27*12,'Input sheet(dashboard)'!$D$12/12,0)</f>
        <v>192.5</v>
      </c>
      <c r="R350" s="3">
        <f>IF(B350&lt;='Input sheet(dashboard)'!$D$27*12,('Input sheet(dashboard)'!$D$15/12)*(1+'Input sheet(dashboard)'!$E$22)^Calculations!B350,0)</f>
        <v>680.73359831943264</v>
      </c>
      <c r="S350" s="3">
        <f>IF(B350&lt;='Input sheet(dashboard)'!$D$27*12,(E350+G350+K350+L350-O350+M350+Q350+R350),0)</f>
        <v>87494.844189911964</v>
      </c>
      <c r="T350" s="3">
        <f>IF(B350&lt;='Input sheet(dashboard)'!$D$27*12,IF(D350=12,SUM(S339:S350),0),0)</f>
        <v>0</v>
      </c>
      <c r="U350" s="3">
        <f>IF(B350&lt;='Input sheet(dashboard)'!$D$27*12,IF(S350&lt;AD350,AD350-S350,0),0)</f>
        <v>18270.093970681293</v>
      </c>
      <c r="V350" s="3">
        <f>IF(B350&lt;='Input sheet(dashboard)'!$D$27*12,V349*(1+'Input sheet(dashboard)'!$E$25)+U350,0)</f>
        <v>1011337.7858515198</v>
      </c>
      <c r="W350" s="17">
        <f>IF(B350&lt;='Input sheet(dashboard)'!$D$27*12,J350-I350+V350-N350,0)</f>
        <v>36862415.069400325</v>
      </c>
      <c r="X350" s="3">
        <f>IF(B350&lt;='Input sheet(dashboard)'!$D$27*12,'Input sheet(dashboard)'!$D$17*(1+'Input sheet(dashboard)'!$E$23)^(B350-1),0)</f>
        <v>105764.93816059326</v>
      </c>
      <c r="Y350" s="3"/>
      <c r="Z350" s="18"/>
      <c r="AA350" s="18"/>
      <c r="AB350" s="3">
        <f>IF(B350=1,'Input sheet(dashboard)'!$D$18*Calculations!X350,IF(Calculations!B350=12*'Input sheet(dashboard)'!$D$27,'Input sheet(dashboard)'!$D$18*-Calculations!X350,0))</f>
        <v>0</v>
      </c>
      <c r="AC350" s="3">
        <f>IF(B350&lt;='Input sheet(dashboard)'!$D$27*12,IF(MOD(B349,'Input sheet(dashboard)'!$D$19*12),0,'Input sheet(dashboard)'!$D$20*(1+'Input sheet(dashboard)'!$E$22)^Calculations!B350),0)</f>
        <v>0</v>
      </c>
      <c r="AD350" s="17">
        <f t="shared" si="48"/>
        <v>105764.93816059326</v>
      </c>
      <c r="AE350" s="17">
        <f>IF(B350&lt;='Input sheet(dashboard)'!$D$27*12,IF(D350=12,SUM(AD339:AD350),0),0)</f>
        <v>0</v>
      </c>
      <c r="AF350" s="17">
        <f t="shared" si="49"/>
        <v>-18270.093970681293</v>
      </c>
      <c r="AG350" s="17">
        <f t="shared" si="50"/>
        <v>0</v>
      </c>
      <c r="AH350" s="3">
        <f>IF(B350&lt;='Input sheet(dashboard)'!$D$27*12,AH349*(1+'Input sheet(dashboard)'!$E$25)+AG350," ")</f>
        <v>31541228.424308918</v>
      </c>
    </row>
    <row r="351" spans="2:34">
      <c r="B351">
        <f t="shared" si="45"/>
        <v>348</v>
      </c>
      <c r="C351">
        <f t="shared" si="52"/>
        <v>29</v>
      </c>
      <c r="D351">
        <f t="shared" si="53"/>
        <v>12</v>
      </c>
      <c r="E351" s="15">
        <f>IF(C351&lt;='Input sheet(dashboard)'!$D$6, -PMT('Input sheet(dashboard)'!$E$5,'Input sheet(dashboard)'!$D$6*12,'Input sheet(dashboard)'!$D$3*'Input sheet(dashboard)'!$D$4),0)</f>
        <v>39834.137922259193</v>
      </c>
      <c r="F351" s="3">
        <f>I350*'Input sheet(dashboard)'!$E$5</f>
        <v>1839.1568251033534</v>
      </c>
      <c r="G351" s="3">
        <f>IF(C351&lt;='Input sheet(dashboard)'!$D$6,E351*'Input sheet(dashboard)'!$D$7,0)</f>
        <v>3186.7310337807357</v>
      </c>
      <c r="H351" s="3">
        <f t="shared" si="46"/>
        <v>37994.98109715584</v>
      </c>
      <c r="I351" s="3">
        <f t="shared" si="47"/>
        <v>466881.09281381365</v>
      </c>
      <c r="J351" s="3">
        <f>IF(B351&lt;='Input sheet(dashboard)'!$D$27*12,'Input sheet(dashboard)'!$D$3*(1+'Input sheet(dashboard)'!$E$24)^B351,0)</f>
        <v>36504072.011710614</v>
      </c>
      <c r="K351" s="3">
        <f>IF(B351&lt;='Input sheet(dashboard)'!$D$27*12,J351*'Input sheet(dashboard)'!$E$8,0)</f>
        <v>37808.947106391126</v>
      </c>
      <c r="L351" s="3">
        <f>IF(B351&lt;='Input sheet(dashboard)'!$D$27*12,'Input sheet(dashboard)'!$D$9*(1+'Input sheet(dashboard)'!$E$22)^B351,0)</f>
        <v>6139.2221826781642</v>
      </c>
      <c r="M351" s="3">
        <f>IF(B351=1,'Input sheet(dashboard)'!$D$3*'Input sheet(dashboard)'!$D$10,0)</f>
        <v>0</v>
      </c>
      <c r="N351" s="3">
        <f>IF(B351='Input sheet(dashboard)'!$D$27*12,J351*'Input sheet(dashboard)'!$D$11,0)</f>
        <v>0</v>
      </c>
      <c r="O351" s="3">
        <f>IF(SUM(F351:F362)&gt;=150000,150000/12*'Input sheet(dashboard)'!$D$28,SUM(F351:F362)/12*'Input sheet(dashboard)'!$D$28)</f>
        <v>160.28923012789855</v>
      </c>
      <c r="P351" s="3">
        <f t="shared" si="51"/>
        <v>4914.4737823987271</v>
      </c>
      <c r="Q351" s="3">
        <f>IF(B351&lt;='Input sheet(dashboard)'!$D$27*12,'Input sheet(dashboard)'!$D$12/12,0)</f>
        <v>192.5</v>
      </c>
      <c r="R351" s="3">
        <f>IF(B351&lt;='Input sheet(dashboard)'!$D$27*12,('Input sheet(dashboard)'!$D$15/12)*(1+'Input sheet(dashboard)'!$E$22)^Calculations!B351,0)</f>
        <v>682.13579807535154</v>
      </c>
      <c r="S351" s="3">
        <f>IF(B351&lt;='Input sheet(dashboard)'!$D$27*12,(E351+G351+K351+L351-O351+M351+Q351+R351),0)</f>
        <v>87683.384813056677</v>
      </c>
      <c r="T351" s="3">
        <f>IF(B351&lt;='Input sheet(dashboard)'!$D$27*12,IF(D351=12,SUM(S340:S351),0),0)</f>
        <v>1039915.6697836086</v>
      </c>
      <c r="U351" s="3">
        <f>IF(B351&lt;='Input sheet(dashboard)'!$D$27*12,IF(S351&lt;AD351,AD351-S351,0),0)</f>
        <v>18512.45279757274</v>
      </c>
      <c r="V351" s="3">
        <f>IF(B351&lt;='Input sheet(dashboard)'!$D$27*12,V350*(1+'Input sheet(dashboard)'!$E$25)+U351,0)</f>
        <v>1036357.2164146454</v>
      </c>
      <c r="W351" s="17">
        <f>IF(B351&lt;='Input sheet(dashboard)'!$D$27*12,J351-I351+V351-N351,0)</f>
        <v>37073548.135311447</v>
      </c>
      <c r="X351" s="3">
        <f>IF(B351&lt;='Input sheet(dashboard)'!$D$27*12,'Input sheet(dashboard)'!$D$17*(1+'Input sheet(dashboard)'!$E$23)^(B351-1),0)</f>
        <v>106195.83761062942</v>
      </c>
      <c r="Y351" s="3"/>
      <c r="Z351" s="18"/>
      <c r="AA351" s="18"/>
      <c r="AB351" s="3">
        <f>IF(B351=1,'Input sheet(dashboard)'!$D$18*Calculations!X351,IF(Calculations!B351=12*'Input sheet(dashboard)'!$D$27,'Input sheet(dashboard)'!$D$18*-Calculations!X351,0))</f>
        <v>0</v>
      </c>
      <c r="AC351" s="3">
        <f>IF(B351&lt;='Input sheet(dashboard)'!$D$27*12,IF(MOD(B350,'Input sheet(dashboard)'!$D$19*12),0,'Input sheet(dashboard)'!$D$20*(1+'Input sheet(dashboard)'!$E$22)^Calculations!B351),0)</f>
        <v>0</v>
      </c>
      <c r="AD351" s="17">
        <f t="shared" si="48"/>
        <v>106195.83761062942</v>
      </c>
      <c r="AE351" s="17">
        <f>IF(B351&lt;='Input sheet(dashboard)'!$D$27*12,IF(D351=12,SUM(AD340:AD351),0),0)</f>
        <v>1246291.8497880981</v>
      </c>
      <c r="AF351" s="17">
        <f t="shared" si="49"/>
        <v>-18512.45279757274</v>
      </c>
      <c r="AG351" s="17">
        <f t="shared" si="50"/>
        <v>0</v>
      </c>
      <c r="AH351" s="3">
        <f>IF(B351&lt;='Input sheet(dashboard)'!$D$27*12,AH350*(1+'Input sheet(dashboard)'!$E$25)+AG351," ")</f>
        <v>31744165.637697417</v>
      </c>
    </row>
    <row r="352" spans="2:34">
      <c r="B352">
        <f t="shared" si="45"/>
        <v>349</v>
      </c>
      <c r="C352">
        <f t="shared" si="52"/>
        <v>30</v>
      </c>
      <c r="D352">
        <f t="shared" si="53"/>
        <v>1</v>
      </c>
      <c r="E352" s="15">
        <f>IF(C352&lt;='Input sheet(dashboard)'!$D$6, -PMT('Input sheet(dashboard)'!$E$5,'Input sheet(dashboard)'!$D$6*12,'Input sheet(dashboard)'!$D$3*'Input sheet(dashboard)'!$D$4),0)</f>
        <v>39834.137922259193</v>
      </c>
      <c r="F352" s="3">
        <f>I351*'Input sheet(dashboard)'!$E$5</f>
        <v>1700.7491397020651</v>
      </c>
      <c r="G352" s="3">
        <f>IF(C352&lt;='Input sheet(dashboard)'!$D$6,E352*'Input sheet(dashboard)'!$D$7,0)</f>
        <v>3186.7310337807357</v>
      </c>
      <c r="H352" s="3">
        <f t="shared" si="46"/>
        <v>38133.388782557129</v>
      </c>
      <c r="I352" s="3">
        <f t="shared" si="47"/>
        <v>428747.70403125649</v>
      </c>
      <c r="J352" s="3">
        <f>IF(B352&lt;='Input sheet(dashboard)'!$D$27*12,'Input sheet(dashboard)'!$D$3*(1+'Input sheet(dashboard)'!$E$24)^B352,0)</f>
        <v>36652794.119693533</v>
      </c>
      <c r="K352" s="3">
        <f>IF(B352&lt;='Input sheet(dashboard)'!$D$27*12,J352*'Input sheet(dashboard)'!$E$8,0)</f>
        <v>37962.985437031974</v>
      </c>
      <c r="L352" s="3">
        <f>IF(B352&lt;='Input sheet(dashboard)'!$D$27*12,'Input sheet(dashboard)'!$D$9*(1+'Input sheet(dashboard)'!$E$22)^B352,0)</f>
        <v>6151.8679751986665</v>
      </c>
      <c r="M352" s="3">
        <f>IF(B352=1,'Input sheet(dashboard)'!$D$3*'Input sheet(dashboard)'!$D$10,0)</f>
        <v>0</v>
      </c>
      <c r="N352" s="3">
        <f>IF(B352='Input sheet(dashboard)'!$D$27*12,J352*'Input sheet(dashboard)'!$D$11,0)</f>
        <v>0</v>
      </c>
      <c r="O352" s="3">
        <f>IF(SUM(F352:F363)&gt;=150000,150000/12*'Input sheet(dashboard)'!$D$28,SUM(F352:F363)/12*'Input sheet(dashboard)'!$D$28)</f>
        <v>139.10702816623407</v>
      </c>
      <c r="P352" s="3">
        <f t="shared" si="51"/>
        <v>0</v>
      </c>
      <c r="Q352" s="3">
        <f>IF(B352&lt;='Input sheet(dashboard)'!$D$27*12,'Input sheet(dashboard)'!$D$12/12,0)</f>
        <v>192.5</v>
      </c>
      <c r="R352" s="3">
        <f>IF(B352&lt;='Input sheet(dashboard)'!$D$27*12,('Input sheet(dashboard)'!$D$15/12)*(1+'Input sheet(dashboard)'!$E$22)^Calculations!B352,0)</f>
        <v>683.54088613318515</v>
      </c>
      <c r="S352" s="3">
        <f>IF(B352&lt;='Input sheet(dashboard)'!$D$27*12,(E352+G352+K352+L352-O352+M352+Q352+R352),0)</f>
        <v>87872.656226237508</v>
      </c>
      <c r="T352" s="3">
        <f>IF(B352&lt;='Input sheet(dashboard)'!$D$27*12,IF(D352=12,SUM(S341:S352),0),0)</f>
        <v>0</v>
      </c>
      <c r="U352" s="3">
        <f>IF(B352&lt;='Input sheet(dashboard)'!$D$27*12,IF(S352&lt;AD352,AD352-S352,0),0)</f>
        <v>18755.83637212585</v>
      </c>
      <c r="V352" s="3">
        <f>IF(B352&lt;='Input sheet(dashboard)'!$D$27*12,V351*(1+'Input sheet(dashboard)'!$E$25)+U352,0)</f>
        <v>1061781.0063219024</v>
      </c>
      <c r="W352" s="17">
        <f>IF(B352&lt;='Input sheet(dashboard)'!$D$27*12,J352-I352+V352-N352,0)</f>
        <v>37285827.421984173</v>
      </c>
      <c r="X352" s="3">
        <f>IF(B352&lt;='Input sheet(dashboard)'!$D$27*12,'Input sheet(dashboard)'!$D$17*(1+'Input sheet(dashboard)'!$E$23)^(B352-1),0)</f>
        <v>106628.49259836336</v>
      </c>
      <c r="Y352" s="3"/>
      <c r="Z352" s="18"/>
      <c r="AA352" s="18"/>
      <c r="AB352" s="3">
        <f>IF(B352=1,'Input sheet(dashboard)'!$D$18*Calculations!X352,IF(Calculations!B352=12*'Input sheet(dashboard)'!$D$27,'Input sheet(dashboard)'!$D$18*-Calculations!X352,0))</f>
        <v>0</v>
      </c>
      <c r="AC352" s="3">
        <f>IF(B352&lt;='Input sheet(dashboard)'!$D$27*12,IF(MOD(B351,'Input sheet(dashboard)'!$D$19*12),0,'Input sheet(dashboard)'!$D$20*(1+'Input sheet(dashboard)'!$E$22)^Calculations!B352),0)</f>
        <v>0</v>
      </c>
      <c r="AD352" s="17">
        <f t="shared" si="48"/>
        <v>106628.49259836336</v>
      </c>
      <c r="AE352" s="17">
        <f>IF(B352&lt;='Input sheet(dashboard)'!$D$27*12,IF(D352=12,SUM(AD341:AD352),0),0)</f>
        <v>0</v>
      </c>
      <c r="AF352" s="17">
        <f t="shared" si="49"/>
        <v>-18755.83637212585</v>
      </c>
      <c r="AG352" s="17">
        <f t="shared" si="50"/>
        <v>0</v>
      </c>
      <c r="AH352" s="3">
        <f>IF(B352&lt;='Input sheet(dashboard)'!$D$27*12,AH351*(1+'Input sheet(dashboard)'!$E$25)+AG352," ")</f>
        <v>31948408.555227298</v>
      </c>
    </row>
    <row r="353" spans="2:34">
      <c r="B353">
        <f t="shared" si="45"/>
        <v>350</v>
      </c>
      <c r="C353">
        <f t="shared" si="52"/>
        <v>30</v>
      </c>
      <c r="D353">
        <f t="shared" si="53"/>
        <v>2</v>
      </c>
      <c r="E353" s="15">
        <f>IF(C353&lt;='Input sheet(dashboard)'!$D$6, -PMT('Input sheet(dashboard)'!$E$5,'Input sheet(dashboard)'!$D$6*12,'Input sheet(dashboard)'!$D$3*'Input sheet(dashboard)'!$D$4),0)</f>
        <v>39834.137922259193</v>
      </c>
      <c r="F353" s="3">
        <f>I352*'Input sheet(dashboard)'!$E$5</f>
        <v>1561.8372643571322</v>
      </c>
      <c r="G353" s="3">
        <f>IF(C353&lt;='Input sheet(dashboard)'!$D$6,E353*'Input sheet(dashboard)'!$D$7,0)</f>
        <v>3186.7310337807357</v>
      </c>
      <c r="H353" s="3">
        <f t="shared" si="46"/>
        <v>38272.300657902058</v>
      </c>
      <c r="I353" s="3">
        <f t="shared" si="47"/>
        <v>390475.40337335446</v>
      </c>
      <c r="J353" s="3">
        <f>IF(B353&lt;='Input sheet(dashboard)'!$D$27*12,'Input sheet(dashboard)'!$D$3*(1+'Input sheet(dashboard)'!$E$24)^B353,0)</f>
        <v>36802122.13995374</v>
      </c>
      <c r="K353" s="3">
        <f>IF(B353&lt;='Input sheet(dashboard)'!$D$27*12,J353*'Input sheet(dashboard)'!$E$8,0)</f>
        <v>38117.651338899283</v>
      </c>
      <c r="L353" s="3">
        <f>IF(B353&lt;='Input sheet(dashboard)'!$D$27*12,'Input sheet(dashboard)'!$D$9*(1+'Input sheet(dashboard)'!$E$22)^B353,0)</f>
        <v>6164.5398159812648</v>
      </c>
      <c r="M353" s="3">
        <f>IF(B353=1,'Input sheet(dashboard)'!$D$3*'Input sheet(dashboard)'!$D$10,0)</f>
        <v>0</v>
      </c>
      <c r="N353" s="3">
        <f>IF(B353='Input sheet(dashboard)'!$D$27*12,J353*'Input sheet(dashboard)'!$D$11,0)</f>
        <v>0</v>
      </c>
      <c r="O353" s="3">
        <f>IF(SUM(F353:F364)&gt;=150000,150000/12*'Input sheet(dashboard)'!$D$28,SUM(F353:F364)/12*'Input sheet(dashboard)'!$D$28)</f>
        <v>117.84766391995834</v>
      </c>
      <c r="P353" s="3">
        <f t="shared" si="51"/>
        <v>0</v>
      </c>
      <c r="Q353" s="3">
        <f>IF(B353&lt;='Input sheet(dashboard)'!$D$27*12,'Input sheet(dashboard)'!$D$12/12,0)</f>
        <v>192.5</v>
      </c>
      <c r="R353" s="3">
        <f>IF(B353&lt;='Input sheet(dashboard)'!$D$27*12,('Input sheet(dashboard)'!$D$15/12)*(1+'Input sheet(dashboard)'!$E$22)^Calculations!B353,0)</f>
        <v>684.94886844236271</v>
      </c>
      <c r="S353" s="3">
        <f>IF(B353&lt;='Input sheet(dashboard)'!$D$27*12,(E353+G353+K353+L353-O353+M353+Q353+R353),0)</f>
        <v>88062.661315442863</v>
      </c>
      <c r="T353" s="3">
        <f>IF(B353&lt;='Input sheet(dashboard)'!$D$27*12,IF(D353=12,SUM(S342:S353),0),0)</f>
        <v>0</v>
      </c>
      <c r="U353" s="3">
        <f>IF(B353&lt;='Input sheet(dashboard)'!$D$27*12,IF(S353&lt;AD353,AD353-S353,0),0)</f>
        <v>19000.248960630051</v>
      </c>
      <c r="V353" s="3">
        <f>IF(B353&lt;='Input sheet(dashboard)'!$D$27*12,V352*(1+'Input sheet(dashboard)'!$E$25)+U353,0)</f>
        <v>1087612.7862474374</v>
      </c>
      <c r="W353" s="17">
        <f>IF(B353&lt;='Input sheet(dashboard)'!$D$27*12,J353-I353+V353-N353,0)</f>
        <v>37499259.522827826</v>
      </c>
      <c r="X353" s="3">
        <f>IF(B353&lt;='Input sheet(dashboard)'!$D$27*12,'Input sheet(dashboard)'!$D$17*(1+'Input sheet(dashboard)'!$E$23)^(B353-1),0)</f>
        <v>107062.91027607291</v>
      </c>
      <c r="Y353" s="3"/>
      <c r="Z353" s="18"/>
      <c r="AA353" s="18"/>
      <c r="AB353" s="3">
        <f>IF(B353=1,'Input sheet(dashboard)'!$D$18*Calculations!X353,IF(Calculations!B353=12*'Input sheet(dashboard)'!$D$27,'Input sheet(dashboard)'!$D$18*-Calculations!X353,0))</f>
        <v>0</v>
      </c>
      <c r="AC353" s="3">
        <f>IF(B353&lt;='Input sheet(dashboard)'!$D$27*12,IF(MOD(B352,'Input sheet(dashboard)'!$D$19*12),0,'Input sheet(dashboard)'!$D$20*(1+'Input sheet(dashboard)'!$E$22)^Calculations!B353),0)</f>
        <v>0</v>
      </c>
      <c r="AD353" s="17">
        <f t="shared" si="48"/>
        <v>107062.91027607291</v>
      </c>
      <c r="AE353" s="17">
        <f>IF(B353&lt;='Input sheet(dashboard)'!$D$27*12,IF(D353=12,SUM(AD342:AD353),0),0)</f>
        <v>0</v>
      </c>
      <c r="AF353" s="17">
        <f t="shared" si="49"/>
        <v>-19000.248960630051</v>
      </c>
      <c r="AG353" s="17">
        <f t="shared" si="50"/>
        <v>0</v>
      </c>
      <c r="AH353" s="3">
        <f>IF(B353&lt;='Input sheet(dashboard)'!$D$27*12,AH352*(1+'Input sheet(dashboard)'!$E$25)+AG353," ")</f>
        <v>32153965.57783832</v>
      </c>
    </row>
    <row r="354" spans="2:34">
      <c r="B354">
        <f t="shared" si="45"/>
        <v>351</v>
      </c>
      <c r="C354">
        <f t="shared" si="52"/>
        <v>30</v>
      </c>
      <c r="D354">
        <f t="shared" si="53"/>
        <v>3</v>
      </c>
      <c r="E354" s="15">
        <f>IF(C354&lt;='Input sheet(dashboard)'!$D$6, -PMT('Input sheet(dashboard)'!$E$5,'Input sheet(dashboard)'!$D$6*12,'Input sheet(dashboard)'!$D$3*'Input sheet(dashboard)'!$D$4),0)</f>
        <v>39834.137922259193</v>
      </c>
      <c r="F354" s="3">
        <f>I353*'Input sheet(dashboard)'!$E$5</f>
        <v>1422.4193624111579</v>
      </c>
      <c r="G354" s="3">
        <f>IF(C354&lt;='Input sheet(dashboard)'!$D$6,E354*'Input sheet(dashboard)'!$D$7,0)</f>
        <v>3186.7310337807357</v>
      </c>
      <c r="H354" s="3">
        <f t="shared" si="46"/>
        <v>38411.718559848036</v>
      </c>
      <c r="I354" s="3">
        <f t="shared" si="47"/>
        <v>352063.68481350644</v>
      </c>
      <c r="J354" s="3">
        <f>IF(B354&lt;='Input sheet(dashboard)'!$D$27*12,'Input sheet(dashboard)'!$D$3*(1+'Input sheet(dashboard)'!$E$24)^B354,0)</f>
        <v>36952058.541052863</v>
      </c>
      <c r="K354" s="3">
        <f>IF(B354&lt;='Input sheet(dashboard)'!$D$27*12,J354*'Input sheet(dashboard)'!$E$8,0)</f>
        <v>38272.947368795911</v>
      </c>
      <c r="L354" s="3">
        <f>IF(B354&lt;='Input sheet(dashboard)'!$D$27*12,'Input sheet(dashboard)'!$D$9*(1+'Input sheet(dashboard)'!$E$22)^B354,0)</f>
        <v>6177.2377586811144</v>
      </c>
      <c r="M354" s="3">
        <f>IF(B354=1,'Input sheet(dashboard)'!$D$3*'Input sheet(dashboard)'!$D$10,0)</f>
        <v>0</v>
      </c>
      <c r="N354" s="3">
        <f>IF(B354='Input sheet(dashboard)'!$D$27*12,J354*'Input sheet(dashboard)'!$D$11,0)</f>
        <v>0</v>
      </c>
      <c r="O354" s="3">
        <f>IF(SUM(F354:F365)&gt;=150000,150000/12*'Input sheet(dashboard)'!$D$28,SUM(F354:F365)/12*'Input sheet(dashboard)'!$D$28)</f>
        <v>98.324698115494286</v>
      </c>
      <c r="P354" s="3">
        <f t="shared" si="51"/>
        <v>0</v>
      </c>
      <c r="Q354" s="3">
        <f>IF(B354&lt;='Input sheet(dashboard)'!$D$27*12,'Input sheet(dashboard)'!$D$12/12,0)</f>
        <v>192.5</v>
      </c>
      <c r="R354" s="3">
        <f>IF(B354&lt;='Input sheet(dashboard)'!$D$27*12,('Input sheet(dashboard)'!$D$15/12)*(1+'Input sheet(dashboard)'!$E$22)^Calculations!B354,0)</f>
        <v>686.35975096456821</v>
      </c>
      <c r="S354" s="3">
        <f>IF(B354&lt;='Input sheet(dashboard)'!$D$27*12,(E354+G354+K354+L354-O354+M354+Q354+R354),0)</f>
        <v>88251.589136366034</v>
      </c>
      <c r="T354" s="3">
        <f>IF(B354&lt;='Input sheet(dashboard)'!$D$27*12,IF(D354=12,SUM(S343:S354),0),0)</f>
        <v>0</v>
      </c>
      <c r="U354" s="3">
        <f>IF(B354&lt;='Input sheet(dashboard)'!$D$27*12,IF(S354&lt;AD354,AD354-S354,0),0)</f>
        <v>19247.508688809248</v>
      </c>
      <c r="V354" s="3">
        <f>IF(B354&lt;='Input sheet(dashboard)'!$D$27*12,V353*(1+'Input sheet(dashboard)'!$E$25)+U354,0)</f>
        <v>1113858.0283509875</v>
      </c>
      <c r="W354" s="17">
        <f>IF(B354&lt;='Input sheet(dashboard)'!$D$27*12,J354-I354+V354-N354,0)</f>
        <v>37713852.884590343</v>
      </c>
      <c r="X354" s="3">
        <f>IF(B354&lt;='Input sheet(dashboard)'!$D$27*12,'Input sheet(dashboard)'!$D$17*(1+'Input sheet(dashboard)'!$E$23)^(B354-1),0)</f>
        <v>107499.09782517528</v>
      </c>
      <c r="Y354" s="3"/>
      <c r="Z354" s="18"/>
      <c r="AA354" s="18"/>
      <c r="AB354" s="3">
        <f>IF(B354=1,'Input sheet(dashboard)'!$D$18*Calculations!X354,IF(Calculations!B354=12*'Input sheet(dashboard)'!$D$27,'Input sheet(dashboard)'!$D$18*-Calculations!X354,0))</f>
        <v>0</v>
      </c>
      <c r="AC354" s="3">
        <f>IF(B354&lt;='Input sheet(dashboard)'!$D$27*12,IF(MOD(B353,'Input sheet(dashboard)'!$D$19*12),0,'Input sheet(dashboard)'!$D$20*(1+'Input sheet(dashboard)'!$E$22)^Calculations!B354),0)</f>
        <v>0</v>
      </c>
      <c r="AD354" s="17">
        <f t="shared" si="48"/>
        <v>107499.09782517528</v>
      </c>
      <c r="AE354" s="17">
        <f>IF(B354&lt;='Input sheet(dashboard)'!$D$27*12,IF(D354=12,SUM(AD343:AD354),0),0)</f>
        <v>0</v>
      </c>
      <c r="AF354" s="17">
        <f t="shared" si="49"/>
        <v>-19247.508688809248</v>
      </c>
      <c r="AG354" s="17">
        <f t="shared" si="50"/>
        <v>0</v>
      </c>
      <c r="AH354" s="3">
        <f>IF(B354&lt;='Input sheet(dashboard)'!$D$27*12,AH353*(1+'Input sheet(dashboard)'!$E$25)+AG354," ")</f>
        <v>32360845.160522144</v>
      </c>
    </row>
    <row r="355" spans="2:34">
      <c r="B355">
        <f t="shared" si="45"/>
        <v>352</v>
      </c>
      <c r="C355">
        <f t="shared" si="52"/>
        <v>30</v>
      </c>
      <c r="D355">
        <f t="shared" si="53"/>
        <v>4</v>
      </c>
      <c r="E355" s="15">
        <f>IF(C355&lt;='Input sheet(dashboard)'!$D$6, -PMT('Input sheet(dashboard)'!$E$5,'Input sheet(dashboard)'!$D$6*12,'Input sheet(dashboard)'!$D$3*'Input sheet(dashboard)'!$D$4),0)</f>
        <v>39834.137922259193</v>
      </c>
      <c r="F355" s="3">
        <f>I354*'Input sheet(dashboard)'!$E$5</f>
        <v>1282.4935905161892</v>
      </c>
      <c r="G355" s="3">
        <f>IF(C355&lt;='Input sheet(dashboard)'!$D$6,E355*'Input sheet(dashboard)'!$D$7,0)</f>
        <v>3186.7310337807357</v>
      </c>
      <c r="H355" s="3">
        <f t="shared" si="46"/>
        <v>38551.644331743002</v>
      </c>
      <c r="I355" s="3">
        <f t="shared" si="47"/>
        <v>313512.04048176343</v>
      </c>
      <c r="J355" s="3">
        <f>IF(B355&lt;='Input sheet(dashboard)'!$D$27*12,'Input sheet(dashboard)'!$D$3*(1+'Input sheet(dashboard)'!$E$24)^B355,0)</f>
        <v>37102605.801609732</v>
      </c>
      <c r="K355" s="3">
        <f>IF(B355&lt;='Input sheet(dashboard)'!$D$27*12,J355*'Input sheet(dashboard)'!$E$8,0)</f>
        <v>38428.876093941442</v>
      </c>
      <c r="L355" s="3">
        <f>IF(B355&lt;='Input sheet(dashboard)'!$D$27*12,'Input sheet(dashboard)'!$D$9*(1+'Input sheet(dashboard)'!$E$22)^B355,0)</f>
        <v>6189.9618570638859</v>
      </c>
      <c r="M355" s="3">
        <f>IF(B355=1,'Input sheet(dashboard)'!$D$3*'Input sheet(dashboard)'!$D$10,0)</f>
        <v>0</v>
      </c>
      <c r="N355" s="3">
        <f>IF(B355='Input sheet(dashboard)'!$D$27*12,J355*'Input sheet(dashboard)'!$D$11,0)</f>
        <v>0</v>
      </c>
      <c r="O355" s="3">
        <f>IF(SUM(F355:F366)&gt;=150000,150000/12*'Input sheet(dashboard)'!$D$28,SUM(F355:F366)/12*'Input sheet(dashboard)'!$D$28)</f>
        <v>80.544456085354909</v>
      </c>
      <c r="P355" s="3">
        <f t="shared" si="51"/>
        <v>0</v>
      </c>
      <c r="Q355" s="3">
        <f>IF(B355&lt;='Input sheet(dashboard)'!$D$27*12,'Input sheet(dashboard)'!$D$12/12,0)</f>
        <v>192.5</v>
      </c>
      <c r="R355" s="3">
        <f>IF(B355&lt;='Input sheet(dashboard)'!$D$27*12,('Input sheet(dashboard)'!$D$15/12)*(1+'Input sheet(dashboard)'!$E$22)^Calculations!B355,0)</f>
        <v>687.77353967376496</v>
      </c>
      <c r="S355" s="3">
        <f>IF(B355&lt;='Input sheet(dashboard)'!$D$27*12,(E355+G355+K355+L355-O355+M355+Q355+R355),0)</f>
        <v>88439.435990633676</v>
      </c>
      <c r="T355" s="3">
        <f>IF(B355&lt;='Input sheet(dashboard)'!$D$27*12,IF(D355=12,SUM(S344:S355),0),0)</f>
        <v>0</v>
      </c>
      <c r="U355" s="3">
        <f>IF(B355&lt;='Input sheet(dashboard)'!$D$27*12,IF(S355&lt;AD355,AD355-S355,0),0)</f>
        <v>19497.626465711903</v>
      </c>
      <c r="V355" s="3">
        <f>IF(B355&lt;='Input sheet(dashboard)'!$D$27*12,V354*(1+'Input sheet(dashboard)'!$E$25)+U355,0)</f>
        <v>1140522.2509093788</v>
      </c>
      <c r="W355" s="17">
        <f>IF(B355&lt;='Input sheet(dashboard)'!$D$27*12,J355-I355+V355-N355,0)</f>
        <v>37929616.012037352</v>
      </c>
      <c r="X355" s="3">
        <f>IF(B355&lt;='Input sheet(dashboard)'!$D$27*12,'Input sheet(dashboard)'!$D$17*(1+'Input sheet(dashboard)'!$E$23)^(B355-1),0)</f>
        <v>107937.06245634558</v>
      </c>
      <c r="Y355" s="3"/>
      <c r="Z355" s="18"/>
      <c r="AA355" s="18"/>
      <c r="AB355" s="3">
        <f>IF(B355=1,'Input sheet(dashboard)'!$D$18*Calculations!X355,IF(Calculations!B355=12*'Input sheet(dashboard)'!$D$27,'Input sheet(dashboard)'!$D$18*-Calculations!X355,0))</f>
        <v>0</v>
      </c>
      <c r="AC355" s="3">
        <f>IF(B355&lt;='Input sheet(dashboard)'!$D$27*12,IF(MOD(B354,'Input sheet(dashboard)'!$D$19*12),0,'Input sheet(dashboard)'!$D$20*(1+'Input sheet(dashboard)'!$E$22)^Calculations!B355),0)</f>
        <v>0</v>
      </c>
      <c r="AD355" s="17">
        <f t="shared" si="48"/>
        <v>107937.06245634558</v>
      </c>
      <c r="AE355" s="17">
        <f>IF(B355&lt;='Input sheet(dashboard)'!$D$27*12,IF(D355=12,SUM(AD344:AD355),0),0)</f>
        <v>0</v>
      </c>
      <c r="AF355" s="17">
        <f t="shared" si="49"/>
        <v>-19497.626465711903</v>
      </c>
      <c r="AG355" s="17">
        <f t="shared" si="50"/>
        <v>0</v>
      </c>
      <c r="AH355" s="3">
        <f>IF(B355&lt;='Input sheet(dashboard)'!$D$27*12,AH354*(1+'Input sheet(dashboard)'!$E$25)+AG355," ")</f>
        <v>32569055.812670104</v>
      </c>
    </row>
    <row r="356" spans="2:34">
      <c r="B356">
        <f t="shared" si="45"/>
        <v>353</v>
      </c>
      <c r="C356">
        <f t="shared" si="52"/>
        <v>30</v>
      </c>
      <c r="D356">
        <f t="shared" si="53"/>
        <v>5</v>
      </c>
      <c r="E356" s="15">
        <f>IF(C356&lt;='Input sheet(dashboard)'!$D$6, -PMT('Input sheet(dashboard)'!$E$5,'Input sheet(dashboard)'!$D$6*12,'Input sheet(dashboard)'!$D$3*'Input sheet(dashboard)'!$D$4),0)</f>
        <v>39834.137922259193</v>
      </c>
      <c r="F356" s="3">
        <f>I355*'Input sheet(dashboard)'!$E$5</f>
        <v>1142.0580986093471</v>
      </c>
      <c r="G356" s="3">
        <f>IF(C356&lt;='Input sheet(dashboard)'!$D$6,E356*'Input sheet(dashboard)'!$D$7,0)</f>
        <v>3186.7310337807357</v>
      </c>
      <c r="H356" s="3">
        <f t="shared" si="46"/>
        <v>38692.079823649845</v>
      </c>
      <c r="I356" s="3">
        <f t="shared" si="47"/>
        <v>274819.96065811359</v>
      </c>
      <c r="J356" s="3">
        <f>IF(B356&lt;='Input sheet(dashboard)'!$D$27*12,'Input sheet(dashboard)'!$D$3*(1+'Input sheet(dashboard)'!$E$24)^B356,0)</f>
        <v>37253766.410341397</v>
      </c>
      <c r="K356" s="3">
        <f>IF(B356&lt;='Input sheet(dashboard)'!$D$27*12,J356*'Input sheet(dashboard)'!$E$8,0)</f>
        <v>38585.440092014644</v>
      </c>
      <c r="L356" s="3">
        <f>IF(B356&lt;='Input sheet(dashboard)'!$D$27*12,'Input sheet(dashboard)'!$D$9*(1+'Input sheet(dashboard)'!$E$22)^B356,0)</f>
        <v>6202.7121650060089</v>
      </c>
      <c r="M356" s="3">
        <f>IF(B356=1,'Input sheet(dashboard)'!$D$3*'Input sheet(dashboard)'!$D$10,0)</f>
        <v>0</v>
      </c>
      <c r="N356" s="3">
        <f>IF(B356='Input sheet(dashboard)'!$D$27*12,J356*'Input sheet(dashboard)'!$D$11,0)</f>
        <v>0</v>
      </c>
      <c r="O356" s="3">
        <f>IF(SUM(F356:F367)&gt;=150000,150000/12*'Input sheet(dashboard)'!$D$28,SUM(F356:F367)/12*'Input sheet(dashboard)'!$D$28)</f>
        <v>64.513286203902638</v>
      </c>
      <c r="P356" s="3">
        <f t="shared" si="51"/>
        <v>0</v>
      </c>
      <c r="Q356" s="3">
        <f>IF(B356&lt;='Input sheet(dashboard)'!$D$27*12,'Input sheet(dashboard)'!$D$12/12,0)</f>
        <v>192.5</v>
      </c>
      <c r="R356" s="3">
        <f>IF(B356&lt;='Input sheet(dashboard)'!$D$27*12,('Input sheet(dashboard)'!$D$15/12)*(1+'Input sheet(dashboard)'!$E$22)^Calculations!B356,0)</f>
        <v>689.19024055622322</v>
      </c>
      <c r="S356" s="3">
        <f>IF(B356&lt;='Input sheet(dashboard)'!$D$27*12,(E356+G356+K356+L356-O356+M356+Q356+R356),0)</f>
        <v>88626.198167412906</v>
      </c>
      <c r="T356" s="3">
        <f>IF(B356&lt;='Input sheet(dashboard)'!$D$27*12,IF(D356=12,SUM(S345:S356),0),0)</f>
        <v>0</v>
      </c>
      <c r="U356" s="3">
        <f>IF(B356&lt;='Input sheet(dashboard)'!$D$27*12,IF(S356&lt;AD356,AD356-S356,0),0)</f>
        <v>19750.613242223204</v>
      </c>
      <c r="V356" s="3">
        <f>IF(B356&lt;='Input sheet(dashboard)'!$D$27*12,V355*(1+'Input sheet(dashboard)'!$E$25)+U356,0)</f>
        <v>1167611.0186550817</v>
      </c>
      <c r="W356" s="17">
        <f>IF(B356&lt;='Input sheet(dashboard)'!$D$27*12,J356-I356+V356-N356,0)</f>
        <v>38146557.46833837</v>
      </c>
      <c r="X356" s="3">
        <f>IF(B356&lt;='Input sheet(dashboard)'!$D$27*12,'Input sheet(dashboard)'!$D$17*(1+'Input sheet(dashboard)'!$E$23)^(B356-1),0)</f>
        <v>108376.81140963611</v>
      </c>
      <c r="Y356" s="3"/>
      <c r="Z356" s="18"/>
      <c r="AA356" s="18"/>
      <c r="AB356" s="3">
        <f>IF(B356=1,'Input sheet(dashboard)'!$D$18*Calculations!X356,IF(Calculations!B356=12*'Input sheet(dashboard)'!$D$27,'Input sheet(dashboard)'!$D$18*-Calculations!X356,0))</f>
        <v>0</v>
      </c>
      <c r="AC356" s="3">
        <f>IF(B356&lt;='Input sheet(dashboard)'!$D$27*12,IF(MOD(B355,'Input sheet(dashboard)'!$D$19*12),0,'Input sheet(dashboard)'!$D$20*(1+'Input sheet(dashboard)'!$E$22)^Calculations!B356),0)</f>
        <v>0</v>
      </c>
      <c r="AD356" s="17">
        <f t="shared" si="48"/>
        <v>108376.81140963611</v>
      </c>
      <c r="AE356" s="17">
        <f>IF(B356&lt;='Input sheet(dashboard)'!$D$27*12,IF(D356=12,SUM(AD345:AD356),0),0)</f>
        <v>0</v>
      </c>
      <c r="AF356" s="17">
        <f t="shared" si="49"/>
        <v>-19750.613242223204</v>
      </c>
      <c r="AG356" s="17">
        <f t="shared" si="50"/>
        <v>0</v>
      </c>
      <c r="AH356" s="3">
        <f>IF(B356&lt;='Input sheet(dashboard)'!$D$27*12,AH355*(1+'Input sheet(dashboard)'!$E$25)+AG356," ")</f>
        <v>32778606.098423205</v>
      </c>
    </row>
    <row r="357" spans="2:34">
      <c r="B357">
        <f t="shared" si="45"/>
        <v>354</v>
      </c>
      <c r="C357">
        <f t="shared" si="52"/>
        <v>30</v>
      </c>
      <c r="D357">
        <f t="shared" si="53"/>
        <v>6</v>
      </c>
      <c r="E357" s="15">
        <f>IF(C357&lt;='Input sheet(dashboard)'!$D$6, -PMT('Input sheet(dashboard)'!$E$5,'Input sheet(dashboard)'!$D$6*12,'Input sheet(dashboard)'!$D$3*'Input sheet(dashboard)'!$D$4),0)</f>
        <v>39834.137922259193</v>
      </c>
      <c r="F357" s="3">
        <f>I356*'Input sheet(dashboard)'!$E$5</f>
        <v>1001.1110298883644</v>
      </c>
      <c r="G357" s="3">
        <f>IF(C357&lt;='Input sheet(dashboard)'!$D$6,E357*'Input sheet(dashboard)'!$D$7,0)</f>
        <v>3186.7310337807357</v>
      </c>
      <c r="H357" s="3">
        <f t="shared" si="46"/>
        <v>38833.026892370828</v>
      </c>
      <c r="I357" s="3">
        <f t="shared" si="47"/>
        <v>235986.93376574275</v>
      </c>
      <c r="J357" s="3">
        <f>IF(B357&lt;='Input sheet(dashboard)'!$D$27*12,'Input sheet(dashboard)'!$D$3*(1+'Input sheet(dashboard)'!$E$24)^B357,0)</f>
        <v>37405542.86610426</v>
      </c>
      <c r="K357" s="3">
        <f>IF(B357&lt;='Input sheet(dashboard)'!$D$27*12,J357*'Input sheet(dashboard)'!$E$8,0)</f>
        <v>38742.64195119607</v>
      </c>
      <c r="L357" s="3">
        <f>IF(B357&lt;='Input sheet(dashboard)'!$D$27*12,'Input sheet(dashboard)'!$D$9*(1+'Input sheet(dashboard)'!$E$22)^B357,0)</f>
        <v>6215.4887364948827</v>
      </c>
      <c r="M357" s="3">
        <f>IF(B357=1,'Input sheet(dashboard)'!$D$3*'Input sheet(dashboard)'!$D$10,0)</f>
        <v>0</v>
      </c>
      <c r="N357" s="3">
        <f>IF(B357='Input sheet(dashboard)'!$D$27*12,J357*'Input sheet(dashboard)'!$D$11,0)</f>
        <v>0</v>
      </c>
      <c r="O357" s="3">
        <f>IF(SUM(F357:F368)&gt;=150000,150000/12*'Input sheet(dashboard)'!$D$28,SUM(F357:F368)/12*'Input sheet(dashboard)'!$D$28)</f>
        <v>50.237559971285897</v>
      </c>
      <c r="P357" s="3">
        <f t="shared" si="51"/>
        <v>0</v>
      </c>
      <c r="Q357" s="3">
        <f>IF(B357&lt;='Input sheet(dashboard)'!$D$27*12,'Input sheet(dashboard)'!$D$12/12,0)</f>
        <v>192.5</v>
      </c>
      <c r="R357" s="3">
        <f>IF(B357&lt;='Input sheet(dashboard)'!$D$27*12,('Input sheet(dashboard)'!$D$15/12)*(1+'Input sheet(dashboard)'!$E$22)^Calculations!B357,0)</f>
        <v>690.60985961054246</v>
      </c>
      <c r="S357" s="3">
        <f>IF(B357&lt;='Input sheet(dashboard)'!$D$27*12,(E357+G357+K357+L357-O357+M357+Q357+R357),0)</f>
        <v>88811.871943370134</v>
      </c>
      <c r="T357" s="3">
        <f>IF(B357&lt;='Input sheet(dashboard)'!$D$27*12,IF(D357=12,SUM(S346:S357),0),0)</f>
        <v>0</v>
      </c>
      <c r="U357" s="3">
        <f>IF(B357&lt;='Input sheet(dashboard)'!$D$27*12,IF(S357&lt;AD357,AD357-S357,0),0)</f>
        <v>20006.48001122594</v>
      </c>
      <c r="V357" s="3">
        <f>IF(B357&lt;='Input sheet(dashboard)'!$D$27*12,V356*(1+'Input sheet(dashboard)'!$E$25)+U357,0)</f>
        <v>1195129.9431171063</v>
      </c>
      <c r="W357" s="17">
        <f>IF(B357&lt;='Input sheet(dashboard)'!$D$27*12,J357-I357+V357-N357,0)</f>
        <v>38364685.875455625</v>
      </c>
      <c r="X357" s="3">
        <f>IF(B357&lt;='Input sheet(dashboard)'!$D$27*12,'Input sheet(dashboard)'!$D$17*(1+'Input sheet(dashboard)'!$E$23)^(B357-1),0)</f>
        <v>108818.35195459607</v>
      </c>
      <c r="Y357" s="3"/>
      <c r="Z357" s="18"/>
      <c r="AA357" s="18"/>
      <c r="AB357" s="3">
        <f>IF(B357=1,'Input sheet(dashboard)'!$D$18*Calculations!X357,IF(Calculations!B357=12*'Input sheet(dashboard)'!$D$27,'Input sheet(dashboard)'!$D$18*-Calculations!X357,0))</f>
        <v>0</v>
      </c>
      <c r="AC357" s="3">
        <f>IF(B357&lt;='Input sheet(dashboard)'!$D$27*12,IF(MOD(B356,'Input sheet(dashboard)'!$D$19*12),0,'Input sheet(dashboard)'!$D$20*(1+'Input sheet(dashboard)'!$E$22)^Calculations!B357),0)</f>
        <v>0</v>
      </c>
      <c r="AD357" s="17">
        <f t="shared" si="48"/>
        <v>108818.35195459607</v>
      </c>
      <c r="AE357" s="17">
        <f>IF(B357&lt;='Input sheet(dashboard)'!$D$27*12,IF(D357=12,SUM(AD346:AD357),0),0)</f>
        <v>0</v>
      </c>
      <c r="AF357" s="17">
        <f t="shared" si="49"/>
        <v>-20006.48001122594</v>
      </c>
      <c r="AG357" s="17">
        <f t="shared" si="50"/>
        <v>0</v>
      </c>
      <c r="AH357" s="3">
        <f>IF(B357&lt;='Input sheet(dashboard)'!$D$27*12,AH356*(1+'Input sheet(dashboard)'!$E$25)+AG357," ")</f>
        <v>32989504.637024403</v>
      </c>
    </row>
    <row r="358" spans="2:34">
      <c r="B358">
        <f t="shared" si="45"/>
        <v>355</v>
      </c>
      <c r="C358">
        <f t="shared" si="52"/>
        <v>30</v>
      </c>
      <c r="D358">
        <f t="shared" si="53"/>
        <v>7</v>
      </c>
      <c r="E358" s="15">
        <f>IF(C358&lt;='Input sheet(dashboard)'!$D$6, -PMT('Input sheet(dashboard)'!$E$5,'Input sheet(dashboard)'!$D$6*12,'Input sheet(dashboard)'!$D$3*'Input sheet(dashboard)'!$D$4),0)</f>
        <v>39834.137922259193</v>
      </c>
      <c r="F358" s="3">
        <f>I357*'Input sheet(dashboard)'!$E$5</f>
        <v>859.65052078703559</v>
      </c>
      <c r="G358" s="3">
        <f>IF(C358&lt;='Input sheet(dashboard)'!$D$6,E358*'Input sheet(dashboard)'!$D$7,0)</f>
        <v>3186.7310337807357</v>
      </c>
      <c r="H358" s="3">
        <f t="shared" si="46"/>
        <v>38974.487401472157</v>
      </c>
      <c r="I358" s="3">
        <f t="shared" si="47"/>
        <v>197012.44636427058</v>
      </c>
      <c r="J358" s="3">
        <f>IF(B358&lt;='Input sheet(dashboard)'!$D$27*12,'Input sheet(dashboard)'!$D$3*(1+'Input sheet(dashboard)'!$E$24)^B358,0)</f>
        <v>37557937.67793534</v>
      </c>
      <c r="K358" s="3">
        <f>IF(B358&lt;='Input sheet(dashboard)'!$D$27*12,J358*'Input sheet(dashboard)'!$E$8,0)</f>
        <v>38900.484270210822</v>
      </c>
      <c r="L358" s="3">
        <f>IF(B358&lt;='Input sheet(dashboard)'!$D$27*12,'Input sheet(dashboard)'!$D$9*(1+'Input sheet(dashboard)'!$E$22)^B358,0)</f>
        <v>6228.2916256291146</v>
      </c>
      <c r="M358" s="3">
        <f>IF(B358=1,'Input sheet(dashboard)'!$D$3*'Input sheet(dashboard)'!$D$10,0)</f>
        <v>0</v>
      </c>
      <c r="N358" s="3">
        <f>IF(B358='Input sheet(dashboard)'!$D$27*12,J358*'Input sheet(dashboard)'!$D$11,0)</f>
        <v>0</v>
      </c>
      <c r="O358" s="3">
        <f>IF(SUM(F358:F369)&gt;=150000,150000/12*'Input sheet(dashboard)'!$D$28,SUM(F358:F369)/12*'Input sheet(dashboard)'!$D$28)</f>
        <v>37.723672097681444</v>
      </c>
      <c r="P358" s="3">
        <f t="shared" si="51"/>
        <v>0</v>
      </c>
      <c r="Q358" s="3">
        <f>IF(B358&lt;='Input sheet(dashboard)'!$D$27*12,'Input sheet(dashboard)'!$D$12/12,0)</f>
        <v>192.5</v>
      </c>
      <c r="R358" s="3">
        <f>IF(B358&lt;='Input sheet(dashboard)'!$D$27*12,('Input sheet(dashboard)'!$D$15/12)*(1+'Input sheet(dashboard)'!$E$22)^Calculations!B358,0)</f>
        <v>692.03240284767935</v>
      </c>
      <c r="S358" s="3">
        <f>IF(B358&lt;='Input sheet(dashboard)'!$D$27*12,(E358+G358+K358+L358-O358+M358+Q358+R358),0)</f>
        <v>88996.453582629867</v>
      </c>
      <c r="T358" s="3">
        <f>IF(B358&lt;='Input sheet(dashboard)'!$D$27*12,IF(D358=12,SUM(S347:S358),0),0)</f>
        <v>0</v>
      </c>
      <c r="U358" s="3">
        <f>IF(B358&lt;='Input sheet(dashboard)'!$D$27*12,IF(S358&lt;AD358,AD358-S358,0),0)</f>
        <v>20265.237807761878</v>
      </c>
      <c r="V358" s="3">
        <f>IF(B358&lt;='Input sheet(dashboard)'!$D$27*12,V357*(1+'Input sheet(dashboard)'!$E$25)+U358,0)</f>
        <v>1223084.6829642504</v>
      </c>
      <c r="W358" s="17">
        <f>IF(B358&lt;='Input sheet(dashboard)'!$D$27*12,J358-I358+V358-N358,0)</f>
        <v>38584009.914535321</v>
      </c>
      <c r="X358" s="3">
        <f>IF(B358&lt;='Input sheet(dashboard)'!$D$27*12,'Input sheet(dashboard)'!$D$17*(1+'Input sheet(dashboard)'!$E$23)^(B358-1),0)</f>
        <v>109261.69139039174</v>
      </c>
      <c r="Y358" s="3"/>
      <c r="Z358" s="18"/>
      <c r="AA358" s="18"/>
      <c r="AB358" s="3">
        <f>IF(B358=1,'Input sheet(dashboard)'!$D$18*Calculations!X358,IF(Calculations!B358=12*'Input sheet(dashboard)'!$D$27,'Input sheet(dashboard)'!$D$18*-Calculations!X358,0))</f>
        <v>0</v>
      </c>
      <c r="AC358" s="3">
        <f>IF(B358&lt;='Input sheet(dashboard)'!$D$27*12,IF(MOD(B357,'Input sheet(dashboard)'!$D$19*12),0,'Input sheet(dashboard)'!$D$20*(1+'Input sheet(dashboard)'!$E$22)^Calculations!B358),0)</f>
        <v>0</v>
      </c>
      <c r="AD358" s="17">
        <f t="shared" si="48"/>
        <v>109261.69139039174</v>
      </c>
      <c r="AE358" s="17">
        <f>IF(B358&lt;='Input sheet(dashboard)'!$D$27*12,IF(D358=12,SUM(AD347:AD358),0),0)</f>
        <v>0</v>
      </c>
      <c r="AF358" s="17">
        <f t="shared" si="49"/>
        <v>-20265.237807761878</v>
      </c>
      <c r="AG358" s="17">
        <f t="shared" si="50"/>
        <v>0</v>
      </c>
      <c r="AH358" s="3">
        <f>IF(B358&lt;='Input sheet(dashboard)'!$D$27*12,AH357*(1+'Input sheet(dashboard)'!$E$25)+AG358," ")</f>
        <v>33201760.103173114</v>
      </c>
    </row>
    <row r="359" spans="2:34">
      <c r="B359">
        <f t="shared" si="45"/>
        <v>356</v>
      </c>
      <c r="C359">
        <f t="shared" si="52"/>
        <v>30</v>
      </c>
      <c r="D359">
        <f t="shared" si="53"/>
        <v>8</v>
      </c>
      <c r="E359" s="15">
        <f>IF(C359&lt;='Input sheet(dashboard)'!$D$6, -PMT('Input sheet(dashboard)'!$E$5,'Input sheet(dashboard)'!$D$6*12,'Input sheet(dashboard)'!$D$3*'Input sheet(dashboard)'!$D$4),0)</f>
        <v>39834.137922259193</v>
      </c>
      <c r="F359" s="3">
        <f>I358*'Input sheet(dashboard)'!$E$5</f>
        <v>717.67470095057729</v>
      </c>
      <c r="G359" s="3">
        <f>IF(C359&lt;='Input sheet(dashboard)'!$D$6,E359*'Input sheet(dashboard)'!$D$7,0)</f>
        <v>3186.7310337807357</v>
      </c>
      <c r="H359" s="3">
        <f t="shared" si="46"/>
        <v>39116.463221308615</v>
      </c>
      <c r="I359" s="3">
        <f t="shared" si="47"/>
        <v>157895.98314296198</v>
      </c>
      <c r="J359" s="3">
        <f>IF(B359&lt;='Input sheet(dashboard)'!$D$27*12,'Input sheet(dashboard)'!$D$3*(1+'Input sheet(dashboard)'!$E$24)^B359,0)</f>
        <v>37710953.365093797</v>
      </c>
      <c r="K359" s="3">
        <f>IF(B359&lt;='Input sheet(dashboard)'!$D$27*12,J359*'Input sheet(dashboard)'!$E$8,0)</f>
        <v>39058.969658371519</v>
      </c>
      <c r="L359" s="3">
        <f>IF(B359&lt;='Input sheet(dashboard)'!$D$27*12,'Input sheet(dashboard)'!$D$9*(1+'Input sheet(dashboard)'!$E$22)^B359,0)</f>
        <v>6241.1208866187444</v>
      </c>
      <c r="M359" s="3">
        <f>IF(B359=1,'Input sheet(dashboard)'!$D$3*'Input sheet(dashboard)'!$D$10,0)</f>
        <v>0</v>
      </c>
      <c r="N359" s="3">
        <f>IF(B359='Input sheet(dashboard)'!$D$27*12,J359*'Input sheet(dashboard)'!$D$11,0)</f>
        <v>0</v>
      </c>
      <c r="O359" s="3">
        <f>IF(SUM(F359:F370)&gt;=150000,150000/12*'Input sheet(dashboard)'!$D$28,SUM(F359:F370)/12*'Input sheet(dashboard)'!$D$28)</f>
        <v>26.978040587843598</v>
      </c>
      <c r="P359" s="3">
        <f t="shared" si="51"/>
        <v>0</v>
      </c>
      <c r="Q359" s="3">
        <f>IF(B359&lt;='Input sheet(dashboard)'!$D$27*12,'Input sheet(dashboard)'!$D$12/12,0)</f>
        <v>192.5</v>
      </c>
      <c r="R359" s="3">
        <f>IF(B359&lt;='Input sheet(dashboard)'!$D$27*12,('Input sheet(dashboard)'!$D$15/12)*(1+'Input sheet(dashboard)'!$E$22)^Calculations!B359,0)</f>
        <v>693.45787629097163</v>
      </c>
      <c r="S359" s="3">
        <f>IF(B359&lt;='Input sheet(dashboard)'!$D$27*12,(E359+G359+K359+L359-O359+M359+Q359+R359),0)</f>
        <v>89179.93933673331</v>
      </c>
      <c r="T359" s="3">
        <f>IF(B359&lt;='Input sheet(dashboard)'!$D$27*12,IF(D359=12,SUM(S348:S359),0),0)</f>
        <v>0</v>
      </c>
      <c r="U359" s="3">
        <f>IF(B359&lt;='Input sheet(dashboard)'!$D$27*12,IF(S359&lt;AD359,AD359-S359,0),0)</f>
        <v>20526.897709193683</v>
      </c>
      <c r="V359" s="3">
        <f>IF(B359&lt;='Input sheet(dashboard)'!$D$27*12,V358*(1+'Input sheet(dashboard)'!$E$25)+U359,0)</f>
        <v>1251480.9443507202</v>
      </c>
      <c r="W359" s="17">
        <f>IF(B359&lt;='Input sheet(dashboard)'!$D$27*12,J359-I359+V359-N359,0)</f>
        <v>38804538.326301552</v>
      </c>
      <c r="X359" s="3">
        <f>IF(B359&lt;='Input sheet(dashboard)'!$D$27*12,'Input sheet(dashboard)'!$D$17*(1+'Input sheet(dashboard)'!$E$23)^(B359-1),0)</f>
        <v>109706.83704592699</v>
      </c>
      <c r="Y359" s="3"/>
      <c r="Z359" s="18"/>
      <c r="AA359" s="18"/>
      <c r="AB359" s="3">
        <f>IF(B359=1,'Input sheet(dashboard)'!$D$18*Calculations!X359,IF(Calculations!B359=12*'Input sheet(dashboard)'!$D$27,'Input sheet(dashboard)'!$D$18*-Calculations!X359,0))</f>
        <v>0</v>
      </c>
      <c r="AC359" s="3">
        <f>IF(B359&lt;='Input sheet(dashboard)'!$D$27*12,IF(MOD(B358,'Input sheet(dashboard)'!$D$19*12),0,'Input sheet(dashboard)'!$D$20*(1+'Input sheet(dashboard)'!$E$22)^Calculations!B359),0)</f>
        <v>0</v>
      </c>
      <c r="AD359" s="17">
        <f t="shared" si="48"/>
        <v>109706.83704592699</v>
      </c>
      <c r="AE359" s="17">
        <f>IF(B359&lt;='Input sheet(dashboard)'!$D$27*12,IF(D359=12,SUM(AD348:AD359),0),0)</f>
        <v>0</v>
      </c>
      <c r="AF359" s="17">
        <f t="shared" si="49"/>
        <v>-20526.897709193683</v>
      </c>
      <c r="AG359" s="17">
        <f t="shared" si="50"/>
        <v>0</v>
      </c>
      <c r="AH359" s="3">
        <f>IF(B359&lt;='Input sheet(dashboard)'!$D$27*12,AH358*(1+'Input sheet(dashboard)'!$E$25)+AG359," ")</f>
        <v>33415381.227382042</v>
      </c>
    </row>
    <row r="360" spans="2:34">
      <c r="B360">
        <f t="shared" si="45"/>
        <v>357</v>
      </c>
      <c r="C360">
        <f t="shared" si="52"/>
        <v>30</v>
      </c>
      <c r="D360">
        <f t="shared" si="53"/>
        <v>9</v>
      </c>
      <c r="E360" s="15">
        <f>IF(C360&lt;='Input sheet(dashboard)'!$D$6, -PMT('Input sheet(dashboard)'!$E$5,'Input sheet(dashboard)'!$D$6*12,'Input sheet(dashboard)'!$D$3*'Input sheet(dashboard)'!$D$4),0)</f>
        <v>39834.137922259193</v>
      </c>
      <c r="F360" s="3">
        <f>I359*'Input sheet(dashboard)'!$E$5</f>
        <v>575.18169321089931</v>
      </c>
      <c r="G360" s="3">
        <f>IF(C360&lt;='Input sheet(dashboard)'!$D$6,E360*'Input sheet(dashboard)'!$D$7,0)</f>
        <v>3186.7310337807357</v>
      </c>
      <c r="H360" s="3">
        <f t="shared" si="46"/>
        <v>39258.956229048294</v>
      </c>
      <c r="I360" s="3">
        <f t="shared" si="47"/>
        <v>118637.02691391369</v>
      </c>
      <c r="J360" s="3">
        <f>IF(B360&lt;='Input sheet(dashboard)'!$D$27*12,'Input sheet(dashboard)'!$D$3*(1+'Input sheet(dashboard)'!$E$24)^B360,0)</f>
        <v>37864592.457102574</v>
      </c>
      <c r="K360" s="3">
        <f>IF(B360&lt;='Input sheet(dashboard)'!$D$27*12,J360*'Input sheet(dashboard)'!$E$8,0)</f>
        <v>39218.10073562149</v>
      </c>
      <c r="L360" s="3">
        <f>IF(B360&lt;='Input sheet(dashboard)'!$D$27*12,'Input sheet(dashboard)'!$D$9*(1+'Input sheet(dashboard)'!$E$22)^B360,0)</f>
        <v>6253.9765737854741</v>
      </c>
      <c r="M360" s="3">
        <f>IF(B360=1,'Input sheet(dashboard)'!$D$3*'Input sheet(dashboard)'!$D$10,0)</f>
        <v>0</v>
      </c>
      <c r="N360" s="3">
        <f>IF(B360='Input sheet(dashboard)'!$D$27*12,J360*'Input sheet(dashboard)'!$D$11,0)</f>
        <v>0</v>
      </c>
      <c r="O360" s="3">
        <f>IF(SUM(F360:F371)&gt;=150000,150000/12*'Input sheet(dashboard)'!$D$28,SUM(F360:F371)/12*'Input sheet(dashboard)'!$D$28)</f>
        <v>18.007106825961468</v>
      </c>
      <c r="P360" s="3">
        <f t="shared" si="51"/>
        <v>0</v>
      </c>
      <c r="Q360" s="3">
        <f>IF(B360&lt;='Input sheet(dashboard)'!$D$27*12,'Input sheet(dashboard)'!$D$12/12,0)</f>
        <v>192.5</v>
      </c>
      <c r="R360" s="3">
        <f>IF(B360&lt;='Input sheet(dashboard)'!$D$27*12,('Input sheet(dashboard)'!$D$15/12)*(1+'Input sheet(dashboard)'!$E$22)^Calculations!B360,0)</f>
        <v>694.88628597616378</v>
      </c>
      <c r="S360" s="3">
        <f>IF(B360&lt;='Input sheet(dashboard)'!$D$27*12,(E360+G360+K360+L360-O360+M360+Q360+R360),0)</f>
        <v>89362.325444597096</v>
      </c>
      <c r="T360" s="3">
        <f>IF(B360&lt;='Input sheet(dashboard)'!$D$27*12,IF(D360=12,SUM(S349:S360),0),0)</f>
        <v>0</v>
      </c>
      <c r="U360" s="3">
        <f>IF(B360&lt;='Input sheet(dashboard)'!$D$27*12,IF(S360&lt;AD360,AD360-S360,0),0)</f>
        <v>20791.470835367538</v>
      </c>
      <c r="V360" s="3">
        <f>IF(B360&lt;='Input sheet(dashboard)'!$D$27*12,V359*(1+'Input sheet(dashboard)'!$E$25)+U360,0)</f>
        <v>1280324.4812641356</v>
      </c>
      <c r="W360" s="17">
        <f>IF(B360&lt;='Input sheet(dashboard)'!$D$27*12,J360-I360+V360-N360,0)</f>
        <v>39026279.9114528</v>
      </c>
      <c r="X360" s="3">
        <f>IF(B360&lt;='Input sheet(dashboard)'!$D$27*12,'Input sheet(dashboard)'!$D$17*(1+'Input sheet(dashboard)'!$E$23)^(B360-1),0)</f>
        <v>110153.79627996463</v>
      </c>
      <c r="Y360" s="3"/>
      <c r="Z360" s="18"/>
      <c r="AA360" s="18"/>
      <c r="AB360" s="3">
        <f>IF(B360=1,'Input sheet(dashboard)'!$D$18*Calculations!X360,IF(Calculations!B360=12*'Input sheet(dashboard)'!$D$27,'Input sheet(dashboard)'!$D$18*-Calculations!X360,0))</f>
        <v>0</v>
      </c>
      <c r="AC360" s="3">
        <f>IF(B360&lt;='Input sheet(dashboard)'!$D$27*12,IF(MOD(B359,'Input sheet(dashboard)'!$D$19*12),0,'Input sheet(dashboard)'!$D$20*(1+'Input sheet(dashboard)'!$E$22)^Calculations!B360),0)</f>
        <v>0</v>
      </c>
      <c r="AD360" s="17">
        <f t="shared" si="48"/>
        <v>110153.79627996463</v>
      </c>
      <c r="AE360" s="17">
        <f>IF(B360&lt;='Input sheet(dashboard)'!$D$27*12,IF(D360=12,SUM(AD349:AD360),0),0)</f>
        <v>0</v>
      </c>
      <c r="AF360" s="17">
        <f t="shared" si="49"/>
        <v>-20791.470835367538</v>
      </c>
      <c r="AG360" s="17">
        <f t="shared" si="50"/>
        <v>0</v>
      </c>
      <c r="AH360" s="3">
        <f>IF(B360&lt;='Input sheet(dashboard)'!$D$27*12,AH359*(1+'Input sheet(dashboard)'!$E$25)+AG360," ")</f>
        <v>33630376.796336263</v>
      </c>
    </row>
    <row r="361" spans="2:34">
      <c r="B361">
        <f t="shared" si="45"/>
        <v>358</v>
      </c>
      <c r="C361">
        <f t="shared" si="52"/>
        <v>30</v>
      </c>
      <c r="D361">
        <f t="shared" si="53"/>
        <v>10</v>
      </c>
      <c r="E361" s="15">
        <f>IF(C361&lt;='Input sheet(dashboard)'!$D$6, -PMT('Input sheet(dashboard)'!$E$5,'Input sheet(dashboard)'!$D$6*12,'Input sheet(dashboard)'!$D$3*'Input sheet(dashboard)'!$D$4),0)</f>
        <v>39834.137922259193</v>
      </c>
      <c r="F361" s="3">
        <f>I360*'Input sheet(dashboard)'!$E$5</f>
        <v>432.16961356178444</v>
      </c>
      <c r="G361" s="3">
        <f>IF(C361&lt;='Input sheet(dashboard)'!$D$6,E361*'Input sheet(dashboard)'!$D$7,0)</f>
        <v>3186.7310337807357</v>
      </c>
      <c r="H361" s="3">
        <f t="shared" si="46"/>
        <v>39401.968308697411</v>
      </c>
      <c r="I361" s="3">
        <f t="shared" si="47"/>
        <v>79235.058605216283</v>
      </c>
      <c r="J361" s="3">
        <f>IF(B361&lt;='Input sheet(dashboard)'!$D$27*12,'Input sheet(dashboard)'!$D$3*(1+'Input sheet(dashboard)'!$E$24)^B361,0)</f>
        <v>38018857.493790209</v>
      </c>
      <c r="K361" s="3">
        <f>IF(B361&lt;='Input sheet(dashboard)'!$D$27*12,J361*'Input sheet(dashboard)'!$E$8,0)</f>
        <v>39377.880132578</v>
      </c>
      <c r="L361" s="3">
        <f>IF(B361&lt;='Input sheet(dashboard)'!$D$27*12,'Input sheet(dashboard)'!$D$9*(1+'Input sheet(dashboard)'!$E$22)^B361,0)</f>
        <v>6266.8587415629036</v>
      </c>
      <c r="M361" s="3">
        <f>IF(B361=1,'Input sheet(dashboard)'!$D$3*'Input sheet(dashboard)'!$D$10,0)</f>
        <v>0</v>
      </c>
      <c r="N361" s="3">
        <f>IF(B361='Input sheet(dashboard)'!$D$27*12,J361*'Input sheet(dashboard)'!$D$11,0)</f>
        <v>0</v>
      </c>
      <c r="O361" s="3">
        <f>IF(SUM(F361:F372)&gt;=150000,150000/12*'Input sheet(dashboard)'!$D$28,SUM(F361:F372)/12*'Input sheet(dashboard)'!$D$28)</f>
        <v>10.817335660825325</v>
      </c>
      <c r="P361" s="3">
        <f t="shared" si="51"/>
        <v>0</v>
      </c>
      <c r="Q361" s="3">
        <f>IF(B361&lt;='Input sheet(dashboard)'!$D$27*12,'Input sheet(dashboard)'!$D$12/12,0)</f>
        <v>192.5</v>
      </c>
      <c r="R361" s="3">
        <f>IF(B361&lt;='Input sheet(dashboard)'!$D$27*12,('Input sheet(dashboard)'!$D$15/12)*(1+'Input sheet(dashboard)'!$E$22)^Calculations!B361,0)</f>
        <v>696.31763795143365</v>
      </c>
      <c r="S361" s="3">
        <f>IF(B361&lt;='Input sheet(dashboard)'!$D$27*12,(E361+G361+K361+L361-O361+M361+Q361+R361),0)</f>
        <v>89543.608132471432</v>
      </c>
      <c r="T361" s="3">
        <f>IF(B361&lt;='Input sheet(dashboard)'!$D$27*12,IF(D361=12,SUM(S350:S361),0),0)</f>
        <v>0</v>
      </c>
      <c r="U361" s="3">
        <f>IF(B361&lt;='Input sheet(dashboard)'!$D$27*12,IF(S361&lt;AD361,AD361-S361,0),0)</f>
        <v>21058.968348776543</v>
      </c>
      <c r="V361" s="3">
        <f>IF(B361&lt;='Input sheet(dashboard)'!$D$27*12,V360*(1+'Input sheet(dashboard)'!$E$25)+U361,0)</f>
        <v>1309621.0958759401</v>
      </c>
      <c r="W361" s="17">
        <f>IF(B361&lt;='Input sheet(dashboard)'!$D$27*12,J361-I361+V361-N361,0)</f>
        <v>39249243.531060934</v>
      </c>
      <c r="X361" s="3">
        <f>IF(B361&lt;='Input sheet(dashboard)'!$D$27*12,'Input sheet(dashboard)'!$D$17*(1+'Input sheet(dashboard)'!$E$23)^(B361-1),0)</f>
        <v>110602.57648124798</v>
      </c>
      <c r="Y361" s="3"/>
      <c r="Z361" s="18"/>
      <c r="AA361" s="18"/>
      <c r="AB361" s="3">
        <f>IF(B361=1,'Input sheet(dashboard)'!$D$18*Calculations!X361,IF(Calculations!B361=12*'Input sheet(dashboard)'!$D$27,'Input sheet(dashboard)'!$D$18*-Calculations!X361,0))</f>
        <v>0</v>
      </c>
      <c r="AC361" s="3">
        <f>IF(B361&lt;='Input sheet(dashboard)'!$D$27*12,IF(MOD(B360,'Input sheet(dashboard)'!$D$19*12),0,'Input sheet(dashboard)'!$D$20*(1+'Input sheet(dashboard)'!$E$22)^Calculations!B361),0)</f>
        <v>0</v>
      </c>
      <c r="AD361" s="17">
        <f t="shared" si="48"/>
        <v>110602.57648124798</v>
      </c>
      <c r="AE361" s="17">
        <f>IF(B361&lt;='Input sheet(dashboard)'!$D$27*12,IF(D361=12,SUM(AD350:AD361),0),0)</f>
        <v>0</v>
      </c>
      <c r="AF361" s="17">
        <f t="shared" si="49"/>
        <v>-21058.968348776543</v>
      </c>
      <c r="AG361" s="17">
        <f t="shared" si="50"/>
        <v>0</v>
      </c>
      <c r="AH361" s="3">
        <f>IF(B361&lt;='Input sheet(dashboard)'!$D$27*12,AH360*(1+'Input sheet(dashboard)'!$E$25)+AG361," ")</f>
        <v>33846755.653254651</v>
      </c>
    </row>
    <row r="362" spans="2:34">
      <c r="B362">
        <f t="shared" si="45"/>
        <v>359</v>
      </c>
      <c r="C362">
        <f t="shared" si="52"/>
        <v>30</v>
      </c>
      <c r="D362">
        <f t="shared" si="53"/>
        <v>11</v>
      </c>
      <c r="E362" s="15">
        <f>IF(C362&lt;='Input sheet(dashboard)'!$D$6, -PMT('Input sheet(dashboard)'!$E$5,'Input sheet(dashboard)'!$D$6*12,'Input sheet(dashboard)'!$D$3*'Input sheet(dashboard)'!$D$4),0)</f>
        <v>39834.137922259193</v>
      </c>
      <c r="F362" s="3">
        <f>I361*'Input sheet(dashboard)'!$E$5</f>
        <v>288.63657113397926</v>
      </c>
      <c r="G362" s="3">
        <f>IF(C362&lt;='Input sheet(dashboard)'!$D$6,E362*'Input sheet(dashboard)'!$D$7,0)</f>
        <v>3186.7310337807357</v>
      </c>
      <c r="H362" s="3">
        <f t="shared" si="46"/>
        <v>39545.501351125211</v>
      </c>
      <c r="I362" s="3">
        <f t="shared" si="47"/>
        <v>39689.557254091073</v>
      </c>
      <c r="J362" s="3">
        <f>IF(B362&lt;='Input sheet(dashboard)'!$D$27*12,'Input sheet(dashboard)'!$D$3*(1+'Input sheet(dashboard)'!$E$24)^B362,0)</f>
        <v>38173751.025332801</v>
      </c>
      <c r="K362" s="3">
        <f>IF(B362&lt;='Input sheet(dashboard)'!$D$27*12,J362*'Input sheet(dashboard)'!$E$8,0)</f>
        <v>39538.310490575794</v>
      </c>
      <c r="L362" s="3">
        <f>IF(B362&lt;='Input sheet(dashboard)'!$D$27*12,'Input sheet(dashboard)'!$D$9*(1+'Input sheet(dashboard)'!$E$22)^B362,0)</f>
        <v>6279.7674444967588</v>
      </c>
      <c r="M362" s="3">
        <f>IF(B362=1,'Input sheet(dashboard)'!$D$3*'Input sheet(dashboard)'!$D$10,0)</f>
        <v>0</v>
      </c>
      <c r="N362" s="3">
        <f>IF(B362='Input sheet(dashboard)'!$D$27*12,J362*'Input sheet(dashboard)'!$D$11,0)</f>
        <v>0</v>
      </c>
      <c r="O362" s="3">
        <f>IF(SUM(F362:F373)&gt;=150000,150000/12*'Input sheet(dashboard)'!$D$28,SUM(F362:F373)/12*'Input sheet(dashboard)'!$D$28)</f>
        <v>5.4152154913031163</v>
      </c>
      <c r="P362" s="3">
        <f t="shared" si="51"/>
        <v>0</v>
      </c>
      <c r="Q362" s="3">
        <f>IF(B362&lt;='Input sheet(dashboard)'!$D$27*12,'Input sheet(dashboard)'!$D$12/12,0)</f>
        <v>192.5</v>
      </c>
      <c r="R362" s="3">
        <f>IF(B362&lt;='Input sheet(dashboard)'!$D$27*12,('Input sheet(dashboard)'!$D$15/12)*(1+'Input sheet(dashboard)'!$E$22)^Calculations!B362,0)</f>
        <v>697.75193827741759</v>
      </c>
      <c r="S362" s="3">
        <f>IF(B362&lt;='Input sheet(dashboard)'!$D$27*12,(E362+G362+K362+L362-O362+M362+Q362+R362),0)</f>
        <v>89723.783613898588</v>
      </c>
      <c r="T362" s="3">
        <f>IF(B362&lt;='Input sheet(dashboard)'!$D$27*12,IF(D362=12,SUM(S351:S362),0),0)</f>
        <v>0</v>
      </c>
      <c r="U362" s="3">
        <f>IF(B362&lt;='Input sheet(dashboard)'!$D$27*12,IF(S362&lt;AD362,AD362-S362,0),0)</f>
        <v>21329.40145472443</v>
      </c>
      <c r="V362" s="3">
        <f>IF(B362&lt;='Input sheet(dashboard)'!$D$27*12,V361*(1+'Input sheet(dashboard)'!$E$25)+U362,0)</f>
        <v>1339376.6388942259</v>
      </c>
      <c r="W362" s="17">
        <f>IF(B362&lt;='Input sheet(dashboard)'!$D$27*12,J362-I362+V362-N362,0)</f>
        <v>39473438.106972933</v>
      </c>
      <c r="X362" s="3">
        <f>IF(B362&lt;='Input sheet(dashboard)'!$D$27*12,'Input sheet(dashboard)'!$D$17*(1+'Input sheet(dashboard)'!$E$23)^(B362-1),0)</f>
        <v>111053.18506862302</v>
      </c>
      <c r="Y362" s="3"/>
      <c r="Z362" s="18"/>
      <c r="AA362" s="18"/>
      <c r="AB362" s="3">
        <f>IF(B362=1,'Input sheet(dashboard)'!$D$18*Calculations!X362,IF(Calculations!B362=12*'Input sheet(dashboard)'!$D$27,'Input sheet(dashboard)'!$D$18*-Calculations!X362,0))</f>
        <v>0</v>
      </c>
      <c r="AC362" s="3">
        <f>IF(B362&lt;='Input sheet(dashboard)'!$D$27*12,IF(MOD(B361,'Input sheet(dashboard)'!$D$19*12),0,'Input sheet(dashboard)'!$D$20*(1+'Input sheet(dashboard)'!$E$22)^Calculations!B362),0)</f>
        <v>0</v>
      </c>
      <c r="AD362" s="17">
        <f t="shared" si="48"/>
        <v>111053.18506862302</v>
      </c>
      <c r="AE362" s="17">
        <f>IF(B362&lt;='Input sheet(dashboard)'!$D$27*12,IF(D362=12,SUM(AD351:AD362),0),0)</f>
        <v>0</v>
      </c>
      <c r="AF362" s="17">
        <f t="shared" si="49"/>
        <v>-21329.40145472443</v>
      </c>
      <c r="AG362" s="17">
        <f t="shared" si="50"/>
        <v>0</v>
      </c>
      <c r="AH362" s="3">
        <f>IF(B362&lt;='Input sheet(dashboard)'!$D$27*12,AH361*(1+'Input sheet(dashboard)'!$E$25)+AG362," ")</f>
        <v>34064526.698253617</v>
      </c>
    </row>
    <row r="363" spans="2:34">
      <c r="B363">
        <f t="shared" si="45"/>
        <v>360</v>
      </c>
      <c r="C363">
        <f t="shared" si="52"/>
        <v>30</v>
      </c>
      <c r="D363">
        <f t="shared" si="53"/>
        <v>12</v>
      </c>
      <c r="E363" s="15">
        <f>IF(C363&lt;='Input sheet(dashboard)'!$D$6, -PMT('Input sheet(dashboard)'!$E$5,'Input sheet(dashboard)'!$D$6*12,'Input sheet(dashboard)'!$D$3*'Input sheet(dashboard)'!$D$4),0)</f>
        <v>39834.137922259193</v>
      </c>
      <c r="F363" s="3">
        <f>I362*'Input sheet(dashboard)'!$E$5</f>
        <v>144.58066817019338</v>
      </c>
      <c r="G363" s="3">
        <f>IF(C363&lt;='Input sheet(dashboard)'!$D$6,E363*'Input sheet(dashboard)'!$D$7,0)</f>
        <v>3186.7310337807357</v>
      </c>
      <c r="H363" s="3">
        <f t="shared" si="46"/>
        <v>39689.557254088999</v>
      </c>
      <c r="I363" s="3">
        <f t="shared" si="47"/>
        <v>2.0736479200422764E-9</v>
      </c>
      <c r="J363" s="3">
        <f>IF(B363&lt;='Input sheet(dashboard)'!$D$27*12,'Input sheet(dashboard)'!$D$3*(1+'Input sheet(dashboard)'!$E$24)^B363,0)</f>
        <v>38329275.612296179</v>
      </c>
      <c r="K363" s="3">
        <f>IF(B363&lt;='Input sheet(dashboard)'!$D$27*12,J363*'Input sheet(dashboard)'!$E$8,0)</f>
        <v>39699.394461710719</v>
      </c>
      <c r="L363" s="3">
        <f>IF(B363&lt;='Input sheet(dashboard)'!$D$27*12,'Input sheet(dashboard)'!$D$9*(1+'Input sheet(dashboard)'!$E$22)^B363,0)</f>
        <v>6292.7027372451084</v>
      </c>
      <c r="M363" s="3">
        <f>IF(B363=1,'Input sheet(dashboard)'!$D$3*'Input sheet(dashboard)'!$D$10,0)</f>
        <v>0</v>
      </c>
      <c r="N363" s="3">
        <f>IF(B363='Input sheet(dashboard)'!$D$27*12,J363*'Input sheet(dashboard)'!$D$11,0)</f>
        <v>0</v>
      </c>
      <c r="O363" s="3">
        <f>IF(SUM(F363:F374)&gt;=150000,150000/12*'Input sheet(dashboard)'!$D$28,SUM(F363:F374)/12*'Input sheet(dashboard)'!$D$28)</f>
        <v>1.8072583521284762</v>
      </c>
      <c r="P363" s="3">
        <f t="shared" si="51"/>
        <v>1669.2843379948099</v>
      </c>
      <c r="Q363" s="3">
        <f>IF(B363&lt;='Input sheet(dashboard)'!$D$27*12,'Input sheet(dashboard)'!$D$12/12,0)</f>
        <v>192.5</v>
      </c>
      <c r="R363" s="3">
        <f>IF(B363&lt;='Input sheet(dashboard)'!$D$27*12,('Input sheet(dashboard)'!$D$15/12)*(1+'Input sheet(dashboard)'!$E$22)^Calculations!B363,0)</f>
        <v>699.18919302723418</v>
      </c>
      <c r="S363" s="3">
        <f>IF(B363&lt;='Input sheet(dashboard)'!$D$27*12,(E363+G363+K363+L363-O363+M363+Q363+R363),0)</f>
        <v>89902.848089670879</v>
      </c>
      <c r="T363" s="3">
        <f>IF(B363&lt;='Input sheet(dashboard)'!$D$27*12,IF(D363=12,SUM(S352:S363),0),0)</f>
        <v>1066773.3709794641</v>
      </c>
      <c r="U363" s="3">
        <f>IF(B363&lt;='Input sheet(dashboard)'!$D$27*12,IF(S363&lt;AD363,AD363-S363,0),0)</f>
        <v>21602.781401490123</v>
      </c>
      <c r="V363" s="3">
        <f>IF(B363&lt;='Input sheet(dashboard)'!$D$27*12,V362*(1+'Input sheet(dashboard)'!$E$25)+U363,0)</f>
        <v>1369597.0099189966</v>
      </c>
      <c r="W363" s="17">
        <f>IF(B363&lt;='Input sheet(dashboard)'!$D$27*12,J363-I363+V363-N363,0)</f>
        <v>39698872.622215174</v>
      </c>
      <c r="X363" s="3">
        <f>IF(B363&lt;='Input sheet(dashboard)'!$D$27*12,'Input sheet(dashboard)'!$D$17*(1+'Input sheet(dashboard)'!$E$23)^(B363-1),0)</f>
        <v>111505.629491161</v>
      </c>
      <c r="Y363" s="3"/>
      <c r="Z363" s="18"/>
      <c r="AA363" s="18"/>
      <c r="AB363" s="3">
        <f>IF(B363=1,'Input sheet(dashboard)'!$D$18*Calculations!X363,IF(Calculations!B363=12*'Input sheet(dashboard)'!$D$27,'Input sheet(dashboard)'!$D$18*-Calculations!X363,0))</f>
        <v>0</v>
      </c>
      <c r="AC363" s="3">
        <f>IF(B363&lt;='Input sheet(dashboard)'!$D$27*12,IF(MOD(B362,'Input sheet(dashboard)'!$D$19*12),0,'Input sheet(dashboard)'!$D$20*(1+'Input sheet(dashboard)'!$E$22)^Calculations!B363),0)</f>
        <v>0</v>
      </c>
      <c r="AD363" s="17">
        <f t="shared" si="48"/>
        <v>111505.629491161</v>
      </c>
      <c r="AE363" s="17">
        <f>IF(B363&lt;='Input sheet(dashboard)'!$D$27*12,IF(D363=12,SUM(AD352:AD363),0),0)</f>
        <v>1308606.4422775046</v>
      </c>
      <c r="AF363" s="17">
        <f t="shared" si="49"/>
        <v>-21602.781401490123</v>
      </c>
      <c r="AG363" s="17">
        <f t="shared" si="50"/>
        <v>0</v>
      </c>
      <c r="AH363" s="3">
        <f>IF(B363&lt;='Input sheet(dashboard)'!$D$27*12,AH362*(1+'Input sheet(dashboard)'!$E$25)+AG363," ")</f>
        <v>34283698.888713196</v>
      </c>
    </row>
    <row r="364" spans="2:34">
      <c r="B364">
        <f t="shared" si="45"/>
        <v>361</v>
      </c>
      <c r="C364">
        <f t="shared" si="52"/>
        <v>31</v>
      </c>
      <c r="D364">
        <f t="shared" si="53"/>
        <v>1</v>
      </c>
      <c r="E364" s="15">
        <f>IF(C364&lt;='Input sheet(dashboard)'!$D$6, -PMT('Input sheet(dashboard)'!$E$5,'Input sheet(dashboard)'!$D$6*12,'Input sheet(dashboard)'!$D$3*'Input sheet(dashboard)'!$D$4),0)</f>
        <v>0</v>
      </c>
      <c r="F364" s="3">
        <f>I363*'Input sheet(dashboard)'!$E$5</f>
        <v>7.5538610801343885E-12</v>
      </c>
      <c r="G364" s="3">
        <f>IF(C364&lt;='Input sheet(dashboard)'!$D$6,E364*'Input sheet(dashboard)'!$D$7,0)</f>
        <v>0</v>
      </c>
      <c r="H364" s="3">
        <f t="shared" si="46"/>
        <v>-7.5538610801343885E-12</v>
      </c>
      <c r="I364" s="3">
        <f t="shared" si="47"/>
        <v>2.0812017811224108E-9</v>
      </c>
      <c r="J364" s="3">
        <f>IF(B364&lt;='Input sheet(dashboard)'!$D$27*12,'Input sheet(dashboard)'!$D$3*(1+'Input sheet(dashboard)'!$E$24)^B364,0)</f>
        <v>38485433.825678259</v>
      </c>
      <c r="K364" s="3">
        <f>IF(B364&lt;='Input sheet(dashboard)'!$D$27*12,J364*'Input sheet(dashboard)'!$E$8,0)</f>
        <v>39861.134708883626</v>
      </c>
      <c r="L364" s="3">
        <f>IF(B364&lt;='Input sheet(dashboard)'!$D$27*12,'Input sheet(dashboard)'!$D$9*(1+'Input sheet(dashboard)'!$E$22)^B364,0)</f>
        <v>6305.6646745786256</v>
      </c>
      <c r="M364" s="3">
        <f>IF(B364=1,'Input sheet(dashboard)'!$D$3*'Input sheet(dashboard)'!$D$10,0)</f>
        <v>0</v>
      </c>
      <c r="N364" s="3">
        <f>IF(B364='Input sheet(dashboard)'!$D$27*12,J364*'Input sheet(dashboard)'!$D$11,0)</f>
        <v>0</v>
      </c>
      <c r="O364" s="3">
        <f>IF(SUM(F364:F375)&gt;=150000,150000/12*'Input sheet(dashboard)'!$D$28,SUM(F364:F375)/12*'Input sheet(dashboard)'!$D$28)</f>
        <v>1.1560587154235757E-12</v>
      </c>
      <c r="P364" s="3">
        <f t="shared" si="51"/>
        <v>0</v>
      </c>
      <c r="Q364" s="3">
        <f>IF(B364&lt;='Input sheet(dashboard)'!$D$27*12,'Input sheet(dashboard)'!$D$12/12,0)</f>
        <v>192.5</v>
      </c>
      <c r="R364" s="3">
        <f>IF(B364&lt;='Input sheet(dashboard)'!$D$27*12,('Input sheet(dashboard)'!$D$15/12)*(1+'Input sheet(dashboard)'!$E$22)^Calculations!B364,0)</f>
        <v>700.62940828651392</v>
      </c>
      <c r="S364" s="3">
        <f>IF(B364&lt;='Input sheet(dashboard)'!$D$27*12,(E364+G364+K364+L364-O364+M364+Q364+R364),0)</f>
        <v>47059.928791748767</v>
      </c>
      <c r="T364" s="3">
        <f>IF(B364&lt;='Input sheet(dashboard)'!$D$27*12,IF(D364=12,SUM(S353:S364),0),0)</f>
        <v>0</v>
      </c>
      <c r="U364" s="3">
        <f>IF(B364&lt;='Input sheet(dashboard)'!$D$27*12,IF(S364&lt;AD364,AD364-S364,0),0)</f>
        <v>64899.988436532876</v>
      </c>
      <c r="V364" s="3">
        <f>IF(B364&lt;='Input sheet(dashboard)'!$D$27*12,V363*(1+'Input sheet(dashboard)'!$E$25)+U364,0)</f>
        <v>1443309.026755919</v>
      </c>
      <c r="W364" s="17">
        <f>IF(B364&lt;='Input sheet(dashboard)'!$D$27*12,J364-I364+V364-N364,0)</f>
        <v>39928742.852434181</v>
      </c>
      <c r="X364" s="3">
        <f>IF(B364&lt;='Input sheet(dashboard)'!$D$27*12,'Input sheet(dashboard)'!$D$17*(1+'Input sheet(dashboard)'!$E$23)^(B364-1),0)</f>
        <v>111959.91722828164</v>
      </c>
      <c r="Y364" s="3"/>
      <c r="Z364" s="18"/>
      <c r="AA364" s="18"/>
      <c r="AB364" s="3">
        <f>IF(B364=1,'Input sheet(dashboard)'!$D$18*Calculations!X364,IF(Calculations!B364=12*'Input sheet(dashboard)'!$D$27,'Input sheet(dashboard)'!$D$18*-Calculations!X364,0))</f>
        <v>0</v>
      </c>
      <c r="AC364" s="3">
        <f>IF(B364&lt;='Input sheet(dashboard)'!$D$27*12,IF(MOD(B363,'Input sheet(dashboard)'!$D$19*12),0,'Input sheet(dashboard)'!$D$20*(1+'Input sheet(dashboard)'!$E$22)^Calculations!B364),0)</f>
        <v>0</v>
      </c>
      <c r="AD364" s="17">
        <f t="shared" si="48"/>
        <v>111959.91722828164</v>
      </c>
      <c r="AE364" s="17">
        <f>IF(B364&lt;='Input sheet(dashboard)'!$D$27*12,IF(D364=12,SUM(AD353:AD364),0),0)</f>
        <v>0</v>
      </c>
      <c r="AF364" s="17">
        <f t="shared" si="49"/>
        <v>-64899.988436532876</v>
      </c>
      <c r="AG364" s="17">
        <f t="shared" si="50"/>
        <v>0</v>
      </c>
      <c r="AH364" s="3">
        <f>IF(B364&lt;='Input sheet(dashboard)'!$D$27*12,AH363*(1+'Input sheet(dashboard)'!$E$25)+AG364," ")</f>
        <v>34504281.239645466</v>
      </c>
    </row>
    <row r="365" spans="2:34">
      <c r="B365">
        <f t="shared" si="45"/>
        <v>362</v>
      </c>
      <c r="C365">
        <f t="shared" si="52"/>
        <v>31</v>
      </c>
      <c r="D365">
        <f t="shared" si="53"/>
        <v>2</v>
      </c>
      <c r="E365" s="15">
        <f>IF(C365&lt;='Input sheet(dashboard)'!$D$6, -PMT('Input sheet(dashboard)'!$E$5,'Input sheet(dashboard)'!$D$6*12,'Input sheet(dashboard)'!$D$3*'Input sheet(dashboard)'!$D$4),0)</f>
        <v>0</v>
      </c>
      <c r="F365" s="3">
        <f>I364*'Input sheet(dashboard)'!$E$5</f>
        <v>7.5813781994420896E-12</v>
      </c>
      <c r="G365" s="3">
        <f>IF(C365&lt;='Input sheet(dashboard)'!$D$6,E365*'Input sheet(dashboard)'!$D$7,0)</f>
        <v>0</v>
      </c>
      <c r="H365" s="3">
        <f t="shared" si="46"/>
        <v>-7.5813781994420896E-12</v>
      </c>
      <c r="I365" s="3">
        <f t="shared" si="47"/>
        <v>2.0887831593218528E-9</v>
      </c>
      <c r="J365" s="3">
        <f>IF(B365&lt;='Input sheet(dashboard)'!$D$27*12,'Input sheet(dashboard)'!$D$3*(1+'Input sheet(dashboard)'!$E$24)^B365,0)</f>
        <v>38642228.246951476</v>
      </c>
      <c r="K365" s="3">
        <f>IF(B365&lt;='Input sheet(dashboard)'!$D$27*12,J365*'Input sheet(dashboard)'!$E$8,0)</f>
        <v>40023.533905844299</v>
      </c>
      <c r="L365" s="3">
        <f>IF(B365&lt;='Input sheet(dashboard)'!$D$27*12,'Input sheet(dashboard)'!$D$9*(1+'Input sheet(dashboard)'!$E$22)^B365,0)</f>
        <v>6318.6533113807882</v>
      </c>
      <c r="M365" s="3">
        <f>IF(B365=1,'Input sheet(dashboard)'!$D$3*'Input sheet(dashboard)'!$D$10,0)</f>
        <v>0</v>
      </c>
      <c r="N365" s="3">
        <f>IF(B365='Input sheet(dashboard)'!$D$27*12,J365*'Input sheet(dashboard)'!$D$11,0)</f>
        <v>0</v>
      </c>
      <c r="O365" s="3">
        <f>IF(SUM(F365:F376)&gt;=150000,150000/12*'Input sheet(dashboard)'!$D$28,SUM(F365:F376)/12*'Input sheet(dashboard)'!$D$28)</f>
        <v>1.1602699929757503E-12</v>
      </c>
      <c r="P365" s="3">
        <f t="shared" si="51"/>
        <v>0</v>
      </c>
      <c r="Q365" s="3">
        <f>IF(B365&lt;='Input sheet(dashboard)'!$D$27*12,'Input sheet(dashboard)'!$D$12/12,0)</f>
        <v>192.5</v>
      </c>
      <c r="R365" s="3">
        <f>IF(B365&lt;='Input sheet(dashboard)'!$D$27*12,('Input sheet(dashboard)'!$D$15/12)*(1+'Input sheet(dashboard)'!$E$22)^Calculations!B365,0)</f>
        <v>702.07259015342083</v>
      </c>
      <c r="S365" s="3">
        <f>IF(B365&lt;='Input sheet(dashboard)'!$D$27*12,(E365+G365+K365+L365-O365+M365+Q365+R365),0)</f>
        <v>47236.759807378512</v>
      </c>
      <c r="T365" s="3">
        <f>IF(B365&lt;='Input sheet(dashboard)'!$D$27*12,IF(D365=12,SUM(S354:S365),0),0)</f>
        <v>0</v>
      </c>
      <c r="U365" s="3">
        <f>IF(B365&lt;='Input sheet(dashboard)'!$D$27*12,IF(S365&lt;AD365,AD365-S365,0),0)</f>
        <v>65179.295982498203</v>
      </c>
      <c r="V365" s="3">
        <f>IF(B365&lt;='Input sheet(dashboard)'!$D$27*12,V364*(1+'Input sheet(dashboard)'!$E$25)+U365,0)</f>
        <v>1517774.6164746045</v>
      </c>
      <c r="W365" s="17">
        <f>IF(B365&lt;='Input sheet(dashboard)'!$D$27*12,J365-I365+V365-N365,0)</f>
        <v>40160002.863426082</v>
      </c>
      <c r="X365" s="3">
        <f>IF(B365&lt;='Input sheet(dashboard)'!$D$27*12,'Input sheet(dashboard)'!$D$17*(1+'Input sheet(dashboard)'!$E$23)^(B365-1),0)</f>
        <v>112416.05578987671</v>
      </c>
      <c r="Y365" s="3"/>
      <c r="Z365" s="18"/>
      <c r="AA365" s="18"/>
      <c r="AB365" s="3">
        <f>IF(B365=1,'Input sheet(dashboard)'!$D$18*Calculations!X365,IF(Calculations!B365=12*'Input sheet(dashboard)'!$D$27,'Input sheet(dashboard)'!$D$18*-Calculations!X365,0))</f>
        <v>0</v>
      </c>
      <c r="AC365" s="3">
        <f>IF(B365&lt;='Input sheet(dashboard)'!$D$27*12,IF(MOD(B364,'Input sheet(dashboard)'!$D$19*12),0,'Input sheet(dashboard)'!$D$20*(1+'Input sheet(dashboard)'!$E$22)^Calculations!B365),0)</f>
        <v>0</v>
      </c>
      <c r="AD365" s="17">
        <f t="shared" si="48"/>
        <v>112416.05578987671</v>
      </c>
      <c r="AE365" s="17">
        <f>IF(B365&lt;='Input sheet(dashboard)'!$D$27*12,IF(D365=12,SUM(AD354:AD365),0),0)</f>
        <v>0</v>
      </c>
      <c r="AF365" s="17">
        <f t="shared" si="49"/>
        <v>-65179.295982498203</v>
      </c>
      <c r="AG365" s="17">
        <f t="shared" si="50"/>
        <v>0</v>
      </c>
      <c r="AH365" s="3">
        <f>IF(B365&lt;='Input sheet(dashboard)'!$D$27*12,AH364*(1+'Input sheet(dashboard)'!$E$25)+AG365," ")</f>
        <v>34726282.824065372</v>
      </c>
    </row>
    <row r="366" spans="2:34">
      <c r="B366">
        <f t="shared" si="45"/>
        <v>363</v>
      </c>
      <c r="C366">
        <f t="shared" si="52"/>
        <v>31</v>
      </c>
      <c r="D366">
        <f t="shared" si="53"/>
        <v>3</v>
      </c>
      <c r="E366" s="15">
        <f>IF(C366&lt;='Input sheet(dashboard)'!$D$6, -PMT('Input sheet(dashboard)'!$E$5,'Input sheet(dashboard)'!$D$6*12,'Input sheet(dashboard)'!$D$3*'Input sheet(dashboard)'!$D$4),0)</f>
        <v>0</v>
      </c>
      <c r="F366" s="3">
        <f>I365*'Input sheet(dashboard)'!$E$5</f>
        <v>7.6089955577993247E-12</v>
      </c>
      <c r="G366" s="3">
        <f>IF(C366&lt;='Input sheet(dashboard)'!$D$6,E366*'Input sheet(dashboard)'!$D$7,0)</f>
        <v>0</v>
      </c>
      <c r="H366" s="3">
        <f t="shared" si="46"/>
        <v>-7.6089955577993247E-12</v>
      </c>
      <c r="I366" s="3">
        <f t="shared" si="47"/>
        <v>2.0963921548796521E-9</v>
      </c>
      <c r="J366" s="3">
        <f>IF(B366&lt;='Input sheet(dashboard)'!$D$27*12,'Input sheet(dashboard)'!$D$3*(1+'Input sheet(dashboard)'!$E$24)^B366,0)</f>
        <v>38799661.468105547</v>
      </c>
      <c r="K366" s="3">
        <f>IF(B366&lt;='Input sheet(dashboard)'!$D$27*12,J366*'Input sheet(dashboard)'!$E$8,0)</f>
        <v>40186.594737235748</v>
      </c>
      <c r="L366" s="3">
        <f>IF(B366&lt;='Input sheet(dashboard)'!$D$27*12,'Input sheet(dashboard)'!$D$9*(1+'Input sheet(dashboard)'!$E$22)^B366,0)</f>
        <v>6331.6687026481322</v>
      </c>
      <c r="M366" s="3">
        <f>IF(B366=1,'Input sheet(dashboard)'!$D$3*'Input sheet(dashboard)'!$D$10,0)</f>
        <v>0</v>
      </c>
      <c r="N366" s="3">
        <f>IF(B366='Input sheet(dashboard)'!$D$27*12,J366*'Input sheet(dashboard)'!$D$11,0)</f>
        <v>0</v>
      </c>
      <c r="O366" s="3">
        <f>IF(SUM(F366:F377)&gt;=150000,150000/12*'Input sheet(dashboard)'!$D$28,SUM(F366:F377)/12*'Input sheet(dashboard)'!$D$28)</f>
        <v>1.1644966113219393E-12</v>
      </c>
      <c r="P366" s="3">
        <f t="shared" si="51"/>
        <v>0</v>
      </c>
      <c r="Q366" s="3">
        <f>IF(B366&lt;='Input sheet(dashboard)'!$D$27*12,'Input sheet(dashboard)'!$D$12/12,0)</f>
        <v>192.5</v>
      </c>
      <c r="R366" s="3">
        <f>IF(B366&lt;='Input sheet(dashboard)'!$D$27*12,('Input sheet(dashboard)'!$D$15/12)*(1+'Input sheet(dashboard)'!$E$22)^Calculations!B366,0)</f>
        <v>703.51874473868133</v>
      </c>
      <c r="S366" s="3">
        <f>IF(B366&lt;='Input sheet(dashboard)'!$D$27*12,(E366+G366+K366+L366-O366+M366+Q366+R366),0)</f>
        <v>47414.282184622556</v>
      </c>
      <c r="T366" s="3">
        <f>IF(B366&lt;='Input sheet(dashboard)'!$D$27*12,IF(D366=12,SUM(S355:S366),0),0)</f>
        <v>0</v>
      </c>
      <c r="U366" s="3">
        <f>IF(B366&lt;='Input sheet(dashboard)'!$D$27*12,IF(S366&lt;AD366,AD366-S366,0),0)</f>
        <v>65459.770531811635</v>
      </c>
      <c r="V366" s="3">
        <f>IF(B366&lt;='Input sheet(dashboard)'!$D$27*12,V365*(1+'Input sheet(dashboard)'!$E$25)+U366,0)</f>
        <v>1592999.7945890124</v>
      </c>
      <c r="W366" s="17">
        <f>IF(B366&lt;='Input sheet(dashboard)'!$D$27*12,J366-I366+V366-N366,0)</f>
        <v>40392661.26269456</v>
      </c>
      <c r="X366" s="3">
        <f>IF(B366&lt;='Input sheet(dashboard)'!$D$27*12,'Input sheet(dashboard)'!$D$17*(1+'Input sheet(dashboard)'!$E$23)^(B366-1),0)</f>
        <v>112874.05271643419</v>
      </c>
      <c r="Y366" s="3"/>
      <c r="Z366" s="18"/>
      <c r="AA366" s="18"/>
      <c r="AB366" s="3">
        <f>IF(B366=1,'Input sheet(dashboard)'!$D$18*Calculations!X366,IF(Calculations!B366=12*'Input sheet(dashboard)'!$D$27,'Input sheet(dashboard)'!$D$18*-Calculations!X366,0))</f>
        <v>0</v>
      </c>
      <c r="AC366" s="3">
        <f>IF(B366&lt;='Input sheet(dashboard)'!$D$27*12,IF(MOD(B365,'Input sheet(dashboard)'!$D$19*12),0,'Input sheet(dashboard)'!$D$20*(1+'Input sheet(dashboard)'!$E$22)^Calculations!B366),0)</f>
        <v>0</v>
      </c>
      <c r="AD366" s="17">
        <f t="shared" si="48"/>
        <v>112874.05271643419</v>
      </c>
      <c r="AE366" s="17">
        <f>IF(B366&lt;='Input sheet(dashboard)'!$D$27*12,IF(D366=12,SUM(AD355:AD366),0),0)</f>
        <v>0</v>
      </c>
      <c r="AF366" s="17">
        <f t="shared" si="49"/>
        <v>-65459.770531811635</v>
      </c>
      <c r="AG366" s="17">
        <f t="shared" si="50"/>
        <v>0</v>
      </c>
      <c r="AH366" s="3">
        <f>IF(B366&lt;='Input sheet(dashboard)'!$D$27*12,AH365*(1+'Input sheet(dashboard)'!$E$25)+AG366," ")</f>
        <v>34949712.773363903</v>
      </c>
    </row>
    <row r="367" spans="2:34">
      <c r="B367">
        <f t="shared" si="45"/>
        <v>364</v>
      </c>
      <c r="C367">
        <f t="shared" si="52"/>
        <v>31</v>
      </c>
      <c r="D367">
        <f t="shared" si="53"/>
        <v>4</v>
      </c>
      <c r="E367" s="15">
        <f>IF(C367&lt;='Input sheet(dashboard)'!$D$6, -PMT('Input sheet(dashboard)'!$E$5,'Input sheet(dashboard)'!$D$6*12,'Input sheet(dashboard)'!$D$3*'Input sheet(dashboard)'!$D$4),0)</f>
        <v>0</v>
      </c>
      <c r="F367" s="3">
        <f>I366*'Input sheet(dashboard)'!$E$5</f>
        <v>7.6367135203557679E-12</v>
      </c>
      <c r="G367" s="3">
        <f>IF(C367&lt;='Input sheet(dashboard)'!$D$6,E367*'Input sheet(dashboard)'!$D$7,0)</f>
        <v>0</v>
      </c>
      <c r="H367" s="3">
        <f t="shared" si="46"/>
        <v>-7.6367135203557679E-12</v>
      </c>
      <c r="I367" s="3">
        <f t="shared" si="47"/>
        <v>2.1040288684000077E-9</v>
      </c>
      <c r="J367" s="3">
        <f>IF(B367&lt;='Input sheet(dashboard)'!$D$27*12,'Input sheet(dashboard)'!$D$3*(1+'Input sheet(dashboard)'!$E$24)^B367,0)</f>
        <v>38957736.091690265</v>
      </c>
      <c r="K367" s="3">
        <f>IF(B367&lt;='Input sheet(dashboard)'!$D$27*12,J367*'Input sheet(dashboard)'!$E$8,0)</f>
        <v>40350.319898638561</v>
      </c>
      <c r="L367" s="3">
        <f>IF(B367&lt;='Input sheet(dashboard)'!$D$27*12,'Input sheet(dashboard)'!$D$9*(1+'Input sheet(dashboard)'!$E$22)^B367,0)</f>
        <v>6344.7109034904743</v>
      </c>
      <c r="M367" s="3">
        <f>IF(B367=1,'Input sheet(dashboard)'!$D$3*'Input sheet(dashboard)'!$D$10,0)</f>
        <v>0</v>
      </c>
      <c r="N367" s="3">
        <f>IF(B367='Input sheet(dashboard)'!$D$27*12,J367*'Input sheet(dashboard)'!$D$11,0)</f>
        <v>0</v>
      </c>
      <c r="O367" s="3">
        <f>IF(SUM(F367:F378)&gt;=150000,150000/12*'Input sheet(dashboard)'!$D$28,SUM(F367:F378)/12*'Input sheet(dashboard)'!$D$28)</f>
        <v>1.1687386263454122E-12</v>
      </c>
      <c r="P367" s="3">
        <f t="shared" si="51"/>
        <v>0</v>
      </c>
      <c r="Q367" s="3">
        <f>IF(B367&lt;='Input sheet(dashboard)'!$D$27*12,'Input sheet(dashboard)'!$D$12/12,0)</f>
        <v>192.5</v>
      </c>
      <c r="R367" s="3">
        <f>IF(B367&lt;='Input sheet(dashboard)'!$D$27*12,('Input sheet(dashboard)'!$D$15/12)*(1+'Input sheet(dashboard)'!$E$22)^Calculations!B367,0)</f>
        <v>704.96787816560823</v>
      </c>
      <c r="S367" s="3">
        <f>IF(B367&lt;='Input sheet(dashboard)'!$D$27*12,(E367+G367+K367+L367-O367+M367+Q367+R367),0)</f>
        <v>47592.498680294644</v>
      </c>
      <c r="T367" s="3">
        <f>IF(B367&lt;='Input sheet(dashboard)'!$D$27*12,IF(D367=12,SUM(S356:S367),0),0)</f>
        <v>0</v>
      </c>
      <c r="U367" s="3">
        <f>IF(B367&lt;='Input sheet(dashboard)'!$D$27*12,IF(S367&lt;AD367,AD367-S367,0),0)</f>
        <v>65741.416898868338</v>
      </c>
      <c r="V367" s="3">
        <f>IF(B367&lt;='Input sheet(dashboard)'!$D$27*12,V366*(1+'Input sheet(dashboard)'!$E$25)+U367,0)</f>
        <v>1668990.6201314956</v>
      </c>
      <c r="W367" s="17">
        <f>IF(B367&lt;='Input sheet(dashboard)'!$D$27*12,J367-I367+V367-N367,0)</f>
        <v>40626726.711821757</v>
      </c>
      <c r="X367" s="3">
        <f>IF(B367&lt;='Input sheet(dashboard)'!$D$27*12,'Input sheet(dashboard)'!$D$17*(1+'Input sheet(dashboard)'!$E$23)^(B367-1),0)</f>
        <v>113333.91557916297</v>
      </c>
      <c r="Y367" s="3"/>
      <c r="Z367" s="18"/>
      <c r="AA367" s="18"/>
      <c r="AB367" s="3">
        <f>IF(B367=1,'Input sheet(dashboard)'!$D$18*Calculations!X367,IF(Calculations!B367=12*'Input sheet(dashboard)'!$D$27,'Input sheet(dashboard)'!$D$18*-Calculations!X367,0))</f>
        <v>0</v>
      </c>
      <c r="AC367" s="3">
        <f>IF(B367&lt;='Input sheet(dashboard)'!$D$27*12,IF(MOD(B366,'Input sheet(dashboard)'!$D$19*12),0,'Input sheet(dashboard)'!$D$20*(1+'Input sheet(dashboard)'!$E$22)^Calculations!B367),0)</f>
        <v>0</v>
      </c>
      <c r="AD367" s="17">
        <f t="shared" si="48"/>
        <v>113333.91557916297</v>
      </c>
      <c r="AE367" s="17">
        <f>IF(B367&lt;='Input sheet(dashboard)'!$D$27*12,IF(D367=12,SUM(AD356:AD367),0),0)</f>
        <v>0</v>
      </c>
      <c r="AF367" s="17">
        <f t="shared" si="49"/>
        <v>-65741.416898868338</v>
      </c>
      <c r="AG367" s="17">
        <f t="shared" si="50"/>
        <v>0</v>
      </c>
      <c r="AH367" s="3">
        <f>IF(B367&lt;='Input sheet(dashboard)'!$D$27*12,AH366*(1+'Input sheet(dashboard)'!$E$25)+AG367," ")</f>
        <v>35174580.277683698</v>
      </c>
    </row>
    <row r="368" spans="2:34">
      <c r="B368">
        <f t="shared" si="45"/>
        <v>365</v>
      </c>
      <c r="C368">
        <f t="shared" si="52"/>
        <v>31</v>
      </c>
      <c r="D368">
        <f t="shared" si="53"/>
        <v>5</v>
      </c>
      <c r="E368" s="15">
        <f>IF(C368&lt;='Input sheet(dashboard)'!$D$6, -PMT('Input sheet(dashboard)'!$E$5,'Input sheet(dashboard)'!$D$6*12,'Input sheet(dashboard)'!$D$3*'Input sheet(dashboard)'!$D$4),0)</f>
        <v>0</v>
      </c>
      <c r="F368" s="3">
        <f>I367*'Input sheet(dashboard)'!$E$5</f>
        <v>7.6645324535912483E-12</v>
      </c>
      <c r="G368" s="3">
        <f>IF(C368&lt;='Input sheet(dashboard)'!$D$6,E368*'Input sheet(dashboard)'!$D$7,0)</f>
        <v>0</v>
      </c>
      <c r="H368" s="3">
        <f t="shared" si="46"/>
        <v>-7.6645324535912483E-12</v>
      </c>
      <c r="I368" s="3">
        <f t="shared" si="47"/>
        <v>2.1116934008535987E-9</v>
      </c>
      <c r="J368" s="3">
        <f>IF(B368&lt;='Input sheet(dashboard)'!$D$27*12,'Input sheet(dashboard)'!$D$3*(1+'Input sheet(dashboard)'!$E$24)^B368,0)</f>
        <v>39116454.73085852</v>
      </c>
      <c r="K368" s="3">
        <f>IF(B368&lt;='Input sheet(dashboard)'!$D$27*12,J368*'Input sheet(dashboard)'!$E$8,0)</f>
        <v>40514.712096615433</v>
      </c>
      <c r="L368" s="3">
        <f>IF(B368&lt;='Input sheet(dashboard)'!$D$27*12,'Input sheet(dashboard)'!$D$9*(1+'Input sheet(dashboard)'!$E$22)^B368,0)</f>
        <v>6357.7799691311502</v>
      </c>
      <c r="M368" s="3">
        <f>IF(B368=1,'Input sheet(dashboard)'!$D$3*'Input sheet(dashboard)'!$D$10,0)</f>
        <v>0</v>
      </c>
      <c r="N368" s="3">
        <f>IF(B368='Input sheet(dashboard)'!$D$27*12,J368*'Input sheet(dashboard)'!$D$11,0)</f>
        <v>0</v>
      </c>
      <c r="O368" s="3">
        <f>IF(SUM(F368:F379)&gt;=150000,150000/12*'Input sheet(dashboard)'!$D$28,SUM(F368:F379)/12*'Input sheet(dashboard)'!$D$28)</f>
        <v>1.1729960941330108E-12</v>
      </c>
      <c r="P368" s="3">
        <f t="shared" si="51"/>
        <v>0</v>
      </c>
      <c r="Q368" s="3">
        <f>IF(B368&lt;='Input sheet(dashboard)'!$D$27*12,'Input sheet(dashboard)'!$D$12/12,0)</f>
        <v>192.5</v>
      </c>
      <c r="R368" s="3">
        <f>IF(B368&lt;='Input sheet(dashboard)'!$D$27*12,('Input sheet(dashboard)'!$D$15/12)*(1+'Input sheet(dashboard)'!$E$22)^Calculations!B368,0)</f>
        <v>706.41999657012775</v>
      </c>
      <c r="S368" s="3">
        <f>IF(B368&lt;='Input sheet(dashboard)'!$D$27*12,(E368+G368+K368+L368-O368+M368+Q368+R368),0)</f>
        <v>47771.412062316711</v>
      </c>
      <c r="T368" s="3">
        <f>IF(B368&lt;='Input sheet(dashboard)'!$D$27*12,IF(D368=12,SUM(S357:S368),0),0)</f>
        <v>0</v>
      </c>
      <c r="U368" s="3">
        <f>IF(B368&lt;='Input sheet(dashboard)'!$D$27*12,IF(S368&lt;AD368,AD368-S368,0),0)</f>
        <v>82978.319835484406</v>
      </c>
      <c r="V368" s="3">
        <f>IF(B368&lt;='Input sheet(dashboard)'!$D$27*12,V367*(1+'Input sheet(dashboard)'!$E$25)+U368,0)</f>
        <v>1762707.2758702196</v>
      </c>
      <c r="W368" s="17">
        <f>IF(B368&lt;='Input sheet(dashboard)'!$D$27*12,J368-I368+V368-N368,0)</f>
        <v>40879162.006728739</v>
      </c>
      <c r="X368" s="3">
        <f>IF(B368&lt;='Input sheet(dashboard)'!$D$27*12,'Input sheet(dashboard)'!$D$17*(1+'Input sheet(dashboard)'!$E$23)^(B368-1),0)</f>
        <v>113795.65198011805</v>
      </c>
      <c r="Y368" s="3"/>
      <c r="Z368" s="18"/>
      <c r="AA368" s="18"/>
      <c r="AB368" s="3">
        <f>IF(B368=1,'Input sheet(dashboard)'!$D$18*Calculations!X368,IF(Calculations!B368=12*'Input sheet(dashboard)'!$D$27,'Input sheet(dashboard)'!$D$18*-Calculations!X368,0))</f>
        <v>0</v>
      </c>
      <c r="AC368" s="3">
        <f>IF(B368&lt;='Input sheet(dashboard)'!$D$27*12,IF(MOD(B367,'Input sheet(dashboard)'!$D$19*12),0,'Input sheet(dashboard)'!$D$20*(1+'Input sheet(dashboard)'!$E$22)^Calculations!B368),0)</f>
        <v>16954.079917683066</v>
      </c>
      <c r="AD368" s="17">
        <f t="shared" si="48"/>
        <v>130749.73189780112</v>
      </c>
      <c r="AE368" s="17">
        <f>IF(B368&lt;='Input sheet(dashboard)'!$D$27*12,IF(D368=12,SUM(AD357:AD368),0),0)</f>
        <v>0</v>
      </c>
      <c r="AF368" s="17">
        <f t="shared" si="49"/>
        <v>-82978.319835484406</v>
      </c>
      <c r="AG368" s="17">
        <f t="shared" si="50"/>
        <v>0</v>
      </c>
      <c r="AH368" s="3">
        <f>IF(B368&lt;='Input sheet(dashboard)'!$D$27*12,AH367*(1+'Input sheet(dashboard)'!$E$25)+AG368," ")</f>
        <v>35400894.58629705</v>
      </c>
    </row>
    <row r="369" spans="2:34">
      <c r="B369">
        <f t="shared" si="45"/>
        <v>366</v>
      </c>
      <c r="C369">
        <f t="shared" si="52"/>
        <v>31</v>
      </c>
      <c r="D369">
        <f t="shared" si="53"/>
        <v>6</v>
      </c>
      <c r="E369" s="15">
        <f>IF(C369&lt;='Input sheet(dashboard)'!$D$6, -PMT('Input sheet(dashboard)'!$E$5,'Input sheet(dashboard)'!$D$6*12,'Input sheet(dashboard)'!$D$3*'Input sheet(dashboard)'!$D$4),0)</f>
        <v>0</v>
      </c>
      <c r="F369" s="3">
        <f>I368*'Input sheet(dashboard)'!$E$5</f>
        <v>7.6924527253206112E-12</v>
      </c>
      <c r="G369" s="3">
        <f>IF(C369&lt;='Input sheet(dashboard)'!$D$6,E369*'Input sheet(dashboard)'!$D$7,0)</f>
        <v>0</v>
      </c>
      <c r="H369" s="3">
        <f t="shared" si="46"/>
        <v>-7.6924527253206112E-12</v>
      </c>
      <c r="I369" s="3">
        <f t="shared" si="47"/>
        <v>2.1193858535789193E-9</v>
      </c>
      <c r="J369" s="3">
        <f>IF(B369&lt;='Input sheet(dashboard)'!$D$27*12,'Input sheet(dashboard)'!$D$3*(1+'Input sheet(dashboard)'!$E$24)^B369,0)</f>
        <v>39275820.00940951</v>
      </c>
      <c r="K369" s="3">
        <f>IF(B369&lt;='Input sheet(dashboard)'!$D$27*12,J369*'Input sheet(dashboard)'!$E$8,0)</f>
        <v>40679.774048755913</v>
      </c>
      <c r="L369" s="3">
        <f>IF(B369&lt;='Input sheet(dashboard)'!$D$27*12,'Input sheet(dashboard)'!$D$9*(1+'Input sheet(dashboard)'!$E$22)^B369,0)</f>
        <v>6370.8759549072483</v>
      </c>
      <c r="M369" s="3">
        <f>IF(B369=1,'Input sheet(dashboard)'!$D$3*'Input sheet(dashboard)'!$D$10,0)</f>
        <v>0</v>
      </c>
      <c r="N369" s="3">
        <f>IF(B369='Input sheet(dashboard)'!$D$27*12,J369*'Input sheet(dashboard)'!$D$11,0)</f>
        <v>0</v>
      </c>
      <c r="O369" s="3">
        <f>IF(SUM(F369:F380)&gt;=150000,150000/12*'Input sheet(dashboard)'!$D$28,SUM(F369:F380)/12*'Input sheet(dashboard)'!$D$28)</f>
        <v>1.1772690709758877E-12</v>
      </c>
      <c r="P369" s="3">
        <f t="shared" si="51"/>
        <v>0</v>
      </c>
      <c r="Q369" s="3">
        <f>IF(B369&lt;='Input sheet(dashboard)'!$D$27*12,'Input sheet(dashboard)'!$D$12/12,0)</f>
        <v>192.5</v>
      </c>
      <c r="R369" s="3">
        <f>IF(B369&lt;='Input sheet(dashboard)'!$D$27*12,('Input sheet(dashboard)'!$D$15/12)*(1+'Input sheet(dashboard)'!$E$22)^Calculations!B369,0)</f>
        <v>707.87510610080528</v>
      </c>
      <c r="S369" s="3">
        <f>IF(B369&lt;='Input sheet(dashboard)'!$D$27*12,(E369+G369+K369+L369-O369+M369+Q369+R369),0)</f>
        <v>47951.02510976397</v>
      </c>
      <c r="T369" s="3">
        <f>IF(B369&lt;='Input sheet(dashboard)'!$D$27*12,IF(D369=12,SUM(S358:S369),0),0)</f>
        <v>0</v>
      </c>
      <c r="U369" s="3">
        <f>IF(B369&lt;='Input sheet(dashboard)'!$D$27*12,IF(S369&lt;AD369,AD369-S369,0),0)</f>
        <v>66308.244442562063</v>
      </c>
      <c r="V369" s="3">
        <f>IF(B369&lt;='Input sheet(dashboard)'!$D$27*12,V368*(1+'Input sheet(dashboard)'!$E$25)+U369,0)</f>
        <v>1840356.8320008528</v>
      </c>
      <c r="W369" s="17">
        <f>IF(B369&lt;='Input sheet(dashboard)'!$D$27*12,J369-I369+V369-N369,0)</f>
        <v>41116176.841410361</v>
      </c>
      <c r="X369" s="3">
        <f>IF(B369&lt;='Input sheet(dashboard)'!$D$27*12,'Input sheet(dashboard)'!$D$17*(1+'Input sheet(dashboard)'!$E$23)^(B369-1),0)</f>
        <v>114259.26955232603</v>
      </c>
      <c r="Y369" s="3"/>
      <c r="Z369" s="18"/>
      <c r="AA369" s="18"/>
      <c r="AB369" s="3">
        <f>IF(B369=1,'Input sheet(dashboard)'!$D$18*Calculations!X369,IF(Calculations!B369=12*'Input sheet(dashboard)'!$D$27,'Input sheet(dashboard)'!$D$18*-Calculations!X369,0))</f>
        <v>0</v>
      </c>
      <c r="AC369" s="3">
        <f>IF(B369&lt;='Input sheet(dashboard)'!$D$27*12,IF(MOD(B368,'Input sheet(dashboard)'!$D$19*12),0,'Input sheet(dashboard)'!$D$20*(1+'Input sheet(dashboard)'!$E$22)^Calculations!B369),0)</f>
        <v>0</v>
      </c>
      <c r="AD369" s="17">
        <f t="shared" si="48"/>
        <v>114259.26955232603</v>
      </c>
      <c r="AE369" s="17">
        <f>IF(B369&lt;='Input sheet(dashboard)'!$D$27*12,IF(D369=12,SUM(AD358:AD369),0),0)</f>
        <v>0</v>
      </c>
      <c r="AF369" s="17">
        <f t="shared" si="49"/>
        <v>-66308.244442562063</v>
      </c>
      <c r="AG369" s="17">
        <f t="shared" si="50"/>
        <v>0</v>
      </c>
      <c r="AH369" s="3">
        <f>IF(B369&lt;='Input sheet(dashboard)'!$D$27*12,AH368*(1+'Input sheet(dashboard)'!$E$25)+AG369," ")</f>
        <v>35628665.007986344</v>
      </c>
    </row>
    <row r="370" spans="2:34">
      <c r="B370">
        <f t="shared" si="45"/>
        <v>367</v>
      </c>
      <c r="C370">
        <f t="shared" si="52"/>
        <v>31</v>
      </c>
      <c r="D370">
        <f t="shared" si="53"/>
        <v>7</v>
      </c>
      <c r="E370" s="15">
        <f>IF(C370&lt;='Input sheet(dashboard)'!$D$6, -PMT('Input sheet(dashboard)'!$E$5,'Input sheet(dashboard)'!$D$6*12,'Input sheet(dashboard)'!$D$3*'Input sheet(dashboard)'!$D$4),0)</f>
        <v>0</v>
      </c>
      <c r="F370" s="3">
        <f>I369*'Input sheet(dashboard)'!$E$5</f>
        <v>7.7204747046985697E-12</v>
      </c>
      <c r="G370" s="3">
        <f>IF(C370&lt;='Input sheet(dashboard)'!$D$6,E370*'Input sheet(dashboard)'!$D$7,0)</f>
        <v>0</v>
      </c>
      <c r="H370" s="3">
        <f t="shared" si="46"/>
        <v>-7.7204747046985697E-12</v>
      </c>
      <c r="I370" s="3">
        <f t="shared" si="47"/>
        <v>2.1271063282836177E-9</v>
      </c>
      <c r="J370" s="3">
        <f>IF(B370&lt;='Input sheet(dashboard)'!$D$27*12,'Input sheet(dashboard)'!$D$3*(1+'Input sheet(dashboard)'!$E$24)^B370,0)</f>
        <v>39435834.561832145</v>
      </c>
      <c r="K370" s="3">
        <f>IF(B370&lt;='Input sheet(dashboard)'!$D$27*12,J370*'Input sheet(dashboard)'!$E$8,0)</f>
        <v>40845.508483721402</v>
      </c>
      <c r="L370" s="3">
        <f>IF(B370&lt;='Input sheet(dashboard)'!$D$27*12,'Input sheet(dashboard)'!$D$9*(1+'Input sheet(dashboard)'!$E$22)^B370,0)</f>
        <v>6383.9989162698348</v>
      </c>
      <c r="M370" s="3">
        <f>IF(B370=1,'Input sheet(dashboard)'!$D$3*'Input sheet(dashboard)'!$D$10,0)</f>
        <v>0</v>
      </c>
      <c r="N370" s="3">
        <f>IF(B370='Input sheet(dashboard)'!$D$27*12,J370*'Input sheet(dashboard)'!$D$11,0)</f>
        <v>0</v>
      </c>
      <c r="O370" s="3">
        <f>IF(SUM(F370:F381)&gt;=150000,150000/12*'Input sheet(dashboard)'!$D$28,SUM(F370:F381)/12*'Input sheet(dashboard)'!$D$28)</f>
        <v>1.1815576133702539E-12</v>
      </c>
      <c r="P370" s="3">
        <f t="shared" si="51"/>
        <v>0</v>
      </c>
      <c r="Q370" s="3">
        <f>IF(B370&lt;='Input sheet(dashboard)'!$D$27*12,'Input sheet(dashboard)'!$D$12/12,0)</f>
        <v>192.5</v>
      </c>
      <c r="R370" s="3">
        <f>IF(B370&lt;='Input sheet(dashboard)'!$D$27*12,('Input sheet(dashboard)'!$D$15/12)*(1+'Input sheet(dashboard)'!$E$22)^Calculations!B370,0)</f>
        <v>709.33321291887046</v>
      </c>
      <c r="S370" s="3">
        <f>IF(B370&lt;='Input sheet(dashboard)'!$D$27*12,(E370+G370+K370+L370-O370+M370+Q370+R370),0)</f>
        <v>48131.340612910106</v>
      </c>
      <c r="T370" s="3">
        <f>IF(B370&lt;='Input sheet(dashboard)'!$D$27*12,IF(D370=12,SUM(S359:S370),0),0)</f>
        <v>0</v>
      </c>
      <c r="U370" s="3">
        <f>IF(B370&lt;='Input sheet(dashboard)'!$D$27*12,IF(S370&lt;AD370,AD370-S370,0),0)</f>
        <v>66593.435347001345</v>
      </c>
      <c r="V370" s="3">
        <f>IF(B370&lt;='Input sheet(dashboard)'!$D$27*12,V369*(1+'Input sheet(dashboard)'!$E$25)+U370,0)</f>
        <v>1918791.1786180981</v>
      </c>
      <c r="W370" s="17">
        <f>IF(B370&lt;='Input sheet(dashboard)'!$D$27*12,J370-I370+V370-N370,0)</f>
        <v>41354625.740450241</v>
      </c>
      <c r="X370" s="3">
        <f>IF(B370&lt;='Input sheet(dashboard)'!$D$27*12,'Input sheet(dashboard)'!$D$17*(1+'Input sheet(dashboard)'!$E$23)^(B370-1),0)</f>
        <v>114724.77595991145</v>
      </c>
      <c r="Y370" s="3"/>
      <c r="Z370" s="18"/>
      <c r="AA370" s="18"/>
      <c r="AB370" s="3">
        <f>IF(B370=1,'Input sheet(dashboard)'!$D$18*Calculations!X370,IF(Calculations!B370=12*'Input sheet(dashboard)'!$D$27,'Input sheet(dashboard)'!$D$18*-Calculations!X370,0))</f>
        <v>0</v>
      </c>
      <c r="AC370" s="3">
        <f>IF(B370&lt;='Input sheet(dashboard)'!$D$27*12,IF(MOD(B369,'Input sheet(dashboard)'!$D$19*12),0,'Input sheet(dashboard)'!$D$20*(1+'Input sheet(dashboard)'!$E$22)^Calculations!B370),0)</f>
        <v>0</v>
      </c>
      <c r="AD370" s="17">
        <f t="shared" si="48"/>
        <v>114724.77595991145</v>
      </c>
      <c r="AE370" s="17">
        <f>IF(B370&lt;='Input sheet(dashboard)'!$D$27*12,IF(D370=12,SUM(AD359:AD370),0),0)</f>
        <v>0</v>
      </c>
      <c r="AF370" s="17">
        <f t="shared" si="49"/>
        <v>-66593.435347001345</v>
      </c>
      <c r="AG370" s="17">
        <f t="shared" si="50"/>
        <v>0</v>
      </c>
      <c r="AH370" s="3">
        <f>IF(B370&lt;='Input sheet(dashboard)'!$D$27*12,AH369*(1+'Input sheet(dashboard)'!$E$25)+AG370," ")</f>
        <v>35857900.911426954</v>
      </c>
    </row>
    <row r="371" spans="2:34">
      <c r="B371">
        <f t="shared" si="45"/>
        <v>368</v>
      </c>
      <c r="C371">
        <f t="shared" si="52"/>
        <v>31</v>
      </c>
      <c r="D371">
        <f t="shared" si="53"/>
        <v>8</v>
      </c>
      <c r="E371" s="15">
        <f>IF(C371&lt;='Input sheet(dashboard)'!$D$6, -PMT('Input sheet(dashboard)'!$E$5,'Input sheet(dashboard)'!$D$6*12,'Input sheet(dashboard)'!$D$3*'Input sheet(dashboard)'!$D$4),0)</f>
        <v>0</v>
      </c>
      <c r="F371" s="3">
        <f>I370*'Input sheet(dashboard)'!$E$5</f>
        <v>7.7485987622245917E-12</v>
      </c>
      <c r="G371" s="3">
        <f>IF(C371&lt;='Input sheet(dashboard)'!$D$6,E371*'Input sheet(dashboard)'!$D$7,0)</f>
        <v>0</v>
      </c>
      <c r="H371" s="3">
        <f t="shared" si="46"/>
        <v>-7.7485987622245917E-12</v>
      </c>
      <c r="I371" s="3">
        <f t="shared" si="47"/>
        <v>2.1348549270458425E-9</v>
      </c>
      <c r="J371" s="3">
        <f>IF(B371&lt;='Input sheet(dashboard)'!$D$27*12,'Input sheet(dashboard)'!$D$3*(1+'Input sheet(dashboard)'!$E$24)^B371,0)</f>
        <v>39596501.033348531</v>
      </c>
      <c r="K371" s="3">
        <f>IF(B371&lt;='Input sheet(dashboard)'!$D$27*12,J371*'Input sheet(dashboard)'!$E$8,0)</f>
        <v>41011.918141290145</v>
      </c>
      <c r="L371" s="3">
        <f>IF(B371&lt;='Input sheet(dashboard)'!$D$27*12,'Input sheet(dashboard)'!$D$9*(1+'Input sheet(dashboard)'!$E$22)^B371,0)</f>
        <v>6397.1489087842037</v>
      </c>
      <c r="M371" s="3">
        <f>IF(B371=1,'Input sheet(dashboard)'!$D$3*'Input sheet(dashboard)'!$D$10,0)</f>
        <v>0</v>
      </c>
      <c r="N371" s="3">
        <f>IF(B371='Input sheet(dashboard)'!$D$27*12,J371*'Input sheet(dashboard)'!$D$11,0)</f>
        <v>0</v>
      </c>
      <c r="O371" s="3">
        <f>IF(SUM(F371:F382)&gt;=150000,150000/12*'Input sheet(dashboard)'!$D$28,SUM(F371:F382)/12*'Input sheet(dashboard)'!$D$28)</f>
        <v>1.1858617780181233E-12</v>
      </c>
      <c r="P371" s="3">
        <f t="shared" si="51"/>
        <v>0</v>
      </c>
      <c r="Q371" s="3">
        <f>IF(B371&lt;='Input sheet(dashboard)'!$D$27*12,'Input sheet(dashboard)'!$D$12/12,0)</f>
        <v>192.5</v>
      </c>
      <c r="R371" s="3">
        <f>IF(B371&lt;='Input sheet(dashboard)'!$D$27*12,('Input sheet(dashboard)'!$D$15/12)*(1+'Input sheet(dashboard)'!$E$22)^Calculations!B371,0)</f>
        <v>710.7943231982448</v>
      </c>
      <c r="S371" s="3">
        <f>IF(B371&lt;='Input sheet(dashboard)'!$D$27*12,(E371+G371+K371+L371-O371+M371+Q371+R371),0)</f>
        <v>48312.361373272593</v>
      </c>
      <c r="T371" s="3">
        <f>IF(B371&lt;='Input sheet(dashboard)'!$D$27*12,IF(D371=12,SUM(S360:S371),0),0)</f>
        <v>0</v>
      </c>
      <c r="U371" s="3">
        <f>IF(B371&lt;='Input sheet(dashboard)'!$D$27*12,IF(S371&lt;AD371,AD371-S371,0),0)</f>
        <v>66879.817524950864</v>
      </c>
      <c r="V371" s="3">
        <f>IF(B371&lt;='Input sheet(dashboard)'!$D$27*12,V370*(1+'Input sheet(dashboard)'!$E$25)+U371,0)</f>
        <v>1998016.5563610869</v>
      </c>
      <c r="W371" s="17">
        <f>IF(B371&lt;='Input sheet(dashboard)'!$D$27*12,J371-I371+V371-N371,0)</f>
        <v>41594517.589709617</v>
      </c>
      <c r="X371" s="3">
        <f>IF(B371&lt;='Input sheet(dashboard)'!$D$27*12,'Input sheet(dashboard)'!$D$17*(1+'Input sheet(dashboard)'!$E$23)^(B371-1),0)</f>
        <v>115192.17889822346</v>
      </c>
      <c r="Y371" s="3"/>
      <c r="Z371" s="18"/>
      <c r="AA371" s="18"/>
      <c r="AB371" s="3">
        <f>IF(B371=1,'Input sheet(dashboard)'!$D$18*Calculations!X371,IF(Calculations!B371=12*'Input sheet(dashboard)'!$D$27,'Input sheet(dashboard)'!$D$18*-Calculations!X371,0))</f>
        <v>0</v>
      </c>
      <c r="AC371" s="3">
        <f>IF(B371&lt;='Input sheet(dashboard)'!$D$27*12,IF(MOD(B370,'Input sheet(dashboard)'!$D$19*12),0,'Input sheet(dashboard)'!$D$20*(1+'Input sheet(dashboard)'!$E$22)^Calculations!B371),0)</f>
        <v>0</v>
      </c>
      <c r="AD371" s="17">
        <f t="shared" si="48"/>
        <v>115192.17889822346</v>
      </c>
      <c r="AE371" s="17">
        <f>IF(B371&lt;='Input sheet(dashboard)'!$D$27*12,IF(D371=12,SUM(AD360:AD371),0),0)</f>
        <v>0</v>
      </c>
      <c r="AF371" s="17">
        <f t="shared" si="49"/>
        <v>-66879.817524950864</v>
      </c>
      <c r="AG371" s="17">
        <f t="shared" si="50"/>
        <v>0</v>
      </c>
      <c r="AH371" s="3">
        <f>IF(B371&lt;='Input sheet(dashboard)'!$D$27*12,AH370*(1+'Input sheet(dashboard)'!$E$25)+AG371," ")</f>
        <v>36088611.725572594</v>
      </c>
    </row>
    <row r="372" spans="2:34">
      <c r="B372">
        <f t="shared" si="45"/>
        <v>369</v>
      </c>
      <c r="C372">
        <f t="shared" si="52"/>
        <v>31</v>
      </c>
      <c r="D372">
        <f t="shared" si="53"/>
        <v>9</v>
      </c>
      <c r="E372" s="15">
        <f>IF(C372&lt;='Input sheet(dashboard)'!$D$6, -PMT('Input sheet(dashboard)'!$E$5,'Input sheet(dashboard)'!$D$6*12,'Input sheet(dashboard)'!$D$3*'Input sheet(dashboard)'!$D$4),0)</f>
        <v>0</v>
      </c>
      <c r="F372" s="3">
        <f>I371*'Input sheet(dashboard)'!$E$5</f>
        <v>7.7768252697477939E-12</v>
      </c>
      <c r="G372" s="3">
        <f>IF(C372&lt;='Input sheet(dashboard)'!$D$6,E372*'Input sheet(dashboard)'!$D$7,0)</f>
        <v>0</v>
      </c>
      <c r="H372" s="3">
        <f t="shared" si="46"/>
        <v>-7.7768252697477939E-12</v>
      </c>
      <c r="I372" s="3">
        <f t="shared" si="47"/>
        <v>2.1426317523155902E-9</v>
      </c>
      <c r="J372" s="3">
        <f>IF(B372&lt;='Input sheet(dashboard)'!$D$27*12,'Input sheet(dashboard)'!$D$3*(1+'Input sheet(dashboard)'!$E$24)^B372,0)</f>
        <v>39757822.079957739</v>
      </c>
      <c r="K372" s="3">
        <f>IF(B372&lt;='Input sheet(dashboard)'!$D$27*12,J372*'Input sheet(dashboard)'!$E$8,0)</f>
        <v>41179.005772402597</v>
      </c>
      <c r="L372" s="3">
        <f>IF(B372&lt;='Input sheet(dashboard)'!$D$27*12,'Input sheet(dashboard)'!$D$9*(1+'Input sheet(dashboard)'!$E$22)^B372,0)</f>
        <v>6410.3259881301019</v>
      </c>
      <c r="M372" s="3">
        <f>IF(B372=1,'Input sheet(dashboard)'!$D$3*'Input sheet(dashboard)'!$D$10,0)</f>
        <v>0</v>
      </c>
      <c r="N372" s="3">
        <f>IF(B372='Input sheet(dashboard)'!$D$27*12,J372*'Input sheet(dashboard)'!$D$11,0)</f>
        <v>0</v>
      </c>
      <c r="O372" s="3">
        <f>IF(SUM(F372:F383)&gt;=150000,150000/12*'Input sheet(dashboard)'!$D$28,SUM(F372:F383)/12*'Input sheet(dashboard)'!$D$28)</f>
        <v>1.1901816218280637E-12</v>
      </c>
      <c r="P372" s="3">
        <f t="shared" si="51"/>
        <v>0</v>
      </c>
      <c r="Q372" s="3">
        <f>IF(B372&lt;='Input sheet(dashboard)'!$D$27*12,'Input sheet(dashboard)'!$D$12/12,0)</f>
        <v>192.5</v>
      </c>
      <c r="R372" s="3">
        <f>IF(B372&lt;='Input sheet(dashboard)'!$D$27*12,('Input sheet(dashboard)'!$D$15/12)*(1+'Input sheet(dashboard)'!$E$22)^Calculations!B372,0)</f>
        <v>712.25844312556683</v>
      </c>
      <c r="S372" s="3">
        <f>IF(B372&lt;='Input sheet(dashboard)'!$D$27*12,(E372+G372+K372+L372-O372+M372+Q372+R372),0)</f>
        <v>48494.09020365827</v>
      </c>
      <c r="T372" s="3">
        <f>IF(B372&lt;='Input sheet(dashboard)'!$D$27*12,IF(D372=12,SUM(S361:S372),0),0)</f>
        <v>0</v>
      </c>
      <c r="U372" s="3">
        <f>IF(B372&lt;='Input sheet(dashboard)'!$D$27*12,IF(S372&lt;AD372,AD372-S372,0),0)</f>
        <v>67167.395890304746</v>
      </c>
      <c r="V372" s="3">
        <f>IF(B372&lt;='Input sheet(dashboard)'!$D$27*12,V371*(1+'Input sheet(dashboard)'!$E$25)+U372,0)</f>
        <v>2078039.2509353042</v>
      </c>
      <c r="W372" s="17">
        <f>IF(B372&lt;='Input sheet(dashboard)'!$D$27*12,J372-I372+V372-N372,0)</f>
        <v>41835861.33089304</v>
      </c>
      <c r="X372" s="3">
        <f>IF(B372&lt;='Input sheet(dashboard)'!$D$27*12,'Input sheet(dashboard)'!$D$17*(1+'Input sheet(dashboard)'!$E$23)^(B372-1),0)</f>
        <v>115661.48609396302</v>
      </c>
      <c r="Y372" s="3"/>
      <c r="Z372" s="18"/>
      <c r="AA372" s="18"/>
      <c r="AB372" s="3">
        <f>IF(B372=1,'Input sheet(dashboard)'!$D$18*Calculations!X372,IF(Calculations!B372=12*'Input sheet(dashboard)'!$D$27,'Input sheet(dashboard)'!$D$18*-Calculations!X372,0))</f>
        <v>0</v>
      </c>
      <c r="AC372" s="3">
        <f>IF(B372&lt;='Input sheet(dashboard)'!$D$27*12,IF(MOD(B371,'Input sheet(dashboard)'!$D$19*12),0,'Input sheet(dashboard)'!$D$20*(1+'Input sheet(dashboard)'!$E$22)^Calculations!B372),0)</f>
        <v>0</v>
      </c>
      <c r="AD372" s="17">
        <f t="shared" si="48"/>
        <v>115661.48609396302</v>
      </c>
      <c r="AE372" s="17">
        <f>IF(B372&lt;='Input sheet(dashboard)'!$D$27*12,IF(D372=12,SUM(AD361:AD372),0),0)</f>
        <v>0</v>
      </c>
      <c r="AF372" s="17">
        <f t="shared" si="49"/>
        <v>-67167.395890304746</v>
      </c>
      <c r="AG372" s="17">
        <f t="shared" si="50"/>
        <v>0</v>
      </c>
      <c r="AH372" s="3">
        <f>IF(B372&lt;='Input sheet(dashboard)'!$D$27*12,AH371*(1+'Input sheet(dashboard)'!$E$25)+AG372," ")</f>
        <v>36320806.940043151</v>
      </c>
    </row>
    <row r="373" spans="2:34">
      <c r="B373">
        <f t="shared" si="45"/>
        <v>370</v>
      </c>
      <c r="C373">
        <f t="shared" si="52"/>
        <v>31</v>
      </c>
      <c r="D373">
        <f t="shared" si="53"/>
        <v>10</v>
      </c>
      <c r="E373" s="15">
        <f>IF(C373&lt;='Input sheet(dashboard)'!$D$6, -PMT('Input sheet(dashboard)'!$E$5,'Input sheet(dashboard)'!$D$6*12,'Input sheet(dashboard)'!$D$3*'Input sheet(dashboard)'!$D$4),0)</f>
        <v>0</v>
      </c>
      <c r="F373" s="3">
        <f>I372*'Input sheet(dashboard)'!$E$5</f>
        <v>7.8051546004718625E-12</v>
      </c>
      <c r="G373" s="3">
        <f>IF(C373&lt;='Input sheet(dashboard)'!$D$6,E373*'Input sheet(dashboard)'!$D$7,0)</f>
        <v>0</v>
      </c>
      <c r="H373" s="3">
        <f t="shared" si="46"/>
        <v>-7.8051546004718625E-12</v>
      </c>
      <c r="I373" s="3">
        <f t="shared" si="47"/>
        <v>2.1504369069160622E-9</v>
      </c>
      <c r="J373" s="3">
        <f>IF(B373&lt;='Input sheet(dashboard)'!$D$27*12,'Input sheet(dashboard)'!$D$3*(1+'Input sheet(dashboard)'!$E$24)^B373,0)</f>
        <v>39919800.368479773</v>
      </c>
      <c r="K373" s="3">
        <f>IF(B373&lt;='Input sheet(dashboard)'!$D$27*12,J373*'Input sheet(dashboard)'!$E$8,0)</f>
        <v>41346.774139206958</v>
      </c>
      <c r="L373" s="3">
        <f>IF(B373&lt;='Input sheet(dashboard)'!$D$27*12,'Input sheet(dashboard)'!$D$9*(1+'Input sheet(dashboard)'!$E$22)^B373,0)</f>
        <v>6423.5302101019688</v>
      </c>
      <c r="M373" s="3">
        <f>IF(B373=1,'Input sheet(dashboard)'!$D$3*'Input sheet(dashboard)'!$D$10,0)</f>
        <v>0</v>
      </c>
      <c r="N373" s="3">
        <f>IF(B373='Input sheet(dashboard)'!$D$27*12,J373*'Input sheet(dashboard)'!$D$11,0)</f>
        <v>0</v>
      </c>
      <c r="O373" s="3">
        <f>IF(SUM(F373:F384)&gt;=150000,150000/12*'Input sheet(dashboard)'!$D$28,SUM(F373:F384)/12*'Input sheet(dashboard)'!$D$28)</f>
        <v>1.1945172019159485E-12</v>
      </c>
      <c r="P373" s="3">
        <f t="shared" si="51"/>
        <v>0</v>
      </c>
      <c r="Q373" s="3">
        <f>IF(B373&lt;='Input sheet(dashboard)'!$D$27*12,'Input sheet(dashboard)'!$D$12/12,0)</f>
        <v>192.5</v>
      </c>
      <c r="R373" s="3">
        <f>IF(B373&lt;='Input sheet(dashboard)'!$D$27*12,('Input sheet(dashboard)'!$D$15/12)*(1+'Input sheet(dashboard)'!$E$22)^Calculations!B373,0)</f>
        <v>713.72557890021869</v>
      </c>
      <c r="S373" s="3">
        <f>IF(B373&lt;='Input sheet(dashboard)'!$D$27*12,(E373+G373+K373+L373-O373+M373+Q373+R373),0)</f>
        <v>48676.529928209144</v>
      </c>
      <c r="T373" s="3">
        <f>IF(B373&lt;='Input sheet(dashboard)'!$D$27*12,IF(D373=12,SUM(S362:S373),0),0)</f>
        <v>0</v>
      </c>
      <c r="U373" s="3">
        <f>IF(B373&lt;='Input sheet(dashboard)'!$D$27*12,IF(S373&lt;AD373,AD373-S373,0),0)</f>
        <v>67456.175377101346</v>
      </c>
      <c r="V373" s="3">
        <f>IF(B373&lt;='Input sheet(dashboard)'!$D$27*12,V372*(1+'Input sheet(dashboard)'!$E$25)+U373,0)</f>
        <v>2158865.5934226923</v>
      </c>
      <c r="W373" s="17">
        <f>IF(B373&lt;='Input sheet(dashboard)'!$D$27*12,J373-I373+V373-N373,0)</f>
        <v>42078665.961902469</v>
      </c>
      <c r="X373" s="3">
        <f>IF(B373&lt;='Input sheet(dashboard)'!$D$27*12,'Input sheet(dashboard)'!$D$17*(1+'Input sheet(dashboard)'!$E$23)^(B373-1),0)</f>
        <v>116132.70530531049</v>
      </c>
      <c r="Y373" s="3"/>
      <c r="Z373" s="18"/>
      <c r="AA373" s="18"/>
      <c r="AB373" s="3">
        <f>IF(B373=1,'Input sheet(dashboard)'!$D$18*Calculations!X373,IF(Calculations!B373=12*'Input sheet(dashboard)'!$D$27,'Input sheet(dashboard)'!$D$18*-Calculations!X373,0))</f>
        <v>0</v>
      </c>
      <c r="AC373" s="3">
        <f>IF(B373&lt;='Input sheet(dashboard)'!$D$27*12,IF(MOD(B372,'Input sheet(dashboard)'!$D$19*12),0,'Input sheet(dashboard)'!$D$20*(1+'Input sheet(dashboard)'!$E$22)^Calculations!B373),0)</f>
        <v>0</v>
      </c>
      <c r="AD373" s="17">
        <f t="shared" si="48"/>
        <v>116132.70530531049</v>
      </c>
      <c r="AE373" s="17">
        <f>IF(B373&lt;='Input sheet(dashboard)'!$D$27*12,IF(D373=12,SUM(AD362:AD373),0),0)</f>
        <v>0</v>
      </c>
      <c r="AF373" s="17">
        <f t="shared" si="49"/>
        <v>-67456.175377101346</v>
      </c>
      <c r="AG373" s="17">
        <f t="shared" si="50"/>
        <v>0</v>
      </c>
      <c r="AH373" s="3">
        <f>IF(B373&lt;='Input sheet(dashboard)'!$D$27*12,AH372*(1+'Input sheet(dashboard)'!$E$25)+AG373," ")</f>
        <v>36554496.105515011</v>
      </c>
    </row>
    <row r="374" spans="2:34">
      <c r="B374">
        <f t="shared" si="45"/>
        <v>371</v>
      </c>
      <c r="C374">
        <f t="shared" si="52"/>
        <v>31</v>
      </c>
      <c r="D374">
        <f t="shared" si="53"/>
        <v>11</v>
      </c>
      <c r="E374" s="15">
        <f>IF(C374&lt;='Input sheet(dashboard)'!$D$6, -PMT('Input sheet(dashboard)'!$E$5,'Input sheet(dashboard)'!$D$6*12,'Input sheet(dashboard)'!$D$3*'Input sheet(dashboard)'!$D$4),0)</f>
        <v>0</v>
      </c>
      <c r="F374" s="3">
        <f>I373*'Input sheet(dashboard)'!$E$5</f>
        <v>7.8335871289599841E-12</v>
      </c>
      <c r="G374" s="3">
        <f>IF(C374&lt;='Input sheet(dashboard)'!$D$6,E374*'Input sheet(dashboard)'!$D$7,0)</f>
        <v>0</v>
      </c>
      <c r="H374" s="3">
        <f t="shared" si="46"/>
        <v>-7.8335871289599841E-12</v>
      </c>
      <c r="I374" s="3">
        <f t="shared" si="47"/>
        <v>2.1582704940450221E-9</v>
      </c>
      <c r="J374" s="3">
        <f>IF(B374&lt;='Input sheet(dashboard)'!$D$27*12,'Input sheet(dashboard)'!$D$3*(1+'Input sheet(dashboard)'!$E$24)^B374,0)</f>
        <v>40082438.576599486</v>
      </c>
      <c r="K374" s="3">
        <f>IF(B374&lt;='Input sheet(dashboard)'!$D$27*12,J374*'Input sheet(dashboard)'!$E$8,0)</f>
        <v>41515.226015104628</v>
      </c>
      <c r="L374" s="3">
        <f>IF(B374&lt;='Input sheet(dashboard)'!$D$27*12,'Input sheet(dashboard)'!$D$9*(1+'Input sheet(dashboard)'!$E$22)^B374,0)</f>
        <v>6436.7616306091659</v>
      </c>
      <c r="M374" s="3">
        <f>IF(B374=1,'Input sheet(dashboard)'!$D$3*'Input sheet(dashboard)'!$D$10,0)</f>
        <v>0</v>
      </c>
      <c r="N374" s="3">
        <f>IF(B374='Input sheet(dashboard)'!$D$27*12,J374*'Input sheet(dashboard)'!$D$11,0)</f>
        <v>0</v>
      </c>
      <c r="O374" s="3">
        <f>IF(SUM(F374:F385)&gt;=150000,150000/12*'Input sheet(dashboard)'!$D$28,SUM(F374:F385)/12*'Input sheet(dashboard)'!$D$28)</f>
        <v>1.1988685756057114E-12</v>
      </c>
      <c r="P374" s="3">
        <f t="shared" si="51"/>
        <v>0</v>
      </c>
      <c r="Q374" s="3">
        <f>IF(B374&lt;='Input sheet(dashboard)'!$D$27*12,'Input sheet(dashboard)'!$D$12/12,0)</f>
        <v>192.5</v>
      </c>
      <c r="R374" s="3">
        <f>IF(B374&lt;='Input sheet(dashboard)'!$D$27*12,('Input sheet(dashboard)'!$D$15/12)*(1+'Input sheet(dashboard)'!$E$22)^Calculations!B374,0)</f>
        <v>715.19573673435173</v>
      </c>
      <c r="S374" s="3">
        <f>IF(B374&lt;='Input sheet(dashboard)'!$D$27*12,(E374+G374+K374+L374-O374+M374+Q374+R374),0)</f>
        <v>48859.683382448144</v>
      </c>
      <c r="T374" s="3">
        <f>IF(B374&lt;='Input sheet(dashboard)'!$D$27*12,IF(D374=12,SUM(S363:S374),0),0)</f>
        <v>0</v>
      </c>
      <c r="U374" s="3">
        <f>IF(B374&lt;='Input sheet(dashboard)'!$D$27*12,IF(S374&lt;AD374,AD374-S374,0),0)</f>
        <v>67746.160939606183</v>
      </c>
      <c r="V374" s="3">
        <f>IF(B374&lt;='Input sheet(dashboard)'!$D$27*12,V373*(1+'Input sheet(dashboard)'!$E$25)+U374,0)</f>
        <v>2240501.9605938308</v>
      </c>
      <c r="W374" s="17">
        <f>IF(B374&lt;='Input sheet(dashboard)'!$D$27*12,J374-I374+V374-N374,0)</f>
        <v>42322940.537193313</v>
      </c>
      <c r="X374" s="3">
        <f>IF(B374&lt;='Input sheet(dashboard)'!$D$27*12,'Input sheet(dashboard)'!$D$17*(1+'Input sheet(dashboard)'!$E$23)^(B374-1),0)</f>
        <v>116605.84432205433</v>
      </c>
      <c r="Y374" s="3"/>
      <c r="Z374" s="18"/>
      <c r="AA374" s="18"/>
      <c r="AB374" s="3">
        <f>IF(B374=1,'Input sheet(dashboard)'!$D$18*Calculations!X374,IF(Calculations!B374=12*'Input sheet(dashboard)'!$D$27,'Input sheet(dashboard)'!$D$18*-Calculations!X374,0))</f>
        <v>0</v>
      </c>
      <c r="AC374" s="3">
        <f>IF(B374&lt;='Input sheet(dashboard)'!$D$27*12,IF(MOD(B373,'Input sheet(dashboard)'!$D$19*12),0,'Input sheet(dashboard)'!$D$20*(1+'Input sheet(dashboard)'!$E$22)^Calculations!B374),0)</f>
        <v>0</v>
      </c>
      <c r="AD374" s="17">
        <f t="shared" si="48"/>
        <v>116605.84432205433</v>
      </c>
      <c r="AE374" s="17">
        <f>IF(B374&lt;='Input sheet(dashboard)'!$D$27*12,IF(D374=12,SUM(AD363:AD374),0),0)</f>
        <v>0</v>
      </c>
      <c r="AF374" s="17">
        <f t="shared" si="49"/>
        <v>-67746.160939606183</v>
      </c>
      <c r="AG374" s="17">
        <f t="shared" si="50"/>
        <v>0</v>
      </c>
      <c r="AH374" s="3">
        <f>IF(B374&lt;='Input sheet(dashboard)'!$D$27*12,AH373*(1+'Input sheet(dashboard)'!$E$25)+AG374," ")</f>
        <v>36789688.834113896</v>
      </c>
    </row>
    <row r="375" spans="2:34">
      <c r="B375">
        <f t="shared" si="45"/>
        <v>372</v>
      </c>
      <c r="C375">
        <f t="shared" si="52"/>
        <v>31</v>
      </c>
      <c r="D375">
        <f t="shared" si="53"/>
        <v>12</v>
      </c>
      <c r="E375" s="15">
        <f>IF(C375&lt;='Input sheet(dashboard)'!$D$6, -PMT('Input sheet(dashboard)'!$E$5,'Input sheet(dashboard)'!$D$6*12,'Input sheet(dashboard)'!$D$3*'Input sheet(dashboard)'!$D$4),0)</f>
        <v>0</v>
      </c>
      <c r="F375" s="3">
        <f>I374*'Input sheet(dashboard)'!$E$5</f>
        <v>7.8621232311398025E-12</v>
      </c>
      <c r="G375" s="3">
        <f>IF(C375&lt;='Input sheet(dashboard)'!$D$6,E375*'Input sheet(dashboard)'!$D$7,0)</f>
        <v>0</v>
      </c>
      <c r="H375" s="3">
        <f t="shared" si="46"/>
        <v>-7.8621232311398025E-12</v>
      </c>
      <c r="I375" s="3">
        <f t="shared" si="47"/>
        <v>2.166132617276162E-9</v>
      </c>
      <c r="J375" s="3">
        <f>IF(B375&lt;='Input sheet(dashboard)'!$D$27*12,'Input sheet(dashboard)'!$D$3*(1+'Input sheet(dashboard)'!$E$24)^B375,0)</f>
        <v>40245739.392911039</v>
      </c>
      <c r="K375" s="3">
        <f>IF(B375&lt;='Input sheet(dashboard)'!$D$27*12,J375*'Input sheet(dashboard)'!$E$8,0)</f>
        <v>41684.364184796308</v>
      </c>
      <c r="L375" s="3">
        <f>IF(B375&lt;='Input sheet(dashboard)'!$D$27*12,'Input sheet(dashboard)'!$D$9*(1+'Input sheet(dashboard)'!$E$22)^B375,0)</f>
        <v>6450.0203056762284</v>
      </c>
      <c r="M375" s="3">
        <f>IF(B375=1,'Input sheet(dashboard)'!$D$3*'Input sheet(dashboard)'!$D$10,0)</f>
        <v>0</v>
      </c>
      <c r="N375" s="3">
        <f>IF(B375='Input sheet(dashboard)'!$D$27*12,J375*'Input sheet(dashboard)'!$D$11,0)</f>
        <v>0</v>
      </c>
      <c r="O375" s="3">
        <f>IF(SUM(F375:F386)&gt;=150000,150000/12*'Input sheet(dashboard)'!$D$28,SUM(F375:F386)/12*'Input sheet(dashboard)'!$D$28)</f>
        <v>1.2032358004301067E-12</v>
      </c>
      <c r="P375" s="3">
        <f t="shared" si="51"/>
        <v>1.5056319077729163E-11</v>
      </c>
      <c r="Q375" s="3">
        <f>IF(B375&lt;='Input sheet(dashboard)'!$D$27*12,'Input sheet(dashboard)'!$D$12/12,0)</f>
        <v>192.5</v>
      </c>
      <c r="R375" s="3">
        <f>IF(B375&lt;='Input sheet(dashboard)'!$D$27*12,('Input sheet(dashboard)'!$D$15/12)*(1+'Input sheet(dashboard)'!$E$22)^Calculations!B375,0)</f>
        <v>716.66892285291419</v>
      </c>
      <c r="S375" s="3">
        <f>IF(B375&lt;='Input sheet(dashboard)'!$D$27*12,(E375+G375+K375+L375-O375+M375+Q375+R375),0)</f>
        <v>49043.553413325448</v>
      </c>
      <c r="T375" s="3">
        <f>IF(B375&lt;='Input sheet(dashboard)'!$D$27*12,IF(D375=12,SUM(S364:S375),0),0)</f>
        <v>576543.46554994886</v>
      </c>
      <c r="U375" s="3">
        <f>IF(B375&lt;='Input sheet(dashboard)'!$D$27*12,IF(S375&lt;AD375,AD375-S375,0),0)</f>
        <v>68037.357552393747</v>
      </c>
      <c r="V375" s="3">
        <f>IF(B375&lt;='Input sheet(dashboard)'!$D$27*12,V374*(1+'Input sheet(dashboard)'!$E$25)+U375,0)</f>
        <v>2322954.775222207</v>
      </c>
      <c r="W375" s="17">
        <f>IF(B375&lt;='Input sheet(dashboard)'!$D$27*12,J375-I375+V375-N375,0)</f>
        <v>42568694.168133244</v>
      </c>
      <c r="X375" s="3">
        <f>IF(B375&lt;='Input sheet(dashboard)'!$D$27*12,'Input sheet(dashboard)'!$D$17*(1+'Input sheet(dashboard)'!$E$23)^(B375-1),0)</f>
        <v>117080.91096571919</v>
      </c>
      <c r="Y375" s="3"/>
      <c r="Z375" s="18"/>
      <c r="AA375" s="18"/>
      <c r="AB375" s="3">
        <f>IF(B375=1,'Input sheet(dashboard)'!$D$18*Calculations!X375,IF(Calculations!B375=12*'Input sheet(dashboard)'!$D$27,'Input sheet(dashboard)'!$D$18*-Calculations!X375,0))</f>
        <v>0</v>
      </c>
      <c r="AC375" s="3">
        <f>IF(B375&lt;='Input sheet(dashboard)'!$D$27*12,IF(MOD(B374,'Input sheet(dashboard)'!$D$19*12),0,'Input sheet(dashboard)'!$D$20*(1+'Input sheet(dashboard)'!$E$22)^Calculations!B375),0)</f>
        <v>0</v>
      </c>
      <c r="AD375" s="17">
        <f t="shared" si="48"/>
        <v>117080.91096571919</v>
      </c>
      <c r="AE375" s="17">
        <f>IF(B375&lt;='Input sheet(dashboard)'!$D$27*12,IF(D375=12,SUM(AD364:AD375),0),0)</f>
        <v>1390990.8443090648</v>
      </c>
      <c r="AF375" s="17">
        <f t="shared" si="49"/>
        <v>-68037.357552393747</v>
      </c>
      <c r="AG375" s="17">
        <f t="shared" si="50"/>
        <v>0</v>
      </c>
      <c r="AH375" s="3">
        <f>IF(B375&lt;='Input sheet(dashboard)'!$D$27*12,AH374*(1+'Input sheet(dashboard)'!$E$25)+AG375," ")</f>
        <v>37026394.799810238</v>
      </c>
    </row>
    <row r="376" spans="2:34">
      <c r="B376">
        <f t="shared" si="45"/>
        <v>373</v>
      </c>
      <c r="C376">
        <f t="shared" si="52"/>
        <v>32</v>
      </c>
      <c r="D376">
        <f t="shared" si="53"/>
        <v>1</v>
      </c>
      <c r="E376" s="15">
        <f>IF(C376&lt;='Input sheet(dashboard)'!$D$6, -PMT('Input sheet(dashboard)'!$E$5,'Input sheet(dashboard)'!$D$6*12,'Input sheet(dashboard)'!$D$3*'Input sheet(dashboard)'!$D$4),0)</f>
        <v>0</v>
      </c>
      <c r="F376" s="3">
        <f>I375*'Input sheet(dashboard)'!$E$5</f>
        <v>7.8907632843083831E-12</v>
      </c>
      <c r="G376" s="3">
        <f>IF(C376&lt;='Input sheet(dashboard)'!$D$6,E376*'Input sheet(dashboard)'!$D$7,0)</f>
        <v>0</v>
      </c>
      <c r="H376" s="3">
        <f t="shared" si="46"/>
        <v>-7.8907632843083831E-12</v>
      </c>
      <c r="I376" s="3">
        <f t="shared" si="47"/>
        <v>2.1740233805604704E-9</v>
      </c>
      <c r="J376" s="3">
        <f>IF(B376&lt;='Input sheet(dashboard)'!$D$27*12,'Input sheet(dashboard)'!$D$3*(1+'Input sheet(dashboard)'!$E$24)^B376,0)</f>
        <v>40409705.516962208</v>
      </c>
      <c r="K376" s="3">
        <f>IF(B376&lt;='Input sheet(dashboard)'!$D$27*12,J376*'Input sheet(dashboard)'!$E$8,0)</f>
        <v>41854.191444327844</v>
      </c>
      <c r="L376" s="3">
        <f>IF(B376&lt;='Input sheet(dashboard)'!$D$27*12,'Input sheet(dashboard)'!$D$9*(1+'Input sheet(dashboard)'!$E$22)^B376,0)</f>
        <v>6463.3062914430811</v>
      </c>
      <c r="M376" s="3">
        <f>IF(B376=1,'Input sheet(dashboard)'!$D$3*'Input sheet(dashboard)'!$D$10,0)</f>
        <v>0</v>
      </c>
      <c r="N376" s="3">
        <f>IF(B376='Input sheet(dashboard)'!$D$27*12,J376*'Input sheet(dashboard)'!$D$11,0)</f>
        <v>0</v>
      </c>
      <c r="O376" s="3">
        <f>IF(SUM(F376:F387)&gt;=150000,150000/12*'Input sheet(dashboard)'!$D$28,SUM(F376:F387)/12*'Input sheet(dashboard)'!$D$28)</f>
        <v>1.2076189341314669E-12</v>
      </c>
      <c r="P376" s="3">
        <f t="shared" si="51"/>
        <v>0</v>
      </c>
      <c r="Q376" s="3">
        <f>IF(B376&lt;='Input sheet(dashboard)'!$D$27*12,'Input sheet(dashboard)'!$D$12/12,0)</f>
        <v>192.5</v>
      </c>
      <c r="R376" s="3">
        <f>IF(B376&lt;='Input sheet(dashboard)'!$D$27*12,('Input sheet(dashboard)'!$D$15/12)*(1+'Input sheet(dashboard)'!$E$22)^Calculations!B376,0)</f>
        <v>718.14514349367562</v>
      </c>
      <c r="S376" s="3">
        <f>IF(B376&lt;='Input sheet(dashboard)'!$D$27*12,(E376+G376+K376+L376-O376+M376+Q376+R376),0)</f>
        <v>49228.142879264604</v>
      </c>
      <c r="T376" s="3">
        <f>IF(B376&lt;='Input sheet(dashboard)'!$D$27*12,IF(D376=12,SUM(S365:S376),0),0)</f>
        <v>0</v>
      </c>
      <c r="U376" s="3">
        <f>IF(B376&lt;='Input sheet(dashboard)'!$D$27*12,IF(S376&lt;AD376,AD376-S376,0),0)</f>
        <v>68329.770210431248</v>
      </c>
      <c r="V376" s="3">
        <f>IF(B376&lt;='Input sheet(dashboard)'!$D$27*12,V375*(1+'Input sheet(dashboard)'!$E$25)+U376,0)</f>
        <v>2406230.5064005945</v>
      </c>
      <c r="W376" s="17">
        <f>IF(B376&lt;='Input sheet(dashboard)'!$D$27*12,J376-I376+V376-N376,0)</f>
        <v>42815936.0233628</v>
      </c>
      <c r="X376" s="3">
        <f>IF(B376&lt;='Input sheet(dashboard)'!$D$27*12,'Input sheet(dashboard)'!$D$17*(1+'Input sheet(dashboard)'!$E$23)^(B376-1),0)</f>
        <v>117557.91308969585</v>
      </c>
      <c r="Y376" s="3"/>
      <c r="Z376" s="18"/>
      <c r="AA376" s="18"/>
      <c r="AB376" s="3">
        <f>IF(B376=1,'Input sheet(dashboard)'!$D$18*Calculations!X376,IF(Calculations!B376=12*'Input sheet(dashboard)'!$D$27,'Input sheet(dashboard)'!$D$18*-Calculations!X376,0))</f>
        <v>0</v>
      </c>
      <c r="AC376" s="3">
        <f>IF(B376&lt;='Input sheet(dashboard)'!$D$27*12,IF(MOD(B375,'Input sheet(dashboard)'!$D$19*12),0,'Input sheet(dashboard)'!$D$20*(1+'Input sheet(dashboard)'!$E$22)^Calculations!B376),0)</f>
        <v>0</v>
      </c>
      <c r="AD376" s="17">
        <f t="shared" si="48"/>
        <v>117557.91308969585</v>
      </c>
      <c r="AE376" s="17">
        <f>IF(B376&lt;='Input sheet(dashboard)'!$D$27*12,IF(D376=12,SUM(AD365:AD376),0),0)</f>
        <v>0</v>
      </c>
      <c r="AF376" s="17">
        <f t="shared" si="49"/>
        <v>-68329.770210431248</v>
      </c>
      <c r="AG376" s="17">
        <f t="shared" si="50"/>
        <v>0</v>
      </c>
      <c r="AH376" s="3">
        <f>IF(B376&lt;='Input sheet(dashboard)'!$D$27*12,AH375*(1+'Input sheet(dashboard)'!$E$25)+AG376," ")</f>
        <v>37264623.738817088</v>
      </c>
    </row>
    <row r="377" spans="2:34">
      <c r="B377">
        <f t="shared" si="45"/>
        <v>374</v>
      </c>
      <c r="C377">
        <f t="shared" si="52"/>
        <v>32</v>
      </c>
      <c r="D377">
        <f t="shared" si="53"/>
        <v>2</v>
      </c>
      <c r="E377" s="15">
        <f>IF(C377&lt;='Input sheet(dashboard)'!$D$6, -PMT('Input sheet(dashboard)'!$E$5,'Input sheet(dashboard)'!$D$6*12,'Input sheet(dashboard)'!$D$3*'Input sheet(dashboard)'!$D$4),0)</f>
        <v>0</v>
      </c>
      <c r="F377" s="3">
        <f>I376*'Input sheet(dashboard)'!$E$5</f>
        <v>7.9195076671372067E-12</v>
      </c>
      <c r="G377" s="3">
        <f>IF(C377&lt;='Input sheet(dashboard)'!$D$6,E377*'Input sheet(dashboard)'!$D$7,0)</f>
        <v>0</v>
      </c>
      <c r="H377" s="3">
        <f t="shared" si="46"/>
        <v>-7.9195076671372067E-12</v>
      </c>
      <c r="I377" s="3">
        <f t="shared" si="47"/>
        <v>2.1819428882276074E-9</v>
      </c>
      <c r="J377" s="3">
        <f>IF(B377&lt;='Input sheet(dashboard)'!$D$27*12,'Input sheet(dashboard)'!$D$3*(1+'Input sheet(dashboard)'!$E$24)^B377,0)</f>
        <v>40574339.659299091</v>
      </c>
      <c r="K377" s="3">
        <f>IF(B377&lt;='Input sheet(dashboard)'!$D$27*12,J377*'Input sheet(dashboard)'!$E$8,0)</f>
        <v>42024.710601136554</v>
      </c>
      <c r="L377" s="3">
        <f>IF(B377&lt;='Input sheet(dashboard)'!$D$27*12,'Input sheet(dashboard)'!$D$9*(1+'Input sheet(dashboard)'!$E$22)^B377,0)</f>
        <v>6476.6196441652992</v>
      </c>
      <c r="M377" s="3">
        <f>IF(B377=1,'Input sheet(dashboard)'!$D$3*'Input sheet(dashboard)'!$D$10,0)</f>
        <v>0</v>
      </c>
      <c r="N377" s="3">
        <f>IF(B377='Input sheet(dashboard)'!$D$27*12,J377*'Input sheet(dashboard)'!$D$11,0)</f>
        <v>0</v>
      </c>
      <c r="O377" s="3">
        <f>IF(SUM(F377:F388)&gt;=150000,150000/12*'Input sheet(dashboard)'!$D$28,SUM(F377:F388)/12*'Input sheet(dashboard)'!$D$28)</f>
        <v>1.212018034662469E-12</v>
      </c>
      <c r="P377" s="3">
        <f t="shared" si="51"/>
        <v>0</v>
      </c>
      <c r="Q377" s="3">
        <f>IF(B377&lt;='Input sheet(dashboard)'!$D$27*12,'Input sheet(dashboard)'!$D$12/12,0)</f>
        <v>192.5</v>
      </c>
      <c r="R377" s="3">
        <f>IF(B377&lt;='Input sheet(dashboard)'!$D$27*12,('Input sheet(dashboard)'!$D$15/12)*(1+'Input sheet(dashboard)'!$E$22)^Calculations!B377,0)</f>
        <v>719.62440490725544</v>
      </c>
      <c r="S377" s="3">
        <f>IF(B377&lt;='Input sheet(dashboard)'!$D$27*12,(E377+G377+K377+L377-O377+M377+Q377+R377),0)</f>
        <v>49413.454650209111</v>
      </c>
      <c r="T377" s="3">
        <f>IF(B377&lt;='Input sheet(dashboard)'!$D$27*12,IF(D377=12,SUM(S366:S377),0),0)</f>
        <v>0</v>
      </c>
      <c r="U377" s="3">
        <f>IF(B377&lt;='Input sheet(dashboard)'!$D$27*12,IF(S377&lt;AD377,AD377-S377,0),0)</f>
        <v>68623.403929161534</v>
      </c>
      <c r="V377" s="3">
        <f>IF(B377&lt;='Input sheet(dashboard)'!$D$27*12,V376*(1+'Input sheet(dashboard)'!$E$25)+U377,0)</f>
        <v>2490335.6698595462</v>
      </c>
      <c r="W377" s="17">
        <f>IF(B377&lt;='Input sheet(dashboard)'!$D$27*12,J377-I377+V377-N377,0)</f>
        <v>43064675.329158634</v>
      </c>
      <c r="X377" s="3">
        <f>IF(B377&lt;='Input sheet(dashboard)'!$D$27*12,'Input sheet(dashboard)'!$D$17*(1+'Input sheet(dashboard)'!$E$23)^(B377-1),0)</f>
        <v>118036.85857937064</v>
      </c>
      <c r="Y377" s="3"/>
      <c r="Z377" s="18"/>
      <c r="AA377" s="18"/>
      <c r="AB377" s="3">
        <f>IF(B377=1,'Input sheet(dashboard)'!$D$18*Calculations!X377,IF(Calculations!B377=12*'Input sheet(dashboard)'!$D$27,'Input sheet(dashboard)'!$D$18*-Calculations!X377,0))</f>
        <v>0</v>
      </c>
      <c r="AC377" s="3">
        <f>IF(B377&lt;='Input sheet(dashboard)'!$D$27*12,IF(MOD(B376,'Input sheet(dashboard)'!$D$19*12),0,'Input sheet(dashboard)'!$D$20*(1+'Input sheet(dashboard)'!$E$22)^Calculations!B377),0)</f>
        <v>0</v>
      </c>
      <c r="AD377" s="17">
        <f t="shared" si="48"/>
        <v>118036.85857937064</v>
      </c>
      <c r="AE377" s="17">
        <f>IF(B377&lt;='Input sheet(dashboard)'!$D$27*12,IF(D377=12,SUM(AD366:AD377),0),0)</f>
        <v>0</v>
      </c>
      <c r="AF377" s="17">
        <f t="shared" si="49"/>
        <v>-68623.403929161534</v>
      </c>
      <c r="AG377" s="17">
        <f t="shared" si="50"/>
        <v>0</v>
      </c>
      <c r="AH377" s="3">
        <f>IF(B377&lt;='Input sheet(dashboard)'!$D$27*12,AH376*(1+'Input sheet(dashboard)'!$E$25)+AG377," ")</f>
        <v>37504385.449990585</v>
      </c>
    </row>
    <row r="378" spans="2:34">
      <c r="B378">
        <f t="shared" si="45"/>
        <v>375</v>
      </c>
      <c r="C378">
        <f t="shared" si="52"/>
        <v>32</v>
      </c>
      <c r="D378">
        <f t="shared" si="53"/>
        <v>3</v>
      </c>
      <c r="E378" s="15">
        <f>IF(C378&lt;='Input sheet(dashboard)'!$D$6, -PMT('Input sheet(dashboard)'!$E$5,'Input sheet(dashboard)'!$D$6*12,'Input sheet(dashboard)'!$D$3*'Input sheet(dashboard)'!$D$4),0)</f>
        <v>0</v>
      </c>
      <c r="F378" s="3">
        <f>I377*'Input sheet(dashboard)'!$E$5</f>
        <v>7.9483567596771751E-12</v>
      </c>
      <c r="G378" s="3">
        <f>IF(C378&lt;='Input sheet(dashboard)'!$D$6,E378*'Input sheet(dashboard)'!$D$7,0)</f>
        <v>0</v>
      </c>
      <c r="H378" s="3">
        <f t="shared" si="46"/>
        <v>-7.9483567596771751E-12</v>
      </c>
      <c r="I378" s="3">
        <f t="shared" si="47"/>
        <v>2.1898912449872844E-9</v>
      </c>
      <c r="J378" s="3">
        <f>IF(B378&lt;='Input sheet(dashboard)'!$D$27*12,'Input sheet(dashboard)'!$D$3*(1+'Input sheet(dashboard)'!$E$24)^B378,0)</f>
        <v>40739644.541510865</v>
      </c>
      <c r="K378" s="3">
        <f>IF(B378&lt;='Input sheet(dashboard)'!$D$27*12,J378*'Input sheet(dashboard)'!$E$8,0)</f>
        <v>42195.924474097577</v>
      </c>
      <c r="L378" s="3">
        <f>IF(B378&lt;='Input sheet(dashboard)'!$D$27*12,'Input sheet(dashboard)'!$D$9*(1+'Input sheet(dashboard)'!$E$22)^B378,0)</f>
        <v>6489.9604202143264</v>
      </c>
      <c r="M378" s="3">
        <f>IF(B378=1,'Input sheet(dashboard)'!$D$3*'Input sheet(dashboard)'!$D$10,0)</f>
        <v>0</v>
      </c>
      <c r="N378" s="3">
        <f>IF(B378='Input sheet(dashboard)'!$D$27*12,J378*'Input sheet(dashboard)'!$D$11,0)</f>
        <v>0</v>
      </c>
      <c r="O378" s="3">
        <f>IF(SUM(F378:F389)&gt;=150000,150000/12*'Input sheet(dashboard)'!$D$28,SUM(F378:F389)/12*'Input sheet(dashboard)'!$D$28)</f>
        <v>1.216433160186898E-12</v>
      </c>
      <c r="P378" s="3">
        <f t="shared" si="51"/>
        <v>0</v>
      </c>
      <c r="Q378" s="3">
        <f>IF(B378&lt;='Input sheet(dashboard)'!$D$27*12,'Input sheet(dashboard)'!$D$12/12,0)</f>
        <v>192.5</v>
      </c>
      <c r="R378" s="3">
        <f>IF(B378&lt;='Input sheet(dashboard)'!$D$27*12,('Input sheet(dashboard)'!$D$15/12)*(1+'Input sheet(dashboard)'!$E$22)^Calculations!B378,0)</f>
        <v>721.10671335714733</v>
      </c>
      <c r="S378" s="3">
        <f>IF(B378&lt;='Input sheet(dashboard)'!$D$27*12,(E378+G378+K378+L378-O378+M378+Q378+R378),0)</f>
        <v>49599.49160766905</v>
      </c>
      <c r="T378" s="3">
        <f>IF(B378&lt;='Input sheet(dashboard)'!$D$27*12,IF(D378=12,SUM(S367:S378),0),0)</f>
        <v>0</v>
      </c>
      <c r="U378" s="3">
        <f>IF(B378&lt;='Input sheet(dashboard)'!$D$27*12,IF(S378&lt;AD378,AD378-S378,0),0)</f>
        <v>68918.263744586933</v>
      </c>
      <c r="V378" s="3">
        <f>IF(B378&lt;='Input sheet(dashboard)'!$D$27*12,V377*(1+'Input sheet(dashboard)'!$E$25)+U378,0)</f>
        <v>2575276.8282880252</v>
      </c>
      <c r="W378" s="17">
        <f>IF(B378&lt;='Input sheet(dashboard)'!$D$27*12,J378-I378+V378-N378,0)</f>
        <v>43314921.369798891</v>
      </c>
      <c r="X378" s="3">
        <f>IF(B378&lt;='Input sheet(dashboard)'!$D$27*12,'Input sheet(dashboard)'!$D$17*(1+'Input sheet(dashboard)'!$E$23)^(B378-1),0)</f>
        <v>118517.75535225599</v>
      </c>
      <c r="Y378" s="3"/>
      <c r="Z378" s="18"/>
      <c r="AA378" s="18"/>
      <c r="AB378" s="3">
        <f>IF(B378=1,'Input sheet(dashboard)'!$D$18*Calculations!X378,IF(Calculations!B378=12*'Input sheet(dashboard)'!$D$27,'Input sheet(dashboard)'!$D$18*-Calculations!X378,0))</f>
        <v>0</v>
      </c>
      <c r="AC378" s="3">
        <f>IF(B378&lt;='Input sheet(dashboard)'!$D$27*12,IF(MOD(B377,'Input sheet(dashboard)'!$D$19*12),0,'Input sheet(dashboard)'!$D$20*(1+'Input sheet(dashboard)'!$E$22)^Calculations!B378),0)</f>
        <v>0</v>
      </c>
      <c r="AD378" s="17">
        <f t="shared" si="48"/>
        <v>118517.75535225599</v>
      </c>
      <c r="AE378" s="17">
        <f>IF(B378&lt;='Input sheet(dashboard)'!$D$27*12,IF(D378=12,SUM(AD367:AD378),0),0)</f>
        <v>0</v>
      </c>
      <c r="AF378" s="17">
        <f t="shared" si="49"/>
        <v>-68918.263744586933</v>
      </c>
      <c r="AG378" s="17">
        <f t="shared" si="50"/>
        <v>0</v>
      </c>
      <c r="AH378" s="3">
        <f>IF(B378&lt;='Input sheet(dashboard)'!$D$27*12,AH377*(1+'Input sheet(dashboard)'!$E$25)+AG378," ")</f>
        <v>37745689.795232996</v>
      </c>
    </row>
    <row r="379" spans="2:34">
      <c r="B379">
        <f t="shared" si="45"/>
        <v>376</v>
      </c>
      <c r="C379">
        <f t="shared" si="52"/>
        <v>32</v>
      </c>
      <c r="D379">
        <f t="shared" si="53"/>
        <v>4</v>
      </c>
      <c r="E379" s="15">
        <f>IF(C379&lt;='Input sheet(dashboard)'!$D$6, -PMT('Input sheet(dashboard)'!$E$5,'Input sheet(dashboard)'!$D$6*12,'Input sheet(dashboard)'!$D$3*'Input sheet(dashboard)'!$D$4),0)</f>
        <v>0</v>
      </c>
      <c r="F379" s="3">
        <f>I378*'Input sheet(dashboard)'!$E$5</f>
        <v>7.9773109433636331E-12</v>
      </c>
      <c r="G379" s="3">
        <f>IF(C379&lt;='Input sheet(dashboard)'!$D$6,E379*'Input sheet(dashboard)'!$D$7,0)</f>
        <v>0</v>
      </c>
      <c r="H379" s="3">
        <f t="shared" si="46"/>
        <v>-7.9773109433636331E-12</v>
      </c>
      <c r="I379" s="3">
        <f t="shared" si="47"/>
        <v>2.1978685559306479E-9</v>
      </c>
      <c r="J379" s="3">
        <f>IF(B379&lt;='Input sheet(dashboard)'!$D$27*12,'Input sheet(dashboard)'!$D$3*(1+'Input sheet(dashboard)'!$E$24)^B379,0)</f>
        <v>40905622.896274827</v>
      </c>
      <c r="K379" s="3">
        <f>IF(B379&lt;='Input sheet(dashboard)'!$D$27*12,J379*'Input sheet(dashboard)'!$E$8,0)</f>
        <v>42367.835893570547</v>
      </c>
      <c r="L379" s="3">
        <f>IF(B379&lt;='Input sheet(dashboard)'!$D$27*12,'Input sheet(dashboard)'!$D$9*(1+'Input sheet(dashboard)'!$E$22)^B379,0)</f>
        <v>6503.3286760777282</v>
      </c>
      <c r="M379" s="3">
        <f>IF(B379=1,'Input sheet(dashboard)'!$D$3*'Input sheet(dashboard)'!$D$10,0)</f>
        <v>0</v>
      </c>
      <c r="N379" s="3">
        <f>IF(B379='Input sheet(dashboard)'!$D$27*12,J379*'Input sheet(dashboard)'!$D$11,0)</f>
        <v>0</v>
      </c>
      <c r="O379" s="3">
        <f>IF(SUM(F379:F390)&gt;=150000,150000/12*'Input sheet(dashboard)'!$D$28,SUM(F379:F390)/12*'Input sheet(dashboard)'!$D$28)</f>
        <v>1.2208643690804181E-12</v>
      </c>
      <c r="P379" s="3">
        <f t="shared" si="51"/>
        <v>0</v>
      </c>
      <c r="Q379" s="3">
        <f>IF(B379&lt;='Input sheet(dashboard)'!$D$27*12,'Input sheet(dashboard)'!$D$12/12,0)</f>
        <v>192.5</v>
      </c>
      <c r="R379" s="3">
        <f>IF(B379&lt;='Input sheet(dashboard)'!$D$27*12,('Input sheet(dashboard)'!$D$15/12)*(1+'Input sheet(dashboard)'!$E$22)^Calculations!B379,0)</f>
        <v>722.59207511974751</v>
      </c>
      <c r="S379" s="3">
        <f>IF(B379&lt;='Input sheet(dashboard)'!$D$27*12,(E379+G379+K379+L379-O379+M379+Q379+R379),0)</f>
        <v>49786.256644768022</v>
      </c>
      <c r="T379" s="3">
        <f>IF(B379&lt;='Input sheet(dashboard)'!$D$27*12,IF(D379=12,SUM(S368:S379),0),0)</f>
        <v>0</v>
      </c>
      <c r="U379" s="3">
        <f>IF(B379&lt;='Input sheet(dashboard)'!$D$27*12,IF(S379&lt;AD379,AD379-S379,0),0)</f>
        <v>69214.354713353212</v>
      </c>
      <c r="V379" s="3">
        <f>IF(B379&lt;='Input sheet(dashboard)'!$D$27*12,V378*(1+'Input sheet(dashboard)'!$E$25)+U379,0)</f>
        <v>2661060.5916561778</v>
      </c>
      <c r="W379" s="17">
        <f>IF(B379&lt;='Input sheet(dashboard)'!$D$27*12,J379-I379+V379-N379,0)</f>
        <v>43566683.487931006</v>
      </c>
      <c r="X379" s="3">
        <f>IF(B379&lt;='Input sheet(dashboard)'!$D$27*12,'Input sheet(dashboard)'!$D$17*(1+'Input sheet(dashboard)'!$E$23)^(B379-1),0)</f>
        <v>119000.61135812124</v>
      </c>
      <c r="Y379" s="3"/>
      <c r="Z379" s="18"/>
      <c r="AA379" s="18"/>
      <c r="AB379" s="3">
        <f>IF(B379=1,'Input sheet(dashboard)'!$D$18*Calculations!X379,IF(Calculations!B379=12*'Input sheet(dashboard)'!$D$27,'Input sheet(dashboard)'!$D$18*-Calculations!X379,0))</f>
        <v>0</v>
      </c>
      <c r="AC379" s="3">
        <f>IF(B379&lt;='Input sheet(dashboard)'!$D$27*12,IF(MOD(B378,'Input sheet(dashboard)'!$D$19*12),0,'Input sheet(dashboard)'!$D$20*(1+'Input sheet(dashboard)'!$E$22)^Calculations!B379),0)</f>
        <v>0</v>
      </c>
      <c r="AD379" s="17">
        <f t="shared" si="48"/>
        <v>119000.61135812124</v>
      </c>
      <c r="AE379" s="17">
        <f>IF(B379&lt;='Input sheet(dashboard)'!$D$27*12,IF(D379=12,SUM(AD368:AD379),0),0)</f>
        <v>0</v>
      </c>
      <c r="AF379" s="17">
        <f t="shared" si="49"/>
        <v>-69214.354713353212</v>
      </c>
      <c r="AG379" s="17">
        <f t="shared" si="50"/>
        <v>0</v>
      </c>
      <c r="AH379" s="3">
        <f>IF(B379&lt;='Input sheet(dashboard)'!$D$27*12,AH378*(1+'Input sheet(dashboard)'!$E$25)+AG379," ")</f>
        <v>37988546.699898377</v>
      </c>
    </row>
    <row r="380" spans="2:34">
      <c r="B380">
        <f t="shared" si="45"/>
        <v>377</v>
      </c>
      <c r="C380">
        <f t="shared" si="52"/>
        <v>32</v>
      </c>
      <c r="D380">
        <f t="shared" si="53"/>
        <v>5</v>
      </c>
      <c r="E380" s="15">
        <f>IF(C380&lt;='Input sheet(dashboard)'!$D$6, -PMT('Input sheet(dashboard)'!$E$5,'Input sheet(dashboard)'!$D$6*12,'Input sheet(dashboard)'!$D$3*'Input sheet(dashboard)'!$D$4),0)</f>
        <v>0</v>
      </c>
      <c r="F380" s="3">
        <f>I379*'Input sheet(dashboard)'!$E$5</f>
        <v>8.0063706010214181E-12</v>
      </c>
      <c r="G380" s="3">
        <f>IF(C380&lt;='Input sheet(dashboard)'!$D$6,E380*'Input sheet(dashboard)'!$D$7,0)</f>
        <v>0</v>
      </c>
      <c r="H380" s="3">
        <f t="shared" si="46"/>
        <v>-8.0063706010214181E-12</v>
      </c>
      <c r="I380" s="3">
        <f t="shared" si="47"/>
        <v>2.2058749265316695E-9</v>
      </c>
      <c r="J380" s="3">
        <f>IF(B380&lt;='Input sheet(dashboard)'!$D$27*12,'Input sheet(dashboard)'!$D$3*(1+'Input sheet(dashboard)'!$E$24)^B380,0)</f>
        <v>41072277.467401497</v>
      </c>
      <c r="K380" s="3">
        <f>IF(B380&lt;='Input sheet(dashboard)'!$D$27*12,J380*'Input sheet(dashboard)'!$E$8,0)</f>
        <v>42540.447701446254</v>
      </c>
      <c r="L380" s="3">
        <f>IF(B380&lt;='Input sheet(dashboard)'!$D$27*12,'Input sheet(dashboard)'!$D$9*(1+'Input sheet(dashboard)'!$E$22)^B380,0)</f>
        <v>6516.7244683594208</v>
      </c>
      <c r="M380" s="3">
        <f>IF(B380=1,'Input sheet(dashboard)'!$D$3*'Input sheet(dashboard)'!$D$10,0)</f>
        <v>0</v>
      </c>
      <c r="N380" s="3">
        <f>IF(B380='Input sheet(dashboard)'!$D$27*12,J380*'Input sheet(dashboard)'!$D$11,0)</f>
        <v>0</v>
      </c>
      <c r="O380" s="3">
        <f>IF(SUM(F380:F391)&gt;=150000,150000/12*'Input sheet(dashboard)'!$D$28,SUM(F380:F391)/12*'Input sheet(dashboard)'!$D$28)</f>
        <v>1.2253117199313435E-12</v>
      </c>
      <c r="P380" s="3">
        <f t="shared" si="51"/>
        <v>0</v>
      </c>
      <c r="Q380" s="3">
        <f>IF(B380&lt;='Input sheet(dashboard)'!$D$27*12,'Input sheet(dashboard)'!$D$12/12,0)</f>
        <v>192.5</v>
      </c>
      <c r="R380" s="3">
        <f>IF(B380&lt;='Input sheet(dashboard)'!$D$27*12,('Input sheet(dashboard)'!$D$15/12)*(1+'Input sheet(dashboard)'!$E$22)^Calculations!B380,0)</f>
        <v>724.08049648438009</v>
      </c>
      <c r="S380" s="3">
        <f>IF(B380&lt;='Input sheet(dashboard)'!$D$27*12,(E380+G380+K380+L380-O380+M380+Q380+R380),0)</f>
        <v>49973.752666290049</v>
      </c>
      <c r="T380" s="3">
        <f>IF(B380&lt;='Input sheet(dashboard)'!$D$27*12,IF(D380=12,SUM(S369:S380),0),0)</f>
        <v>0</v>
      </c>
      <c r="U380" s="3">
        <f>IF(B380&lt;='Input sheet(dashboard)'!$D$27*12,IF(S380&lt;AD380,AD380-S380,0),0)</f>
        <v>69511.681912834058</v>
      </c>
      <c r="V380" s="3">
        <f>IF(B380&lt;='Input sheet(dashboard)'!$D$27*12,V379*(1+'Input sheet(dashboard)'!$E$25)+U380,0)</f>
        <v>2747693.617540271</v>
      </c>
      <c r="W380" s="17">
        <f>IF(B380&lt;='Input sheet(dashboard)'!$D$27*12,J380-I380+V380-N380,0)</f>
        <v>43819971.084941767</v>
      </c>
      <c r="X380" s="3">
        <f>IF(B380&lt;='Input sheet(dashboard)'!$D$27*12,'Input sheet(dashboard)'!$D$17*(1+'Input sheet(dashboard)'!$E$23)^(B380-1),0)</f>
        <v>119485.43457912411</v>
      </c>
      <c r="Y380" s="3"/>
      <c r="Z380" s="18"/>
      <c r="AA380" s="18"/>
      <c r="AB380" s="3">
        <f>IF(B380=1,'Input sheet(dashboard)'!$D$18*Calculations!X380,IF(Calculations!B380=12*'Input sheet(dashboard)'!$D$27,'Input sheet(dashboard)'!$D$18*-Calculations!X380,0))</f>
        <v>0</v>
      </c>
      <c r="AC380" s="3">
        <f>IF(B380&lt;='Input sheet(dashboard)'!$D$27*12,IF(MOD(B379,'Input sheet(dashboard)'!$D$19*12),0,'Input sheet(dashboard)'!$D$20*(1+'Input sheet(dashboard)'!$E$22)^Calculations!B380),0)</f>
        <v>0</v>
      </c>
      <c r="AD380" s="17">
        <f t="shared" si="48"/>
        <v>119485.43457912411</v>
      </c>
      <c r="AE380" s="17">
        <f>IF(B380&lt;='Input sheet(dashboard)'!$D$27*12,IF(D380=12,SUM(AD369:AD380),0),0)</f>
        <v>0</v>
      </c>
      <c r="AF380" s="17">
        <f t="shared" si="49"/>
        <v>-69511.681912834058</v>
      </c>
      <c r="AG380" s="17">
        <f t="shared" si="50"/>
        <v>0</v>
      </c>
      <c r="AH380" s="3">
        <f>IF(B380&lt;='Input sheet(dashboard)'!$D$27*12,AH379*(1+'Input sheet(dashboard)'!$E$25)+AG380," ")</f>
        <v>38232966.153200798</v>
      </c>
    </row>
    <row r="381" spans="2:34">
      <c r="B381">
        <f t="shared" si="45"/>
        <v>378</v>
      </c>
      <c r="C381">
        <f t="shared" si="52"/>
        <v>32</v>
      </c>
      <c r="D381">
        <f t="shared" si="53"/>
        <v>6</v>
      </c>
      <c r="E381" s="15">
        <f>IF(C381&lt;='Input sheet(dashboard)'!$D$6, -PMT('Input sheet(dashboard)'!$E$5,'Input sheet(dashboard)'!$D$6*12,'Input sheet(dashboard)'!$D$3*'Input sheet(dashboard)'!$D$4),0)</f>
        <v>0</v>
      </c>
      <c r="F381" s="3">
        <f>I380*'Input sheet(dashboard)'!$E$5</f>
        <v>8.0355361168699113E-12</v>
      </c>
      <c r="G381" s="3">
        <f>IF(C381&lt;='Input sheet(dashboard)'!$D$6,E381*'Input sheet(dashboard)'!$D$7,0)</f>
        <v>0</v>
      </c>
      <c r="H381" s="3">
        <f t="shared" si="46"/>
        <v>-8.0355361168699113E-12</v>
      </c>
      <c r="I381" s="3">
        <f t="shared" si="47"/>
        <v>2.2139104626485395E-9</v>
      </c>
      <c r="J381" s="3">
        <f>IF(B381&lt;='Input sheet(dashboard)'!$D$27*12,'Input sheet(dashboard)'!$D$3*(1+'Input sheet(dashboard)'!$E$24)^B381,0)</f>
        <v>41239611.009880029</v>
      </c>
      <c r="K381" s="3">
        <f>IF(B381&lt;='Input sheet(dashboard)'!$D$27*12,J381*'Input sheet(dashboard)'!$E$8,0)</f>
        <v>42713.762751193754</v>
      </c>
      <c r="L381" s="3">
        <f>IF(B381&lt;='Input sheet(dashboard)'!$D$27*12,'Input sheet(dashboard)'!$D$9*(1+'Input sheet(dashboard)'!$E$22)^B381,0)</f>
        <v>6530.1478537799185</v>
      </c>
      <c r="M381" s="3">
        <f>IF(B381=1,'Input sheet(dashboard)'!$D$3*'Input sheet(dashboard)'!$D$10,0)</f>
        <v>0</v>
      </c>
      <c r="N381" s="3">
        <f>IF(B381='Input sheet(dashboard)'!$D$27*12,J381*'Input sheet(dashboard)'!$D$11,0)</f>
        <v>0</v>
      </c>
      <c r="O381" s="3">
        <f>IF(SUM(F381:F392)&gt;=150000,150000/12*'Input sheet(dashboard)'!$D$28,SUM(F381:F392)/12*'Input sheet(dashboard)'!$D$28)</f>
        <v>1.2297752715414128E-12</v>
      </c>
      <c r="P381" s="3">
        <f t="shared" si="51"/>
        <v>0</v>
      </c>
      <c r="Q381" s="3">
        <f>IF(B381&lt;='Input sheet(dashboard)'!$D$27*12,'Input sheet(dashboard)'!$D$12/12,0)</f>
        <v>192.5</v>
      </c>
      <c r="R381" s="3">
        <f>IF(B381&lt;='Input sheet(dashboard)'!$D$27*12,('Input sheet(dashboard)'!$D$15/12)*(1+'Input sheet(dashboard)'!$E$22)^Calculations!B381,0)</f>
        <v>725.57198375332416</v>
      </c>
      <c r="S381" s="3">
        <f>IF(B381&lt;='Input sheet(dashboard)'!$D$27*12,(E381+G381+K381+L381-O381+M381+Q381+R381),0)</f>
        <v>50161.982588726998</v>
      </c>
      <c r="T381" s="3">
        <f>IF(B381&lt;='Input sheet(dashboard)'!$D$27*12,IF(D381=12,SUM(S370:S381),0),0)</f>
        <v>0</v>
      </c>
      <c r="U381" s="3">
        <f>IF(B381&lt;='Input sheet(dashboard)'!$D$27*12,IF(S381&lt;AD381,AD381-S381,0),0)</f>
        <v>69810.250441215481</v>
      </c>
      <c r="V381" s="3">
        <f>IF(B381&lt;='Input sheet(dashboard)'!$D$27*12,V380*(1+'Input sheet(dashboard)'!$E$25)+U381,0)</f>
        <v>2835182.6114498046</v>
      </c>
      <c r="W381" s="17">
        <f>IF(B381&lt;='Input sheet(dashboard)'!$D$27*12,J381-I381+V381-N381,0)</f>
        <v>44074793.621329837</v>
      </c>
      <c r="X381" s="3">
        <f>IF(B381&lt;='Input sheet(dashboard)'!$D$27*12,'Input sheet(dashboard)'!$D$17*(1+'Input sheet(dashboard)'!$E$23)^(B381-1),0)</f>
        <v>119972.23302994248</v>
      </c>
      <c r="Y381" s="3"/>
      <c r="Z381" s="18"/>
      <c r="AA381" s="18"/>
      <c r="AB381" s="3">
        <f>IF(B381=1,'Input sheet(dashboard)'!$D$18*Calculations!X381,IF(Calculations!B381=12*'Input sheet(dashboard)'!$D$27,'Input sheet(dashboard)'!$D$18*-Calculations!X381,0))</f>
        <v>0</v>
      </c>
      <c r="AC381" s="3">
        <f>IF(B381&lt;='Input sheet(dashboard)'!$D$27*12,IF(MOD(B380,'Input sheet(dashboard)'!$D$19*12),0,'Input sheet(dashboard)'!$D$20*(1+'Input sheet(dashboard)'!$E$22)^Calculations!B381),0)</f>
        <v>0</v>
      </c>
      <c r="AD381" s="17">
        <f t="shared" si="48"/>
        <v>119972.23302994248</v>
      </c>
      <c r="AE381" s="17">
        <f>IF(B381&lt;='Input sheet(dashboard)'!$D$27*12,IF(D381=12,SUM(AD370:AD381),0),0)</f>
        <v>0</v>
      </c>
      <c r="AF381" s="17">
        <f t="shared" si="49"/>
        <v>-69810.250441215481</v>
      </c>
      <c r="AG381" s="17">
        <f t="shared" si="50"/>
        <v>0</v>
      </c>
      <c r="AH381" s="3">
        <f>IF(B381&lt;='Input sheet(dashboard)'!$D$27*12,AH380*(1+'Input sheet(dashboard)'!$E$25)+AG381," ")</f>
        <v>38478958.208625235</v>
      </c>
    </row>
    <row r="382" spans="2:34">
      <c r="B382">
        <f t="shared" si="45"/>
        <v>379</v>
      </c>
      <c r="C382">
        <f t="shared" si="52"/>
        <v>32</v>
      </c>
      <c r="D382">
        <f t="shared" si="53"/>
        <v>7</v>
      </c>
      <c r="E382" s="15">
        <f>IF(C382&lt;='Input sheet(dashboard)'!$D$6, -PMT('Input sheet(dashboard)'!$E$5,'Input sheet(dashboard)'!$D$6*12,'Input sheet(dashboard)'!$D$3*'Input sheet(dashboard)'!$D$4),0)</f>
        <v>0</v>
      </c>
      <c r="F382" s="3">
        <f>I381*'Input sheet(dashboard)'!$E$5</f>
        <v>8.0648078765281288E-12</v>
      </c>
      <c r="G382" s="3">
        <f>IF(C382&lt;='Input sheet(dashboard)'!$D$6,E382*'Input sheet(dashboard)'!$D$7,0)</f>
        <v>0</v>
      </c>
      <c r="H382" s="3">
        <f t="shared" si="46"/>
        <v>-8.0648078765281288E-12</v>
      </c>
      <c r="I382" s="3">
        <f t="shared" si="47"/>
        <v>2.2219752705250678E-9</v>
      </c>
      <c r="J382" s="3">
        <f>IF(B382&lt;='Input sheet(dashboard)'!$D$27*12,'Input sheet(dashboard)'!$D$3*(1+'Input sheet(dashboard)'!$E$24)^B382,0)</f>
        <v>41407626.289923795</v>
      </c>
      <c r="K382" s="3">
        <f>IF(B382&lt;='Input sheet(dashboard)'!$D$27*12,J382*'Input sheet(dashboard)'!$E$8,0)</f>
        <v>42887.783907907513</v>
      </c>
      <c r="L382" s="3">
        <f>IF(B382&lt;='Input sheet(dashboard)'!$D$27*12,'Input sheet(dashboard)'!$D$9*(1+'Input sheet(dashboard)'!$E$22)^B382,0)</f>
        <v>6543.598889176571</v>
      </c>
      <c r="M382" s="3">
        <f>IF(B382=1,'Input sheet(dashboard)'!$D$3*'Input sheet(dashboard)'!$D$10,0)</f>
        <v>0</v>
      </c>
      <c r="N382" s="3">
        <f>IF(B382='Input sheet(dashboard)'!$D$27*12,J382*'Input sheet(dashboard)'!$D$11,0)</f>
        <v>0</v>
      </c>
      <c r="O382" s="3">
        <f>IF(SUM(F382:F393)&gt;=150000,150000/12*'Input sheet(dashboard)'!$D$28,SUM(F382:F393)/12*'Input sheet(dashboard)'!$D$28)</f>
        <v>1.2342550829265677E-12</v>
      </c>
      <c r="P382" s="3">
        <f t="shared" si="51"/>
        <v>0</v>
      </c>
      <c r="Q382" s="3">
        <f>IF(B382&lt;='Input sheet(dashboard)'!$D$27*12,'Input sheet(dashboard)'!$D$12/12,0)</f>
        <v>192.5</v>
      </c>
      <c r="R382" s="3">
        <f>IF(B382&lt;='Input sheet(dashboard)'!$D$27*12,('Input sheet(dashboard)'!$D$15/12)*(1+'Input sheet(dashboard)'!$E$22)^Calculations!B382,0)</f>
        <v>727.06654324184115</v>
      </c>
      <c r="S382" s="3">
        <f>IF(B382&lt;='Input sheet(dashboard)'!$D$27*12,(E382+G382+K382+L382-O382+M382+Q382+R382),0)</f>
        <v>50350.949340325926</v>
      </c>
      <c r="T382" s="3">
        <f>IF(B382&lt;='Input sheet(dashboard)'!$D$27*12,IF(D382=12,SUM(S371:S382),0),0)</f>
        <v>0</v>
      </c>
      <c r="U382" s="3">
        <f>IF(B382&lt;='Input sheet(dashboard)'!$D$27*12,IF(S382&lt;AD382,AD382-S382,0),0)</f>
        <v>70110.065417581209</v>
      </c>
      <c r="V382" s="3">
        <f>IF(B382&lt;='Input sheet(dashboard)'!$D$27*12,V381*(1+'Input sheet(dashboard)'!$E$25)+U382,0)</f>
        <v>2923534.327156812</v>
      </c>
      <c r="W382" s="17">
        <f>IF(B382&lt;='Input sheet(dashboard)'!$D$27*12,J382-I382+V382-N382,0)</f>
        <v>44331160.617080607</v>
      </c>
      <c r="X382" s="3">
        <f>IF(B382&lt;='Input sheet(dashboard)'!$D$27*12,'Input sheet(dashboard)'!$D$17*(1+'Input sheet(dashboard)'!$E$23)^(B382-1),0)</f>
        <v>120461.01475790713</v>
      </c>
      <c r="Y382" s="3"/>
      <c r="Z382" s="18"/>
      <c r="AA382" s="18"/>
      <c r="AB382" s="3">
        <f>IF(B382=1,'Input sheet(dashboard)'!$D$18*Calculations!X382,IF(Calculations!B382=12*'Input sheet(dashboard)'!$D$27,'Input sheet(dashboard)'!$D$18*-Calculations!X382,0))</f>
        <v>0</v>
      </c>
      <c r="AC382" s="3">
        <f>IF(B382&lt;='Input sheet(dashboard)'!$D$27*12,IF(MOD(B381,'Input sheet(dashboard)'!$D$19*12),0,'Input sheet(dashboard)'!$D$20*(1+'Input sheet(dashboard)'!$E$22)^Calculations!B382),0)</f>
        <v>0</v>
      </c>
      <c r="AD382" s="17">
        <f t="shared" si="48"/>
        <v>120461.01475790713</v>
      </c>
      <c r="AE382" s="17">
        <f>IF(B382&lt;='Input sheet(dashboard)'!$D$27*12,IF(D382=12,SUM(AD371:AD382),0),0)</f>
        <v>0</v>
      </c>
      <c r="AF382" s="17">
        <f t="shared" si="49"/>
        <v>-70110.065417581209</v>
      </c>
      <c r="AG382" s="17">
        <f t="shared" si="50"/>
        <v>0</v>
      </c>
      <c r="AH382" s="3">
        <f>IF(B382&lt;='Input sheet(dashboard)'!$D$27*12,AH381*(1+'Input sheet(dashboard)'!$E$25)+AG382," ")</f>
        <v>38726532.984341092</v>
      </c>
    </row>
    <row r="383" spans="2:34">
      <c r="B383">
        <f t="shared" si="45"/>
        <v>380</v>
      </c>
      <c r="C383">
        <f t="shared" si="52"/>
        <v>32</v>
      </c>
      <c r="D383">
        <f t="shared" si="53"/>
        <v>8</v>
      </c>
      <c r="E383" s="15">
        <f>IF(C383&lt;='Input sheet(dashboard)'!$D$6, -PMT('Input sheet(dashboard)'!$E$5,'Input sheet(dashboard)'!$D$6*12,'Input sheet(dashboard)'!$D$3*'Input sheet(dashboard)'!$D$4),0)</f>
        <v>0</v>
      </c>
      <c r="F383" s="3">
        <f>I382*'Input sheet(dashboard)'!$E$5</f>
        <v>8.0941862670198107E-12</v>
      </c>
      <c r="G383" s="3">
        <f>IF(C383&lt;='Input sheet(dashboard)'!$D$6,E383*'Input sheet(dashboard)'!$D$7,0)</f>
        <v>0</v>
      </c>
      <c r="H383" s="3">
        <f t="shared" si="46"/>
        <v>-8.0941862670198107E-12</v>
      </c>
      <c r="I383" s="3">
        <f t="shared" si="47"/>
        <v>2.2300694567920877E-9</v>
      </c>
      <c r="J383" s="3">
        <f>IF(B383&lt;='Input sheet(dashboard)'!$D$27*12,'Input sheet(dashboard)'!$D$3*(1+'Input sheet(dashboard)'!$E$24)^B383,0)</f>
        <v>41576326.085015997</v>
      </c>
      <c r="K383" s="3">
        <f>IF(B383&lt;='Input sheet(dashboard)'!$D$27*12,J383*'Input sheet(dashboard)'!$E$8,0)</f>
        <v>43062.514048354693</v>
      </c>
      <c r="L383" s="3">
        <f>IF(B383&lt;='Input sheet(dashboard)'!$D$27*12,'Input sheet(dashboard)'!$D$9*(1+'Input sheet(dashboard)'!$E$22)^B383,0)</f>
        <v>6557.0776315038001</v>
      </c>
      <c r="M383" s="3">
        <f>IF(B383=1,'Input sheet(dashboard)'!$D$3*'Input sheet(dashboard)'!$D$10,0)</f>
        <v>0</v>
      </c>
      <c r="N383" s="3">
        <f>IF(B383='Input sheet(dashboard)'!$D$27*12,J383*'Input sheet(dashboard)'!$D$11,0)</f>
        <v>0</v>
      </c>
      <c r="O383" s="3">
        <f>IF(SUM(F383:F394)&gt;=150000,150000/12*'Input sheet(dashboard)'!$D$28,SUM(F383:F394)/12*'Input sheet(dashboard)'!$D$28)</f>
        <v>1.2387512133177321E-12</v>
      </c>
      <c r="P383" s="3">
        <f t="shared" si="51"/>
        <v>0</v>
      </c>
      <c r="Q383" s="3">
        <f>IF(B383&lt;='Input sheet(dashboard)'!$D$27*12,'Input sheet(dashboard)'!$D$12/12,0)</f>
        <v>192.5</v>
      </c>
      <c r="R383" s="3">
        <f>IF(B383&lt;='Input sheet(dashboard)'!$D$27*12,('Input sheet(dashboard)'!$D$15/12)*(1+'Input sheet(dashboard)'!$E$22)^Calculations!B383,0)</f>
        <v>728.56418127819995</v>
      </c>
      <c r="S383" s="3">
        <f>IF(B383&lt;='Input sheet(dashboard)'!$D$27*12,(E383+G383+K383+L383-O383+M383+Q383+R383),0)</f>
        <v>50540.655861136693</v>
      </c>
      <c r="T383" s="3">
        <f>IF(B383&lt;='Input sheet(dashboard)'!$D$27*12,IF(D383=12,SUM(S372:S383),0),0)</f>
        <v>0</v>
      </c>
      <c r="U383" s="3">
        <f>IF(B383&lt;='Input sheet(dashboard)'!$D$27*12,IF(S383&lt;AD383,AD383-S383,0),0)</f>
        <v>70411.131981998071</v>
      </c>
      <c r="V383" s="3">
        <f>IF(B383&lt;='Input sheet(dashboard)'!$D$27*12,V382*(1+'Input sheet(dashboard)'!$E$25)+U383,0)</f>
        <v>3012755.5670273658</v>
      </c>
      <c r="W383" s="17">
        <f>IF(B383&lt;='Input sheet(dashboard)'!$D$27*12,J383-I383+V383-N383,0)</f>
        <v>44589081.652043365</v>
      </c>
      <c r="X383" s="3">
        <f>IF(B383&lt;='Input sheet(dashboard)'!$D$27*12,'Input sheet(dashboard)'!$D$17*(1+'Input sheet(dashboard)'!$E$23)^(B383-1),0)</f>
        <v>120951.78784313476</v>
      </c>
      <c r="Y383" s="3"/>
      <c r="Z383" s="18"/>
      <c r="AA383" s="18"/>
      <c r="AB383" s="3">
        <f>IF(B383=1,'Input sheet(dashboard)'!$D$18*Calculations!X383,IF(Calculations!B383=12*'Input sheet(dashboard)'!$D$27,'Input sheet(dashboard)'!$D$18*-Calculations!X383,0))</f>
        <v>0</v>
      </c>
      <c r="AC383" s="3">
        <f>IF(B383&lt;='Input sheet(dashboard)'!$D$27*12,IF(MOD(B382,'Input sheet(dashboard)'!$D$19*12),0,'Input sheet(dashboard)'!$D$20*(1+'Input sheet(dashboard)'!$E$22)^Calculations!B383),0)</f>
        <v>0</v>
      </c>
      <c r="AD383" s="17">
        <f t="shared" si="48"/>
        <v>120951.78784313476</v>
      </c>
      <c r="AE383" s="17">
        <f>IF(B383&lt;='Input sheet(dashboard)'!$D$27*12,IF(D383=12,SUM(AD372:AD383),0),0)</f>
        <v>0</v>
      </c>
      <c r="AF383" s="17">
        <f t="shared" si="49"/>
        <v>-70411.131981998071</v>
      </c>
      <c r="AG383" s="17">
        <f t="shared" si="50"/>
        <v>0</v>
      </c>
      <c r="AH383" s="3">
        <f>IF(B383&lt;='Input sheet(dashboard)'!$D$27*12,AH382*(1+'Input sheet(dashboard)'!$E$25)+AG383," ")</f>
        <v>38975700.663618386</v>
      </c>
    </row>
    <row r="384" spans="2:34">
      <c r="B384">
        <f t="shared" si="45"/>
        <v>381</v>
      </c>
      <c r="C384">
        <f t="shared" si="52"/>
        <v>32</v>
      </c>
      <c r="D384">
        <f t="shared" si="53"/>
        <v>9</v>
      </c>
      <c r="E384" s="15">
        <f>IF(C384&lt;='Input sheet(dashboard)'!$D$6, -PMT('Input sheet(dashboard)'!$E$5,'Input sheet(dashboard)'!$D$6*12,'Input sheet(dashboard)'!$D$3*'Input sheet(dashboard)'!$D$4),0)</f>
        <v>0</v>
      </c>
      <c r="F384" s="3">
        <f>I383*'Input sheet(dashboard)'!$E$5</f>
        <v>8.123671676778549E-12</v>
      </c>
      <c r="G384" s="3">
        <f>IF(C384&lt;='Input sheet(dashboard)'!$D$6,E384*'Input sheet(dashboard)'!$D$7,0)</f>
        <v>0</v>
      </c>
      <c r="H384" s="3">
        <f t="shared" si="46"/>
        <v>-8.123671676778549E-12</v>
      </c>
      <c r="I384" s="3">
        <f t="shared" si="47"/>
        <v>2.2381931284688661E-9</v>
      </c>
      <c r="J384" s="3">
        <f>IF(B384&lt;='Input sheet(dashboard)'!$D$27*12,'Input sheet(dashboard)'!$D$3*(1+'Input sheet(dashboard)'!$E$24)^B384,0)</f>
        <v>41745713.183955684</v>
      </c>
      <c r="K384" s="3">
        <f>IF(B384&lt;='Input sheet(dashboard)'!$D$27*12,J384*'Input sheet(dashboard)'!$E$8,0)</f>
        <v>43237.956061022785</v>
      </c>
      <c r="L384" s="3">
        <f>IF(B384&lt;='Input sheet(dashboard)'!$D$27*12,'Input sheet(dashboard)'!$D$9*(1+'Input sheet(dashboard)'!$E$22)^B384,0)</f>
        <v>6570.5841378333453</v>
      </c>
      <c r="M384" s="3">
        <f>IF(B384=1,'Input sheet(dashboard)'!$D$3*'Input sheet(dashboard)'!$D$10,0)</f>
        <v>0</v>
      </c>
      <c r="N384" s="3">
        <f>IF(B384='Input sheet(dashboard)'!$D$27*12,J384*'Input sheet(dashboard)'!$D$11,0)</f>
        <v>0</v>
      </c>
      <c r="O384" s="3">
        <f>IF(SUM(F384:F395)&gt;=150000,150000/12*'Input sheet(dashboard)'!$D$28,SUM(F384:F395)/12*'Input sheet(dashboard)'!$D$28)</f>
        <v>1.2432637221615956E-12</v>
      </c>
      <c r="P384" s="3">
        <f t="shared" si="51"/>
        <v>0</v>
      </c>
      <c r="Q384" s="3">
        <f>IF(B384&lt;='Input sheet(dashboard)'!$D$27*12,'Input sheet(dashboard)'!$D$12/12,0)</f>
        <v>192.5</v>
      </c>
      <c r="R384" s="3">
        <f>IF(B384&lt;='Input sheet(dashboard)'!$D$27*12,('Input sheet(dashboard)'!$D$15/12)*(1+'Input sheet(dashboard)'!$E$22)^Calculations!B384,0)</f>
        <v>730.06490420370494</v>
      </c>
      <c r="S384" s="3">
        <f>IF(B384&lt;='Input sheet(dashboard)'!$D$27*12,(E384+G384+K384+L384-O384+M384+Q384+R384),0)</f>
        <v>50731.105103059832</v>
      </c>
      <c r="T384" s="3">
        <f>IF(B384&lt;='Input sheet(dashboard)'!$D$27*12,IF(D384=12,SUM(S373:S384),0),0)</f>
        <v>0</v>
      </c>
      <c r="U384" s="3">
        <f>IF(B384&lt;='Input sheet(dashboard)'!$D$27*12,IF(S384&lt;AD384,AD384-S384,0),0)</f>
        <v>70713.455295601438</v>
      </c>
      <c r="V384" s="3">
        <f>IF(B384&lt;='Input sheet(dashboard)'!$D$27*12,V383*(1+'Input sheet(dashboard)'!$E$25)+U384,0)</f>
        <v>3102853.1823553019</v>
      </c>
      <c r="W384" s="17">
        <f>IF(B384&lt;='Input sheet(dashboard)'!$D$27*12,J384-I384+V384-N384,0)</f>
        <v>44848566.366310984</v>
      </c>
      <c r="X384" s="3">
        <f>IF(B384&lt;='Input sheet(dashboard)'!$D$27*12,'Input sheet(dashboard)'!$D$17*(1+'Input sheet(dashboard)'!$E$23)^(B384-1),0)</f>
        <v>121444.56039866127</v>
      </c>
      <c r="Y384" s="3"/>
      <c r="Z384" s="18"/>
      <c r="AA384" s="18"/>
      <c r="AB384" s="3">
        <f>IF(B384=1,'Input sheet(dashboard)'!$D$18*Calculations!X384,IF(Calculations!B384=12*'Input sheet(dashboard)'!$D$27,'Input sheet(dashboard)'!$D$18*-Calculations!X384,0))</f>
        <v>0</v>
      </c>
      <c r="AC384" s="3">
        <f>IF(B384&lt;='Input sheet(dashboard)'!$D$27*12,IF(MOD(B383,'Input sheet(dashboard)'!$D$19*12),0,'Input sheet(dashboard)'!$D$20*(1+'Input sheet(dashboard)'!$E$22)^Calculations!B384),0)</f>
        <v>0</v>
      </c>
      <c r="AD384" s="17">
        <f t="shared" si="48"/>
        <v>121444.56039866127</v>
      </c>
      <c r="AE384" s="17">
        <f>IF(B384&lt;='Input sheet(dashboard)'!$D$27*12,IF(D384=12,SUM(AD373:AD384),0),0)</f>
        <v>0</v>
      </c>
      <c r="AF384" s="17">
        <f t="shared" si="49"/>
        <v>-70713.455295601438</v>
      </c>
      <c r="AG384" s="17">
        <f t="shared" si="50"/>
        <v>0</v>
      </c>
      <c r="AH384" s="3">
        <f>IF(B384&lt;='Input sheet(dashboard)'!$D$27*12,AH383*(1+'Input sheet(dashboard)'!$E$25)+AG384," ")</f>
        <v>39226471.495246589</v>
      </c>
    </row>
    <row r="385" spans="2:34">
      <c r="B385">
        <f t="shared" si="45"/>
        <v>382</v>
      </c>
      <c r="C385">
        <f t="shared" si="52"/>
        <v>32</v>
      </c>
      <c r="D385">
        <f t="shared" si="53"/>
        <v>10</v>
      </c>
      <c r="E385" s="15">
        <f>IF(C385&lt;='Input sheet(dashboard)'!$D$6, -PMT('Input sheet(dashboard)'!$E$5,'Input sheet(dashboard)'!$D$6*12,'Input sheet(dashboard)'!$D$3*'Input sheet(dashboard)'!$D$4),0)</f>
        <v>0</v>
      </c>
      <c r="F385" s="3">
        <f>I384*'Input sheet(dashboard)'!$E$5</f>
        <v>8.1532644956529087E-12</v>
      </c>
      <c r="G385" s="3">
        <f>IF(C385&lt;='Input sheet(dashboard)'!$D$6,E385*'Input sheet(dashboard)'!$D$7,0)</f>
        <v>0</v>
      </c>
      <c r="H385" s="3">
        <f t="shared" si="46"/>
        <v>-8.1532644956529087E-12</v>
      </c>
      <c r="I385" s="3">
        <f t="shared" si="47"/>
        <v>2.246346392964519E-9</v>
      </c>
      <c r="J385" s="3">
        <f>IF(B385&lt;='Input sheet(dashboard)'!$D$27*12,'Input sheet(dashboard)'!$D$3*(1+'Input sheet(dashboard)'!$E$24)^B385,0)</f>
        <v>41915790.3869038</v>
      </c>
      <c r="K385" s="3">
        <f>IF(B385&lt;='Input sheet(dashboard)'!$D$27*12,J385*'Input sheet(dashboard)'!$E$8,0)</f>
        <v>43414.112846167343</v>
      </c>
      <c r="L385" s="3">
        <f>IF(B385&lt;='Input sheet(dashboard)'!$D$27*12,'Input sheet(dashboard)'!$D$9*(1+'Input sheet(dashboard)'!$E$22)^B385,0)</f>
        <v>6584.118465354507</v>
      </c>
      <c r="M385" s="3">
        <f>IF(B385=1,'Input sheet(dashboard)'!$D$3*'Input sheet(dashboard)'!$D$10,0)</f>
        <v>0</v>
      </c>
      <c r="N385" s="3">
        <f>IF(B385='Input sheet(dashboard)'!$D$27*12,J385*'Input sheet(dashboard)'!$D$11,0)</f>
        <v>0</v>
      </c>
      <c r="O385" s="3">
        <f>IF(SUM(F385:F396)&gt;=150000,150000/12*'Input sheet(dashboard)'!$D$28,SUM(F385:F396)/12*'Input sheet(dashboard)'!$D$28)</f>
        <v>1.2477926691213999E-12</v>
      </c>
      <c r="P385" s="3">
        <f t="shared" si="51"/>
        <v>0</v>
      </c>
      <c r="Q385" s="3">
        <f>IF(B385&lt;='Input sheet(dashboard)'!$D$27*12,'Input sheet(dashboard)'!$D$12/12,0)</f>
        <v>192.5</v>
      </c>
      <c r="R385" s="3">
        <f>IF(B385&lt;='Input sheet(dashboard)'!$D$27*12,('Input sheet(dashboard)'!$D$15/12)*(1+'Input sheet(dashboard)'!$E$22)^Calculations!B385,0)</f>
        <v>731.56871837272297</v>
      </c>
      <c r="S385" s="3">
        <f>IF(B385&lt;='Input sheet(dashboard)'!$D$27*12,(E385+G385+K385+L385-O385+M385+Q385+R385),0)</f>
        <v>50922.30002989457</v>
      </c>
      <c r="T385" s="3">
        <f>IF(B385&lt;='Input sheet(dashboard)'!$D$27*12,IF(D385=12,SUM(S374:S385),0),0)</f>
        <v>0</v>
      </c>
      <c r="U385" s="3">
        <f>IF(B385&lt;='Input sheet(dashboard)'!$D$27*12,IF(S385&lt;AD385,AD385-S385,0),0)</f>
        <v>71017.040540681613</v>
      </c>
      <c r="V385" s="3">
        <f>IF(B385&lt;='Input sheet(dashboard)'!$D$27*12,V384*(1+'Input sheet(dashboard)'!$E$25)+U385,0)</f>
        <v>3193834.0736981775</v>
      </c>
      <c r="W385" s="17">
        <f>IF(B385&lt;='Input sheet(dashboard)'!$D$27*12,J385-I385+V385-N385,0)</f>
        <v>45109624.460601978</v>
      </c>
      <c r="X385" s="3">
        <f>IF(B385&lt;='Input sheet(dashboard)'!$D$27*12,'Input sheet(dashboard)'!$D$17*(1+'Input sheet(dashboard)'!$E$23)^(B385-1),0)</f>
        <v>121939.34057057618</v>
      </c>
      <c r="Y385" s="3"/>
      <c r="Z385" s="18"/>
      <c r="AA385" s="18"/>
      <c r="AB385" s="3">
        <f>IF(B385=1,'Input sheet(dashboard)'!$D$18*Calculations!X385,IF(Calculations!B385=12*'Input sheet(dashboard)'!$D$27,'Input sheet(dashboard)'!$D$18*-Calculations!X385,0))</f>
        <v>0</v>
      </c>
      <c r="AC385" s="3">
        <f>IF(B385&lt;='Input sheet(dashboard)'!$D$27*12,IF(MOD(B384,'Input sheet(dashboard)'!$D$19*12),0,'Input sheet(dashboard)'!$D$20*(1+'Input sheet(dashboard)'!$E$22)^Calculations!B385),0)</f>
        <v>0</v>
      </c>
      <c r="AD385" s="17">
        <f t="shared" si="48"/>
        <v>121939.34057057618</v>
      </c>
      <c r="AE385" s="17">
        <f>IF(B385&lt;='Input sheet(dashboard)'!$D$27*12,IF(D385=12,SUM(AD374:AD385),0),0)</f>
        <v>0</v>
      </c>
      <c r="AF385" s="17">
        <f t="shared" si="49"/>
        <v>-71017.040540681613</v>
      </c>
      <c r="AG385" s="17">
        <f t="shared" si="50"/>
        <v>0</v>
      </c>
      <c r="AH385" s="3">
        <f>IF(B385&lt;='Input sheet(dashboard)'!$D$27*12,AH384*(1+'Input sheet(dashboard)'!$E$25)+AG385," ")</f>
        <v>39478855.793956198</v>
      </c>
    </row>
    <row r="386" spans="2:34">
      <c r="B386">
        <f t="shared" si="45"/>
        <v>383</v>
      </c>
      <c r="C386">
        <f t="shared" si="52"/>
        <v>32</v>
      </c>
      <c r="D386">
        <f t="shared" si="53"/>
        <v>11</v>
      </c>
      <c r="E386" s="15">
        <f>IF(C386&lt;='Input sheet(dashboard)'!$D$6, -PMT('Input sheet(dashboard)'!$E$5,'Input sheet(dashboard)'!$D$6*12,'Input sheet(dashboard)'!$D$3*'Input sheet(dashboard)'!$D$4),0)</f>
        <v>0</v>
      </c>
      <c r="F386" s="3">
        <f>I385*'Input sheet(dashboard)'!$E$5</f>
        <v>8.1829651149116013E-12</v>
      </c>
      <c r="G386" s="3">
        <f>IF(C386&lt;='Input sheet(dashboard)'!$D$6,E386*'Input sheet(dashboard)'!$D$7,0)</f>
        <v>0</v>
      </c>
      <c r="H386" s="3">
        <f t="shared" si="46"/>
        <v>-8.1829651149116013E-12</v>
      </c>
      <c r="I386" s="3">
        <f t="shared" si="47"/>
        <v>2.2545293580794307E-9</v>
      </c>
      <c r="J386" s="3">
        <f>IF(B386&lt;='Input sheet(dashboard)'!$D$27*12,'Input sheet(dashboard)'!$D$3*(1+'Input sheet(dashboard)'!$E$24)^B386,0)</f>
        <v>42086560.505429506</v>
      </c>
      <c r="K386" s="3">
        <f>IF(B386&lt;='Input sheet(dashboard)'!$D$27*12,J386*'Input sheet(dashboard)'!$E$8,0)</f>
        <v>43590.987315859908</v>
      </c>
      <c r="L386" s="3">
        <f>IF(B386&lt;='Input sheet(dashboard)'!$D$27*12,'Input sheet(dashboard)'!$D$9*(1+'Input sheet(dashboard)'!$E$22)^B386,0)</f>
        <v>6597.6806713743863</v>
      </c>
      <c r="M386" s="3">
        <f>IF(B386=1,'Input sheet(dashboard)'!$D$3*'Input sheet(dashboard)'!$D$10,0)</f>
        <v>0</v>
      </c>
      <c r="N386" s="3">
        <f>IF(B386='Input sheet(dashboard)'!$D$27*12,J386*'Input sheet(dashboard)'!$D$11,0)</f>
        <v>0</v>
      </c>
      <c r="O386" s="3">
        <f>IF(SUM(F386:F397)&gt;=150000,150000/12*'Input sheet(dashboard)'!$D$28,SUM(F386:F397)/12*'Input sheet(dashboard)'!$D$28)</f>
        <v>1.2523381140777265E-12</v>
      </c>
      <c r="P386" s="3">
        <f t="shared" si="51"/>
        <v>0</v>
      </c>
      <c r="Q386" s="3">
        <f>IF(B386&lt;='Input sheet(dashboard)'!$D$27*12,'Input sheet(dashboard)'!$D$12/12,0)</f>
        <v>192.5</v>
      </c>
      <c r="R386" s="3">
        <f>IF(B386&lt;='Input sheet(dashboard)'!$D$27*12,('Input sheet(dashboard)'!$D$15/12)*(1+'Input sheet(dashboard)'!$E$22)^Calculations!B386,0)</f>
        <v>733.07563015270955</v>
      </c>
      <c r="S386" s="3">
        <f>IF(B386&lt;='Input sheet(dashboard)'!$D$27*12,(E386+G386+K386+L386-O386+M386+Q386+R386),0)</f>
        <v>51114.243617387001</v>
      </c>
      <c r="T386" s="3">
        <f>IF(B386&lt;='Input sheet(dashboard)'!$D$27*12,IF(D386=12,SUM(S375:S386),0),0)</f>
        <v>0</v>
      </c>
      <c r="U386" s="3">
        <f>IF(B386&lt;='Input sheet(dashboard)'!$D$27*12,IF(S386&lt;AD386,AD386-S386,0),0)</f>
        <v>71321.892920770159</v>
      </c>
      <c r="V386" s="3">
        <f>IF(B386&lt;='Input sheet(dashboard)'!$D$27*12,V385*(1+'Input sheet(dashboard)'!$E$25)+U386,0)</f>
        <v>3285705.1912154765</v>
      </c>
      <c r="W386" s="17">
        <f>IF(B386&lt;='Input sheet(dashboard)'!$D$27*12,J386-I386+V386-N386,0)</f>
        <v>45372265.696644984</v>
      </c>
      <c r="X386" s="3">
        <f>IF(B386&lt;='Input sheet(dashboard)'!$D$27*12,'Input sheet(dashboard)'!$D$17*(1+'Input sheet(dashboard)'!$E$23)^(B386-1),0)</f>
        <v>122436.13653815715</v>
      </c>
      <c r="Y386" s="3"/>
      <c r="Z386" s="18"/>
      <c r="AA386" s="18"/>
      <c r="AB386" s="3">
        <f>IF(B386=1,'Input sheet(dashboard)'!$D$18*Calculations!X386,IF(Calculations!B386=12*'Input sheet(dashboard)'!$D$27,'Input sheet(dashboard)'!$D$18*-Calculations!X386,0))</f>
        <v>0</v>
      </c>
      <c r="AC386" s="3">
        <f>IF(B386&lt;='Input sheet(dashboard)'!$D$27*12,IF(MOD(B385,'Input sheet(dashboard)'!$D$19*12),0,'Input sheet(dashboard)'!$D$20*(1+'Input sheet(dashboard)'!$E$22)^Calculations!B386),0)</f>
        <v>0</v>
      </c>
      <c r="AD386" s="17">
        <f t="shared" si="48"/>
        <v>122436.13653815715</v>
      </c>
      <c r="AE386" s="17">
        <f>IF(B386&lt;='Input sheet(dashboard)'!$D$27*12,IF(D386=12,SUM(AD375:AD386),0),0)</f>
        <v>0</v>
      </c>
      <c r="AF386" s="17">
        <f t="shared" si="49"/>
        <v>-71321.892920770159</v>
      </c>
      <c r="AG386" s="17">
        <f t="shared" si="50"/>
        <v>0</v>
      </c>
      <c r="AH386" s="3">
        <f>IF(B386&lt;='Input sheet(dashboard)'!$D$27*12,AH385*(1+'Input sheet(dashboard)'!$E$25)+AG386," ")</f>
        <v>39732863.940842994</v>
      </c>
    </row>
    <row r="387" spans="2:34">
      <c r="B387">
        <f t="shared" si="45"/>
        <v>384</v>
      </c>
      <c r="C387">
        <f t="shared" si="52"/>
        <v>32</v>
      </c>
      <c r="D387">
        <f t="shared" si="53"/>
        <v>12</v>
      </c>
      <c r="E387" s="15">
        <f>IF(C387&lt;='Input sheet(dashboard)'!$D$6, -PMT('Input sheet(dashboard)'!$E$5,'Input sheet(dashboard)'!$D$6*12,'Input sheet(dashboard)'!$D$3*'Input sheet(dashboard)'!$D$4),0)</f>
        <v>0</v>
      </c>
      <c r="F387" s="3">
        <f>I386*'Input sheet(dashboard)'!$E$5</f>
        <v>8.2127739272486382E-12</v>
      </c>
      <c r="G387" s="3">
        <f>IF(C387&lt;='Input sheet(dashboard)'!$D$6,E387*'Input sheet(dashboard)'!$D$7,0)</f>
        <v>0</v>
      </c>
      <c r="H387" s="3">
        <f t="shared" si="46"/>
        <v>-8.2127739272486382E-12</v>
      </c>
      <c r="I387" s="3">
        <f t="shared" si="47"/>
        <v>2.2627421320066791E-9</v>
      </c>
      <c r="J387" s="3">
        <f>IF(B387&lt;='Input sheet(dashboard)'!$D$27*12,'Input sheet(dashboard)'!$D$3*(1+'Input sheet(dashboard)'!$E$24)^B387,0)</f>
        <v>42258026.362556636</v>
      </c>
      <c r="K387" s="3">
        <f>IF(B387&lt;='Input sheet(dashboard)'!$D$27*12,J387*'Input sheet(dashboard)'!$E$8,0)</f>
        <v>43768.582394036173</v>
      </c>
      <c r="L387" s="3">
        <f>IF(B387&lt;='Input sheet(dashboard)'!$D$27*12,'Input sheet(dashboard)'!$D$9*(1+'Input sheet(dashboard)'!$E$22)^B387,0)</f>
        <v>6611.2708133181231</v>
      </c>
      <c r="M387" s="3">
        <f>IF(B387=1,'Input sheet(dashboard)'!$D$3*'Input sheet(dashboard)'!$D$10,0)</f>
        <v>0</v>
      </c>
      <c r="N387" s="3">
        <f>IF(B387='Input sheet(dashboard)'!$D$27*12,J387*'Input sheet(dashboard)'!$D$11,0)</f>
        <v>0</v>
      </c>
      <c r="O387" s="3">
        <f>IF(SUM(F387:F398)&gt;=150000,150000/12*'Input sheet(dashboard)'!$D$28,SUM(F387:F398)/12*'Input sheet(dashboard)'!$D$28)</f>
        <v>1.2569001171292897E-12</v>
      </c>
      <c r="P387" s="3">
        <f t="shared" si="51"/>
        <v>1.5727830908595885E-11</v>
      </c>
      <c r="Q387" s="3">
        <f>IF(B387&lt;='Input sheet(dashboard)'!$D$27*12,'Input sheet(dashboard)'!$D$12/12,0)</f>
        <v>192.5</v>
      </c>
      <c r="R387" s="3">
        <f>IF(B387&lt;='Input sheet(dashboard)'!$D$27*12,('Input sheet(dashboard)'!$D$15/12)*(1+'Input sheet(dashboard)'!$E$22)^Calculations!B387,0)</f>
        <v>734.58564592423591</v>
      </c>
      <c r="S387" s="3">
        <f>IF(B387&lt;='Input sheet(dashboard)'!$D$27*12,(E387+G387+K387+L387-O387+M387+Q387+R387),0)</f>
        <v>51306.938853278531</v>
      </c>
      <c r="T387" s="3">
        <f>IF(B387&lt;='Input sheet(dashboard)'!$D$27*12,IF(D387=12,SUM(S376:S387),0),0)</f>
        <v>603129.27384201041</v>
      </c>
      <c r="U387" s="3">
        <f>IF(B387&lt;='Input sheet(dashboard)'!$D$27*12,IF(S387&lt;AD387,AD387-S387,0),0)</f>
        <v>71628.017660726764</v>
      </c>
      <c r="V387" s="3">
        <f>IF(B387&lt;='Input sheet(dashboard)'!$D$27*12,V386*(1+'Input sheet(dashboard)'!$E$25)+U387,0)</f>
        <v>3378473.5350090782</v>
      </c>
      <c r="W387" s="17">
        <f>IF(B387&lt;='Input sheet(dashboard)'!$D$27*12,J387-I387+V387-N387,0)</f>
        <v>45636499.897565715</v>
      </c>
      <c r="X387" s="3">
        <f>IF(B387&lt;='Input sheet(dashboard)'!$D$27*12,'Input sheet(dashboard)'!$D$17*(1+'Input sheet(dashboard)'!$E$23)^(B387-1),0)</f>
        <v>122934.95651400529</v>
      </c>
      <c r="Y387" s="3"/>
      <c r="Z387" s="18"/>
      <c r="AA387" s="18"/>
      <c r="AB387" s="3">
        <f>IF(B387=1,'Input sheet(dashboard)'!$D$18*Calculations!X387,IF(Calculations!B387=12*'Input sheet(dashboard)'!$D$27,'Input sheet(dashboard)'!$D$18*-Calculations!X387,0))</f>
        <v>0</v>
      </c>
      <c r="AC387" s="3">
        <f>IF(B387&lt;='Input sheet(dashboard)'!$D$27*12,IF(MOD(B386,'Input sheet(dashboard)'!$D$19*12),0,'Input sheet(dashboard)'!$D$20*(1+'Input sheet(dashboard)'!$E$22)^Calculations!B387),0)</f>
        <v>0</v>
      </c>
      <c r="AD387" s="17">
        <f t="shared" si="48"/>
        <v>122934.95651400529</v>
      </c>
      <c r="AE387" s="17">
        <f>IF(B387&lt;='Input sheet(dashboard)'!$D$27*12,IF(D387=12,SUM(AD376:AD387),0),0)</f>
        <v>1442738.6026109522</v>
      </c>
      <c r="AF387" s="17">
        <f t="shared" si="49"/>
        <v>-71628.017660726764</v>
      </c>
      <c r="AG387" s="17">
        <f t="shared" si="50"/>
        <v>0</v>
      </c>
      <c r="AH387" s="3">
        <f>IF(B387&lt;='Input sheet(dashboard)'!$D$27*12,AH386*(1+'Input sheet(dashboard)'!$E$25)+AG387," ")</f>
        <v>39988506.383795045</v>
      </c>
    </row>
    <row r="388" spans="2:34">
      <c r="B388">
        <f t="shared" ref="B388:B451" si="54">B387+1</f>
        <v>385</v>
      </c>
      <c r="C388">
        <f t="shared" si="52"/>
        <v>33</v>
      </c>
      <c r="D388">
        <f t="shared" si="53"/>
        <v>1</v>
      </c>
      <c r="E388" s="15">
        <f>IF(C388&lt;='Input sheet(dashboard)'!$D$6, -PMT('Input sheet(dashboard)'!$E$5,'Input sheet(dashboard)'!$D$6*12,'Input sheet(dashboard)'!$D$3*'Input sheet(dashboard)'!$D$4),0)</f>
        <v>0</v>
      </c>
      <c r="F388" s="3">
        <f>I387*'Input sheet(dashboard)'!$E$5</f>
        <v>8.242691326788538E-12</v>
      </c>
      <c r="G388" s="3">
        <f>IF(C388&lt;='Input sheet(dashboard)'!$D$6,E388*'Input sheet(dashboard)'!$D$7,0)</f>
        <v>0</v>
      </c>
      <c r="H388" s="3">
        <f t="shared" ref="H388:H451" si="55">E388-F388</f>
        <v>-8.242691326788538E-12</v>
      </c>
      <c r="I388" s="3">
        <f t="shared" ref="I388:I451" si="56">I387-H388</f>
        <v>2.2709848233334675E-9</v>
      </c>
      <c r="J388" s="3">
        <f>IF(B388&lt;='Input sheet(dashboard)'!$D$27*12,'Input sheet(dashboard)'!$D$3*(1+'Input sheet(dashboard)'!$E$24)^B388,0)</f>
        <v>42430190.792810366</v>
      </c>
      <c r="K388" s="3">
        <f>IF(B388&lt;='Input sheet(dashboard)'!$D$27*12,J388*'Input sheet(dashboard)'!$E$8,0)</f>
        <v>43946.901016544289</v>
      </c>
      <c r="L388" s="3">
        <f>IF(B388&lt;='Input sheet(dashboard)'!$D$27*12,'Input sheet(dashboard)'!$D$9*(1+'Input sheet(dashboard)'!$E$22)^B388,0)</f>
        <v>6624.888948729149</v>
      </c>
      <c r="M388" s="3">
        <f>IF(B388=1,'Input sheet(dashboard)'!$D$3*'Input sheet(dashboard)'!$D$10,0)</f>
        <v>0</v>
      </c>
      <c r="N388" s="3">
        <f>IF(B388='Input sheet(dashboard)'!$D$27*12,J388*'Input sheet(dashboard)'!$D$11,0)</f>
        <v>0</v>
      </c>
      <c r="O388" s="3">
        <f>IF(SUM(F388:F399)&gt;=150000,150000/12*'Input sheet(dashboard)'!$D$28,SUM(F388:F399)/12*'Input sheet(dashboard)'!$D$28)</f>
        <v>1.261478738593731E-12</v>
      </c>
      <c r="P388" s="3">
        <f t="shared" si="51"/>
        <v>0</v>
      </c>
      <c r="Q388" s="3">
        <f>IF(B388&lt;='Input sheet(dashboard)'!$D$27*12,'Input sheet(dashboard)'!$D$12/12,0)</f>
        <v>192.5</v>
      </c>
      <c r="R388" s="3">
        <f>IF(B388&lt;='Input sheet(dashboard)'!$D$27*12,('Input sheet(dashboard)'!$D$15/12)*(1+'Input sheet(dashboard)'!$E$22)^Calculations!B388,0)</f>
        <v>736.09877208101659</v>
      </c>
      <c r="S388" s="3">
        <f>IF(B388&lt;='Input sheet(dashboard)'!$D$27*12,(E388+G388+K388+L388-O388+M388+Q388+R388),0)</f>
        <v>51500.388737354449</v>
      </c>
      <c r="T388" s="3">
        <f>IF(B388&lt;='Input sheet(dashboard)'!$D$27*12,IF(D388=12,SUM(S377:S388),0),0)</f>
        <v>0</v>
      </c>
      <c r="U388" s="3">
        <f>IF(B388&lt;='Input sheet(dashboard)'!$D$27*12,IF(S388&lt;AD388,AD388-S388,0),0)</f>
        <v>71935.420006826345</v>
      </c>
      <c r="V388" s="3">
        <f>IF(B388&lt;='Input sheet(dashboard)'!$D$27*12,V387*(1+'Input sheet(dashboard)'!$E$25)+U388,0)</f>
        <v>3472146.1554660029</v>
      </c>
      <c r="W388" s="17">
        <f>IF(B388&lt;='Input sheet(dashboard)'!$D$27*12,J388-I388+V388-N388,0)</f>
        <v>45902336.948276371</v>
      </c>
      <c r="X388" s="3">
        <f>IF(B388&lt;='Input sheet(dashboard)'!$D$27*12,'Input sheet(dashboard)'!$D$17*(1+'Input sheet(dashboard)'!$E$23)^(B388-1),0)</f>
        <v>123435.80874418079</v>
      </c>
      <c r="Y388" s="3"/>
      <c r="Z388" s="18"/>
      <c r="AA388" s="18"/>
      <c r="AB388" s="3">
        <f>IF(B388=1,'Input sheet(dashboard)'!$D$18*Calculations!X388,IF(Calculations!B388=12*'Input sheet(dashboard)'!$D$27,'Input sheet(dashboard)'!$D$18*-Calculations!X388,0))</f>
        <v>0</v>
      </c>
      <c r="AC388" s="3">
        <f>IF(B388&lt;='Input sheet(dashboard)'!$D$27*12,IF(MOD(B387,'Input sheet(dashboard)'!$D$19*12),0,'Input sheet(dashboard)'!$D$20*(1+'Input sheet(dashboard)'!$E$22)^Calculations!B388),0)</f>
        <v>0</v>
      </c>
      <c r="AD388" s="17">
        <f t="shared" ref="AD388:AD451" si="57">X388+Y388+AB388+AC388</f>
        <v>123435.80874418079</v>
      </c>
      <c r="AE388" s="17">
        <f>IF(B388&lt;='Input sheet(dashboard)'!$D$27*12,IF(D388=12,SUM(AD377:AD388),0),0)</f>
        <v>0</v>
      </c>
      <c r="AF388" s="17">
        <f t="shared" ref="AF388:AF451" si="58">S388-AD388</f>
        <v>-71935.420006826345</v>
      </c>
      <c r="AG388" s="17">
        <f t="shared" ref="AG388:AG451" si="59">IF(AF388&gt;0,AF388,0)</f>
        <v>0</v>
      </c>
      <c r="AH388" s="3">
        <f>IF(B388&lt;='Input sheet(dashboard)'!$D$27*12,AH387*(1+'Input sheet(dashboard)'!$E$25)+AG388," ")</f>
        <v>40245793.637922443</v>
      </c>
    </row>
    <row r="389" spans="2:34">
      <c r="B389">
        <f t="shared" si="54"/>
        <v>386</v>
      </c>
      <c r="C389">
        <f t="shared" si="52"/>
        <v>33</v>
      </c>
      <c r="D389">
        <f t="shared" si="53"/>
        <v>2</v>
      </c>
      <c r="E389" s="15">
        <f>IF(C389&lt;='Input sheet(dashboard)'!$D$6, -PMT('Input sheet(dashboard)'!$E$5,'Input sheet(dashboard)'!$D$6*12,'Input sheet(dashboard)'!$D$3*'Input sheet(dashboard)'!$D$4),0)</f>
        <v>0</v>
      </c>
      <c r="F389" s="3">
        <f>I388*'Input sheet(dashboard)'!$E$5</f>
        <v>8.272717709091527E-12</v>
      </c>
      <c r="G389" s="3">
        <f>IF(C389&lt;='Input sheet(dashboard)'!$D$6,E389*'Input sheet(dashboard)'!$D$7,0)</f>
        <v>0</v>
      </c>
      <c r="H389" s="3">
        <f t="shared" si="55"/>
        <v>-8.272717709091527E-12</v>
      </c>
      <c r="I389" s="3">
        <f t="shared" si="56"/>
        <v>2.2792575410425591E-9</v>
      </c>
      <c r="J389" s="3">
        <f>IF(B389&lt;='Input sheet(dashboard)'!$D$27*12,'Input sheet(dashboard)'!$D$3*(1+'Input sheet(dashboard)'!$E$24)^B389,0)</f>
        <v>42603056.642264098</v>
      </c>
      <c r="K389" s="3">
        <f>IF(B389&lt;='Input sheet(dashboard)'!$D$27*12,J389*'Input sheet(dashboard)'!$E$8,0)</f>
        <v>44125.946131193436</v>
      </c>
      <c r="L389" s="3">
        <f>IF(B389&lt;='Input sheet(dashboard)'!$D$27*12,'Input sheet(dashboard)'!$D$9*(1+'Input sheet(dashboard)'!$E$22)^B389,0)</f>
        <v>6638.5351352694215</v>
      </c>
      <c r="M389" s="3">
        <f>IF(B389=1,'Input sheet(dashboard)'!$D$3*'Input sheet(dashboard)'!$D$10,0)</f>
        <v>0</v>
      </c>
      <c r="N389" s="3">
        <f>IF(B389='Input sheet(dashboard)'!$D$27*12,J389*'Input sheet(dashboard)'!$D$11,0)</f>
        <v>0</v>
      </c>
      <c r="O389" s="3">
        <f>IF(SUM(F389:F400)&gt;=150000,150000/12*'Input sheet(dashboard)'!$D$28,SUM(F389:F400)/12*'Input sheet(dashboard)'!$D$28)</f>
        <v>1.2660740390084153E-12</v>
      </c>
      <c r="P389" s="3">
        <f t="shared" si="51"/>
        <v>0</v>
      </c>
      <c r="Q389" s="3">
        <f>IF(B389&lt;='Input sheet(dashboard)'!$D$27*12,'Input sheet(dashboard)'!$D$12/12,0)</f>
        <v>192.5</v>
      </c>
      <c r="R389" s="3">
        <f>IF(B389&lt;='Input sheet(dashboard)'!$D$27*12,('Input sheet(dashboard)'!$D$15/12)*(1+'Input sheet(dashboard)'!$E$22)^Calculations!B389,0)</f>
        <v>737.61501502993565</v>
      </c>
      <c r="S389" s="3">
        <f>IF(B389&lt;='Input sheet(dashboard)'!$D$27*12,(E389+G389+K389+L389-O389+M389+Q389+R389),0)</f>
        <v>51694.596281492792</v>
      </c>
      <c r="T389" s="3">
        <f>IF(B389&lt;='Input sheet(dashboard)'!$D$27*12,IF(D389=12,SUM(S378:S389),0),0)</f>
        <v>0</v>
      </c>
      <c r="U389" s="3">
        <f>IF(B389&lt;='Input sheet(dashboard)'!$D$27*12,IF(S389&lt;AD389,AD389-S389,0),0)</f>
        <v>72244.105226846528</v>
      </c>
      <c r="V389" s="3">
        <f>IF(B389&lt;='Input sheet(dashboard)'!$D$27*12,V388*(1+'Input sheet(dashboard)'!$E$25)+U389,0)</f>
        <v>3566730.1536034504</v>
      </c>
      <c r="W389" s="17">
        <f>IF(B389&lt;='Input sheet(dashboard)'!$D$27*12,J389-I389+V389-N389,0)</f>
        <v>46169786.795867547</v>
      </c>
      <c r="X389" s="3">
        <f>IF(B389&lt;='Input sheet(dashboard)'!$D$27*12,'Input sheet(dashboard)'!$D$17*(1+'Input sheet(dashboard)'!$E$23)^(B389-1),0)</f>
        <v>123938.70150833932</v>
      </c>
      <c r="Y389" s="3"/>
      <c r="Z389" s="18"/>
      <c r="AA389" s="18"/>
      <c r="AB389" s="3">
        <f>IF(B389=1,'Input sheet(dashboard)'!$D$18*Calculations!X389,IF(Calculations!B389=12*'Input sheet(dashboard)'!$D$27,'Input sheet(dashboard)'!$D$18*-Calculations!X389,0))</f>
        <v>0</v>
      </c>
      <c r="AC389" s="3">
        <f>IF(B389&lt;='Input sheet(dashboard)'!$D$27*12,IF(MOD(B388,'Input sheet(dashboard)'!$D$19*12),0,'Input sheet(dashboard)'!$D$20*(1+'Input sheet(dashboard)'!$E$22)^Calculations!B389),0)</f>
        <v>0</v>
      </c>
      <c r="AD389" s="17">
        <f t="shared" si="57"/>
        <v>123938.70150833932</v>
      </c>
      <c r="AE389" s="17">
        <f>IF(B389&lt;='Input sheet(dashboard)'!$D$27*12,IF(D389=12,SUM(AD378:AD389),0),0)</f>
        <v>0</v>
      </c>
      <c r="AF389" s="17">
        <f t="shared" si="58"/>
        <v>-72244.105226846528</v>
      </c>
      <c r="AG389" s="17">
        <f t="shared" si="59"/>
        <v>0</v>
      </c>
      <c r="AH389" s="3">
        <f>IF(B389&lt;='Input sheet(dashboard)'!$D$27*12,AH388*(1+'Input sheet(dashboard)'!$E$25)+AG389," ")</f>
        <v>40504736.285989821</v>
      </c>
    </row>
    <row r="390" spans="2:34">
      <c r="B390">
        <f t="shared" si="54"/>
        <v>387</v>
      </c>
      <c r="C390">
        <f t="shared" si="52"/>
        <v>33</v>
      </c>
      <c r="D390">
        <f t="shared" si="53"/>
        <v>3</v>
      </c>
      <c r="E390" s="15">
        <f>IF(C390&lt;='Input sheet(dashboard)'!$D$6, -PMT('Input sheet(dashboard)'!$E$5,'Input sheet(dashboard)'!$D$6*12,'Input sheet(dashboard)'!$D$3*'Input sheet(dashboard)'!$D$4),0)</f>
        <v>0</v>
      </c>
      <c r="F390" s="3">
        <f>I389*'Input sheet(dashboard)'!$E$5</f>
        <v>8.3028534711587783E-12</v>
      </c>
      <c r="G390" s="3">
        <f>IF(C390&lt;='Input sheet(dashboard)'!$D$6,E390*'Input sheet(dashboard)'!$D$7,0)</f>
        <v>0</v>
      </c>
      <c r="H390" s="3">
        <f t="shared" si="55"/>
        <v>-8.3028534711587783E-12</v>
      </c>
      <c r="I390" s="3">
        <f t="shared" si="56"/>
        <v>2.287560394513718E-9</v>
      </c>
      <c r="J390" s="3">
        <f>IF(B390&lt;='Input sheet(dashboard)'!$D$27*12,'Input sheet(dashboard)'!$D$3*(1+'Input sheet(dashboard)'!$E$24)^B390,0)</f>
        <v>42776626.768586464</v>
      </c>
      <c r="K390" s="3">
        <f>IF(B390&lt;='Input sheet(dashboard)'!$D$27*12,J390*'Input sheet(dashboard)'!$E$8,0)</f>
        <v>44305.720697802521</v>
      </c>
      <c r="L390" s="3">
        <f>IF(B390&lt;='Input sheet(dashboard)'!$D$27*12,'Input sheet(dashboard)'!$D$9*(1+'Input sheet(dashboard)'!$E$22)^B390,0)</f>
        <v>6652.2094307196749</v>
      </c>
      <c r="M390" s="3">
        <f>IF(B390=1,'Input sheet(dashboard)'!$D$3*'Input sheet(dashboard)'!$D$10,0)</f>
        <v>0</v>
      </c>
      <c r="N390" s="3">
        <f>IF(B390='Input sheet(dashboard)'!$D$27*12,J390*'Input sheet(dashboard)'!$D$11,0)</f>
        <v>0</v>
      </c>
      <c r="O390" s="3">
        <f>IF(SUM(F390:F401)&gt;=150000,150000/12*'Input sheet(dashboard)'!$D$28,SUM(F390:F401)/12*'Input sheet(dashboard)'!$D$28)</f>
        <v>1.2706860791312341E-12</v>
      </c>
      <c r="P390" s="3">
        <f t="shared" si="51"/>
        <v>0</v>
      </c>
      <c r="Q390" s="3">
        <f>IF(B390&lt;='Input sheet(dashboard)'!$D$27*12,'Input sheet(dashboard)'!$D$12/12,0)</f>
        <v>192.5</v>
      </c>
      <c r="R390" s="3">
        <f>IF(B390&lt;='Input sheet(dashboard)'!$D$27*12,('Input sheet(dashboard)'!$D$15/12)*(1+'Input sheet(dashboard)'!$E$22)^Calculations!B390,0)</f>
        <v>739.13438119107491</v>
      </c>
      <c r="S390" s="3">
        <f>IF(B390&lt;='Input sheet(dashboard)'!$D$27*12,(E390+G390+K390+L390-O390+M390+Q390+R390),0)</f>
        <v>51889.564509713273</v>
      </c>
      <c r="T390" s="3">
        <f>IF(B390&lt;='Input sheet(dashboard)'!$D$27*12,IF(D390=12,SUM(S379:S390),0),0)</f>
        <v>0</v>
      </c>
      <c r="U390" s="3">
        <f>IF(B390&lt;='Input sheet(dashboard)'!$D$27*12,IF(S390&lt;AD390,AD390-S390,0),0)</f>
        <v>72554.078610155673</v>
      </c>
      <c r="V390" s="3">
        <f>IF(B390&lt;='Input sheet(dashboard)'!$D$27*12,V389*(1+'Input sheet(dashboard)'!$E$25)+U390,0)</f>
        <v>3662232.6814161479</v>
      </c>
      <c r="W390" s="17">
        <f>IF(B390&lt;='Input sheet(dashboard)'!$D$27*12,J390-I390+V390-N390,0)</f>
        <v>46438859.450002611</v>
      </c>
      <c r="X390" s="3">
        <f>IF(B390&lt;='Input sheet(dashboard)'!$D$27*12,'Input sheet(dashboard)'!$D$17*(1+'Input sheet(dashboard)'!$E$23)^(B390-1),0)</f>
        <v>124443.64311986895</v>
      </c>
      <c r="Y390" s="3"/>
      <c r="Z390" s="18"/>
      <c r="AA390" s="18"/>
      <c r="AB390" s="3">
        <f>IF(B390=1,'Input sheet(dashboard)'!$D$18*Calculations!X390,IF(Calculations!B390=12*'Input sheet(dashboard)'!$D$27,'Input sheet(dashboard)'!$D$18*-Calculations!X390,0))</f>
        <v>0</v>
      </c>
      <c r="AC390" s="3">
        <f>IF(B390&lt;='Input sheet(dashboard)'!$D$27*12,IF(MOD(B389,'Input sheet(dashboard)'!$D$19*12),0,'Input sheet(dashboard)'!$D$20*(1+'Input sheet(dashboard)'!$E$22)^Calculations!B390),0)</f>
        <v>0</v>
      </c>
      <c r="AD390" s="17">
        <f t="shared" si="57"/>
        <v>124443.64311986895</v>
      </c>
      <c r="AE390" s="17">
        <f>IF(B390&lt;='Input sheet(dashboard)'!$D$27*12,IF(D390=12,SUM(AD379:AD390),0),0)</f>
        <v>0</v>
      </c>
      <c r="AF390" s="17">
        <f t="shared" si="58"/>
        <v>-72554.078610155673</v>
      </c>
      <c r="AG390" s="17">
        <f t="shared" si="59"/>
        <v>0</v>
      </c>
      <c r="AH390" s="3">
        <f>IF(B390&lt;='Input sheet(dashboard)'!$D$27*12,AH389*(1+'Input sheet(dashboard)'!$E$25)+AG390," ")</f>
        <v>40765344.978851631</v>
      </c>
    </row>
    <row r="391" spans="2:34">
      <c r="B391">
        <f t="shared" si="54"/>
        <v>388</v>
      </c>
      <c r="C391">
        <f t="shared" si="52"/>
        <v>33</v>
      </c>
      <c r="D391">
        <f t="shared" si="53"/>
        <v>4</v>
      </c>
      <c r="E391" s="15">
        <f>IF(C391&lt;='Input sheet(dashboard)'!$D$6, -PMT('Input sheet(dashboard)'!$E$5,'Input sheet(dashboard)'!$D$6*12,'Input sheet(dashboard)'!$D$3*'Input sheet(dashboard)'!$D$4),0)</f>
        <v>0</v>
      </c>
      <c r="F391" s="3">
        <f>I390*'Input sheet(dashboard)'!$E$5</f>
        <v>8.3330990114376549E-12</v>
      </c>
      <c r="G391" s="3">
        <f>IF(C391&lt;='Input sheet(dashboard)'!$D$6,E391*'Input sheet(dashboard)'!$D$7,0)</f>
        <v>0</v>
      </c>
      <c r="H391" s="3">
        <f t="shared" si="55"/>
        <v>-8.3330990114376549E-12</v>
      </c>
      <c r="I391" s="3">
        <f t="shared" si="56"/>
        <v>2.2958934935251556E-9</v>
      </c>
      <c r="J391" s="3">
        <f>IF(B391&lt;='Input sheet(dashboard)'!$D$27*12,'Input sheet(dashboard)'!$D$3*(1+'Input sheet(dashboard)'!$E$24)^B391,0)</f>
        <v>42950904.041088611</v>
      </c>
      <c r="K391" s="3">
        <f>IF(B391&lt;='Input sheet(dashboard)'!$D$27*12,J391*'Input sheet(dashboard)'!$E$8,0)</f>
        <v>44486.227688249113</v>
      </c>
      <c r="L391" s="3">
        <f>IF(B391&lt;='Input sheet(dashboard)'!$D$27*12,'Input sheet(dashboard)'!$D$9*(1+'Input sheet(dashboard)'!$E$22)^B391,0)</f>
        <v>6665.9118929796614</v>
      </c>
      <c r="M391" s="3">
        <f>IF(B391=1,'Input sheet(dashboard)'!$D$3*'Input sheet(dashboard)'!$D$10,0)</f>
        <v>0</v>
      </c>
      <c r="N391" s="3">
        <f>IF(B391='Input sheet(dashboard)'!$D$27*12,J391*'Input sheet(dashboard)'!$D$11,0)</f>
        <v>0</v>
      </c>
      <c r="O391" s="3">
        <f>IF(SUM(F391:F402)&gt;=150000,150000/12*'Input sheet(dashboard)'!$D$28,SUM(F391:F402)/12*'Input sheet(dashboard)'!$D$28)</f>
        <v>1.2753149199414052E-12</v>
      </c>
      <c r="P391" s="3">
        <f t="shared" si="51"/>
        <v>0</v>
      </c>
      <c r="Q391" s="3">
        <f>IF(B391&lt;='Input sheet(dashboard)'!$D$27*12,'Input sheet(dashboard)'!$D$12/12,0)</f>
        <v>192.5</v>
      </c>
      <c r="R391" s="3">
        <f>IF(B391&lt;='Input sheet(dashboard)'!$D$27*12,('Input sheet(dashboard)'!$D$15/12)*(1+'Input sheet(dashboard)'!$E$22)^Calculations!B391,0)</f>
        <v>740.65687699774014</v>
      </c>
      <c r="S391" s="3">
        <f>IF(B391&lt;='Input sheet(dashboard)'!$D$27*12,(E391+G391+K391+L391-O391+M391+Q391+R391),0)</f>
        <v>52085.296458226512</v>
      </c>
      <c r="T391" s="3">
        <f>IF(B391&lt;='Input sheet(dashboard)'!$D$27*12,IF(D391=12,SUM(S380:S391),0),0)</f>
        <v>0</v>
      </c>
      <c r="U391" s="3">
        <f>IF(B391&lt;='Input sheet(dashboard)'!$D$27*12,IF(S391&lt;AD391,AD391-S391,0),0)</f>
        <v>72865.345467800958</v>
      </c>
      <c r="V391" s="3">
        <f>IF(B391&lt;='Input sheet(dashboard)'!$D$27*12,V390*(1+'Input sheet(dashboard)'!$E$25)+U391,0)</f>
        <v>3758660.9422260188</v>
      </c>
      <c r="W391" s="17">
        <f>IF(B391&lt;='Input sheet(dashboard)'!$D$27*12,J391-I391+V391-N391,0)</f>
        <v>46709564.983314633</v>
      </c>
      <c r="X391" s="3">
        <f>IF(B391&lt;='Input sheet(dashboard)'!$D$27*12,'Input sheet(dashboard)'!$D$17*(1+'Input sheet(dashboard)'!$E$23)^(B391-1),0)</f>
        <v>124950.64192602747</v>
      </c>
      <c r="Y391" s="3"/>
      <c r="Z391" s="18"/>
      <c r="AA391" s="18"/>
      <c r="AB391" s="3">
        <f>IF(B391=1,'Input sheet(dashboard)'!$D$18*Calculations!X391,IF(Calculations!B391=12*'Input sheet(dashboard)'!$D$27,'Input sheet(dashboard)'!$D$18*-Calculations!X391,0))</f>
        <v>0</v>
      </c>
      <c r="AC391" s="3">
        <f>IF(B391&lt;='Input sheet(dashboard)'!$D$27*12,IF(MOD(B390,'Input sheet(dashboard)'!$D$19*12),0,'Input sheet(dashboard)'!$D$20*(1+'Input sheet(dashboard)'!$E$22)^Calculations!B391),0)</f>
        <v>0</v>
      </c>
      <c r="AD391" s="17">
        <f t="shared" si="57"/>
        <v>124950.64192602747</v>
      </c>
      <c r="AE391" s="17">
        <f>IF(B391&lt;='Input sheet(dashboard)'!$D$27*12,IF(D391=12,SUM(AD380:AD391),0),0)</f>
        <v>0</v>
      </c>
      <c r="AF391" s="17">
        <f t="shared" si="58"/>
        <v>-72865.345467800958</v>
      </c>
      <c r="AG391" s="17">
        <f t="shared" si="59"/>
        <v>0</v>
      </c>
      <c r="AH391" s="3">
        <f>IF(B391&lt;='Input sheet(dashboard)'!$D$27*12,AH390*(1+'Input sheet(dashboard)'!$E$25)+AG391," ")</f>
        <v>41027630.435890242</v>
      </c>
    </row>
    <row r="392" spans="2:34">
      <c r="B392">
        <f t="shared" si="54"/>
        <v>389</v>
      </c>
      <c r="C392">
        <f t="shared" si="52"/>
        <v>33</v>
      </c>
      <c r="D392">
        <f t="shared" si="53"/>
        <v>5</v>
      </c>
      <c r="E392" s="15">
        <f>IF(C392&lt;='Input sheet(dashboard)'!$D$6, -PMT('Input sheet(dashboard)'!$E$5,'Input sheet(dashboard)'!$D$6*12,'Input sheet(dashboard)'!$D$3*'Input sheet(dashboard)'!$D$4),0)</f>
        <v>0</v>
      </c>
      <c r="F392" s="3">
        <f>I391*'Input sheet(dashboard)'!$E$5</f>
        <v>8.3634547298269759E-12</v>
      </c>
      <c r="G392" s="3">
        <f>IF(C392&lt;='Input sheet(dashboard)'!$D$6,E392*'Input sheet(dashboard)'!$D$7,0)</f>
        <v>0</v>
      </c>
      <c r="H392" s="3">
        <f t="shared" si="55"/>
        <v>-8.3634547298269759E-12</v>
      </c>
      <c r="I392" s="3">
        <f t="shared" si="56"/>
        <v>2.3042569482549826E-9</v>
      </c>
      <c r="J392" s="3">
        <f>IF(B392&lt;='Input sheet(dashboard)'!$D$27*12,'Input sheet(dashboard)'!$D$3*(1+'Input sheet(dashboard)'!$E$24)^B392,0)</f>
        <v>43125891.340771616</v>
      </c>
      <c r="K392" s="3">
        <f>IF(B392&lt;='Input sheet(dashboard)'!$D$27*12,J392*'Input sheet(dashboard)'!$E$8,0)</f>
        <v>44667.470086518617</v>
      </c>
      <c r="L392" s="3">
        <f>IF(B392&lt;='Input sheet(dashboard)'!$D$27*12,'Input sheet(dashboard)'!$D$9*(1+'Input sheet(dashboard)'!$E$22)^B392,0)</f>
        <v>6679.6425800683965</v>
      </c>
      <c r="M392" s="3">
        <f>IF(B392=1,'Input sheet(dashboard)'!$D$3*'Input sheet(dashboard)'!$D$10,0)</f>
        <v>0</v>
      </c>
      <c r="N392" s="3">
        <f>IF(B392='Input sheet(dashboard)'!$D$27*12,J392*'Input sheet(dashboard)'!$D$11,0)</f>
        <v>0</v>
      </c>
      <c r="O392" s="3">
        <f>IF(SUM(F392:F403)&gt;=150000,150000/12*'Input sheet(dashboard)'!$D$28,SUM(F392:F403)/12*'Input sheet(dashboard)'!$D$28)</f>
        <v>1.2799606226402818E-12</v>
      </c>
      <c r="P392" s="3">
        <f t="shared" si="51"/>
        <v>0</v>
      </c>
      <c r="Q392" s="3">
        <f>IF(B392&lt;='Input sheet(dashboard)'!$D$27*12,'Input sheet(dashboard)'!$D$12/12,0)</f>
        <v>192.5</v>
      </c>
      <c r="R392" s="3">
        <f>IF(B392&lt;='Input sheet(dashboard)'!$D$27*12,('Input sheet(dashboard)'!$D$15/12)*(1+'Input sheet(dashboard)'!$E$22)^Calculations!B392,0)</f>
        <v>742.18250889648846</v>
      </c>
      <c r="S392" s="3">
        <f>IF(B392&lt;='Input sheet(dashboard)'!$D$27*12,(E392+G392+K392+L392-O392+M392+Q392+R392),0)</f>
        <v>52281.795175483501</v>
      </c>
      <c r="T392" s="3">
        <f>IF(B392&lt;='Input sheet(dashboard)'!$D$27*12,IF(D392=12,SUM(S381:S392),0),0)</f>
        <v>0</v>
      </c>
      <c r="U392" s="3">
        <f>IF(B392&lt;='Input sheet(dashboard)'!$D$27*12,IF(S392&lt;AD392,AD392-S392,0),0)</f>
        <v>73177.911132596928</v>
      </c>
      <c r="V392" s="3">
        <f>IF(B392&lt;='Input sheet(dashboard)'!$D$27*12,V391*(1+'Input sheet(dashboard)'!$E$25)+U392,0)</f>
        <v>3856022.1910341918</v>
      </c>
      <c r="W392" s="17">
        <f>IF(B392&lt;='Input sheet(dashboard)'!$D$27*12,J392-I392+V392-N392,0)</f>
        <v>46981913.531805806</v>
      </c>
      <c r="X392" s="3">
        <f>IF(B392&lt;='Input sheet(dashboard)'!$D$27*12,'Input sheet(dashboard)'!$D$17*(1+'Input sheet(dashboard)'!$E$23)^(B392-1),0)</f>
        <v>125459.70630808042</v>
      </c>
      <c r="Y392" s="3"/>
      <c r="Z392" s="18"/>
      <c r="AA392" s="18"/>
      <c r="AB392" s="3">
        <f>IF(B392=1,'Input sheet(dashboard)'!$D$18*Calculations!X392,IF(Calculations!B392=12*'Input sheet(dashboard)'!$D$27,'Input sheet(dashboard)'!$D$18*-Calculations!X392,0))</f>
        <v>0</v>
      </c>
      <c r="AC392" s="3">
        <f>IF(B392&lt;='Input sheet(dashboard)'!$D$27*12,IF(MOD(B391,'Input sheet(dashboard)'!$D$19*12),0,'Input sheet(dashboard)'!$D$20*(1+'Input sheet(dashboard)'!$E$22)^Calculations!B392),0)</f>
        <v>0</v>
      </c>
      <c r="AD392" s="17">
        <f t="shared" si="57"/>
        <v>125459.70630808042</v>
      </c>
      <c r="AE392" s="17">
        <f>IF(B392&lt;='Input sheet(dashboard)'!$D$27*12,IF(D392=12,SUM(AD381:AD392),0),0)</f>
        <v>0</v>
      </c>
      <c r="AF392" s="17">
        <f t="shared" si="58"/>
        <v>-73177.911132596928</v>
      </c>
      <c r="AG392" s="17">
        <f t="shared" si="59"/>
        <v>0</v>
      </c>
      <c r="AH392" s="3">
        <f>IF(B392&lt;='Input sheet(dashboard)'!$D$27*12,AH391*(1+'Input sheet(dashboard)'!$E$25)+AG392," ")</f>
        <v>41291603.445456855</v>
      </c>
    </row>
    <row r="393" spans="2:34">
      <c r="B393">
        <f t="shared" si="54"/>
        <v>390</v>
      </c>
      <c r="C393">
        <f t="shared" si="52"/>
        <v>33</v>
      </c>
      <c r="D393">
        <f t="shared" si="53"/>
        <v>6</v>
      </c>
      <c r="E393" s="15">
        <f>IF(C393&lt;='Input sheet(dashboard)'!$D$6, -PMT('Input sheet(dashboard)'!$E$5,'Input sheet(dashboard)'!$D$6*12,'Input sheet(dashboard)'!$D$3*'Input sheet(dashboard)'!$D$4),0)</f>
        <v>0</v>
      </c>
      <c r="F393" s="3">
        <f>I392*'Input sheet(dashboard)'!$E$5</f>
        <v>8.3939210276823113E-12</v>
      </c>
      <c r="G393" s="3">
        <f>IF(C393&lt;='Input sheet(dashboard)'!$D$6,E393*'Input sheet(dashboard)'!$D$7,0)</f>
        <v>0</v>
      </c>
      <c r="H393" s="3">
        <f t="shared" si="55"/>
        <v>-8.3939210276823113E-12</v>
      </c>
      <c r="I393" s="3">
        <f t="shared" si="56"/>
        <v>2.3126508692826651E-9</v>
      </c>
      <c r="J393" s="3">
        <f>IF(B393&lt;='Input sheet(dashboard)'!$D$27*12,'Input sheet(dashboard)'!$D$3*(1+'Input sheet(dashboard)'!$E$24)^B393,0)</f>
        <v>43301591.560374081</v>
      </c>
      <c r="K393" s="3">
        <f>IF(B393&lt;='Input sheet(dashboard)'!$D$27*12,J393*'Input sheet(dashboard)'!$E$8,0)</f>
        <v>44849.450888753498</v>
      </c>
      <c r="L393" s="3">
        <f>IF(B393&lt;='Input sheet(dashboard)'!$D$27*12,'Input sheet(dashboard)'!$D$9*(1+'Input sheet(dashboard)'!$E$22)^B393,0)</f>
        <v>6693.4015501244085</v>
      </c>
      <c r="M393" s="3">
        <f>IF(B393=1,'Input sheet(dashboard)'!$D$3*'Input sheet(dashboard)'!$D$10,0)</f>
        <v>0</v>
      </c>
      <c r="N393" s="3">
        <f>IF(B393='Input sheet(dashboard)'!$D$27*12,J393*'Input sheet(dashboard)'!$D$11,0)</f>
        <v>0</v>
      </c>
      <c r="O393" s="3">
        <f>IF(SUM(F393:F404)&gt;=150000,150000/12*'Input sheet(dashboard)'!$D$28,SUM(F393:F404)/12*'Input sheet(dashboard)'!$D$28)</f>
        <v>1.2846232486521602E-12</v>
      </c>
      <c r="P393" s="3">
        <f t="shared" si="51"/>
        <v>0</v>
      </c>
      <c r="Q393" s="3">
        <f>IF(B393&lt;='Input sheet(dashboard)'!$D$27*12,'Input sheet(dashboard)'!$D$12/12,0)</f>
        <v>192.5</v>
      </c>
      <c r="R393" s="3">
        <f>IF(B393&lt;='Input sheet(dashboard)'!$D$27*12,('Input sheet(dashboard)'!$D$15/12)*(1+'Input sheet(dashboard)'!$E$22)^Calculations!B393,0)</f>
        <v>743.7112833471565</v>
      </c>
      <c r="S393" s="3">
        <f>IF(B393&lt;='Input sheet(dashboard)'!$D$27*12,(E393+G393+K393+L393-O393+M393+Q393+R393),0)</f>
        <v>52479.063722225059</v>
      </c>
      <c r="T393" s="3">
        <f>IF(B393&lt;='Input sheet(dashboard)'!$D$27*12,IF(D393=12,SUM(S382:S393),0),0)</f>
        <v>0</v>
      </c>
      <c r="U393" s="3">
        <f>IF(B393&lt;='Input sheet(dashboard)'!$D$27*12,IF(S393&lt;AD393,AD393-S393,0),0)</f>
        <v>73491.780959214666</v>
      </c>
      <c r="V393" s="3">
        <f>IF(B393&lt;='Input sheet(dashboard)'!$D$27*12,V392*(1+'Input sheet(dashboard)'!$E$25)+U393,0)</f>
        <v>3954323.7348753619</v>
      </c>
      <c r="W393" s="17">
        <f>IF(B393&lt;='Input sheet(dashboard)'!$D$27*12,J393-I393+V393-N393,0)</f>
        <v>47255915.29524944</v>
      </c>
      <c r="X393" s="3">
        <f>IF(B393&lt;='Input sheet(dashboard)'!$D$27*12,'Input sheet(dashboard)'!$D$17*(1+'Input sheet(dashboard)'!$E$23)^(B393-1),0)</f>
        <v>125970.84468143972</v>
      </c>
      <c r="Y393" s="3"/>
      <c r="Z393" s="18"/>
      <c r="AA393" s="18"/>
      <c r="AB393" s="3">
        <f>IF(B393=1,'Input sheet(dashboard)'!$D$18*Calculations!X393,IF(Calculations!B393=12*'Input sheet(dashboard)'!$D$27,'Input sheet(dashboard)'!$D$18*-Calculations!X393,0))</f>
        <v>0</v>
      </c>
      <c r="AC393" s="3">
        <f>IF(B393&lt;='Input sheet(dashboard)'!$D$27*12,IF(MOD(B392,'Input sheet(dashboard)'!$D$19*12),0,'Input sheet(dashboard)'!$D$20*(1+'Input sheet(dashboard)'!$E$22)^Calculations!B393),0)</f>
        <v>0</v>
      </c>
      <c r="AD393" s="17">
        <f t="shared" si="57"/>
        <v>125970.84468143972</v>
      </c>
      <c r="AE393" s="17">
        <f>IF(B393&lt;='Input sheet(dashboard)'!$D$27*12,IF(D393=12,SUM(AD382:AD393),0),0)</f>
        <v>0</v>
      </c>
      <c r="AF393" s="17">
        <f t="shared" si="58"/>
        <v>-73491.780959214666</v>
      </c>
      <c r="AG393" s="17">
        <f t="shared" si="59"/>
        <v>0</v>
      </c>
      <c r="AH393" s="3">
        <f>IF(B393&lt;='Input sheet(dashboard)'!$D$27*12,AH392*(1+'Input sheet(dashboard)'!$E$25)+AG393," ")</f>
        <v>41557274.865315244</v>
      </c>
    </row>
    <row r="394" spans="2:34">
      <c r="B394">
        <f t="shared" si="54"/>
        <v>391</v>
      </c>
      <c r="C394">
        <f t="shared" si="52"/>
        <v>33</v>
      </c>
      <c r="D394">
        <f t="shared" si="53"/>
        <v>7</v>
      </c>
      <c r="E394" s="15">
        <f>IF(C394&lt;='Input sheet(dashboard)'!$D$6, -PMT('Input sheet(dashboard)'!$E$5,'Input sheet(dashboard)'!$D$6*12,'Input sheet(dashboard)'!$D$3*'Input sheet(dashboard)'!$D$4),0)</f>
        <v>0</v>
      </c>
      <c r="F394" s="3">
        <f>I393*'Input sheet(dashboard)'!$E$5</f>
        <v>8.4244983078212856E-12</v>
      </c>
      <c r="G394" s="3">
        <f>IF(C394&lt;='Input sheet(dashboard)'!$D$6,E394*'Input sheet(dashboard)'!$D$7,0)</f>
        <v>0</v>
      </c>
      <c r="H394" s="3">
        <f t="shared" si="55"/>
        <v>-8.4244983078212856E-12</v>
      </c>
      <c r="I394" s="3">
        <f t="shared" si="56"/>
        <v>2.3210753675904864E-9</v>
      </c>
      <c r="J394" s="3">
        <f>IF(B394&lt;='Input sheet(dashboard)'!$D$27*12,'Input sheet(dashboard)'!$D$3*(1+'Input sheet(dashboard)'!$E$24)^B394,0)</f>
        <v>43478007.604420036</v>
      </c>
      <c r="K394" s="3">
        <f>IF(B394&lt;='Input sheet(dashboard)'!$D$27*12,J394*'Input sheet(dashboard)'!$E$8,0)</f>
        <v>45032.173103302943</v>
      </c>
      <c r="L394" s="3">
        <f>IF(B394&lt;='Input sheet(dashboard)'!$D$27*12,'Input sheet(dashboard)'!$D$9*(1+'Input sheet(dashboard)'!$E$22)^B394,0)</f>
        <v>6707.1888614059762</v>
      </c>
      <c r="M394" s="3">
        <f>IF(B394=1,'Input sheet(dashboard)'!$D$3*'Input sheet(dashboard)'!$D$10,0)</f>
        <v>0</v>
      </c>
      <c r="N394" s="3">
        <f>IF(B394='Input sheet(dashboard)'!$D$27*12,J394*'Input sheet(dashboard)'!$D$11,0)</f>
        <v>0</v>
      </c>
      <c r="O394" s="3">
        <f>IF(SUM(F394:F405)&gt;=150000,150000/12*'Input sheet(dashboard)'!$D$28,SUM(F394:F405)/12*'Input sheet(dashboard)'!$D$28)</f>
        <v>1.2893028596250934E-12</v>
      </c>
      <c r="P394" s="3">
        <f t="shared" si="51"/>
        <v>0</v>
      </c>
      <c r="Q394" s="3">
        <f>IF(B394&lt;='Input sheet(dashboard)'!$D$27*12,'Input sheet(dashboard)'!$D$12/12,0)</f>
        <v>192.5</v>
      </c>
      <c r="R394" s="3">
        <f>IF(B394&lt;='Input sheet(dashboard)'!$D$27*12,('Input sheet(dashboard)'!$D$15/12)*(1+'Input sheet(dashboard)'!$E$22)^Calculations!B394,0)</f>
        <v>745.24320682288624</v>
      </c>
      <c r="S394" s="3">
        <f>IF(B394&lt;='Input sheet(dashboard)'!$D$27*12,(E394+G394+K394+L394-O394+M394+Q394+R394),0)</f>
        <v>52677.10517153181</v>
      </c>
      <c r="T394" s="3">
        <f>IF(B394&lt;='Input sheet(dashboard)'!$D$27*12,IF(D394=12,SUM(S383:S394),0),0)</f>
        <v>0</v>
      </c>
      <c r="U394" s="3">
        <f>IF(B394&lt;='Input sheet(dashboard)'!$D$27*12,IF(S394&lt;AD394,AD394-S394,0),0)</f>
        <v>73806.960324270825</v>
      </c>
      <c r="V394" s="3">
        <f>IF(B394&lt;='Input sheet(dashboard)'!$D$27*12,V393*(1+'Input sheet(dashboard)'!$E$25)+U394,0)</f>
        <v>4053572.9331745217</v>
      </c>
      <c r="W394" s="17">
        <f>IF(B394&lt;='Input sheet(dashboard)'!$D$27*12,J394-I394+V394-N394,0)</f>
        <v>47531580.537594557</v>
      </c>
      <c r="X394" s="3">
        <f>IF(B394&lt;='Input sheet(dashboard)'!$D$27*12,'Input sheet(dashboard)'!$D$17*(1+'Input sheet(dashboard)'!$E$23)^(B394-1),0)</f>
        <v>126484.06549580264</v>
      </c>
      <c r="Y394" s="3"/>
      <c r="Z394" s="18"/>
      <c r="AA394" s="18"/>
      <c r="AB394" s="3">
        <f>IF(B394=1,'Input sheet(dashboard)'!$D$18*Calculations!X394,IF(Calculations!B394=12*'Input sheet(dashboard)'!$D$27,'Input sheet(dashboard)'!$D$18*-Calculations!X394,0))</f>
        <v>0</v>
      </c>
      <c r="AC394" s="3">
        <f>IF(B394&lt;='Input sheet(dashboard)'!$D$27*12,IF(MOD(B393,'Input sheet(dashboard)'!$D$19*12),0,'Input sheet(dashboard)'!$D$20*(1+'Input sheet(dashboard)'!$E$22)^Calculations!B394),0)</f>
        <v>0</v>
      </c>
      <c r="AD394" s="17">
        <f t="shared" si="57"/>
        <v>126484.06549580264</v>
      </c>
      <c r="AE394" s="17">
        <f>IF(B394&lt;='Input sheet(dashboard)'!$D$27*12,IF(D394=12,SUM(AD383:AD394),0),0)</f>
        <v>0</v>
      </c>
      <c r="AF394" s="17">
        <f t="shared" si="58"/>
        <v>-73806.960324270825</v>
      </c>
      <c r="AG394" s="17">
        <f t="shared" si="59"/>
        <v>0</v>
      </c>
      <c r="AH394" s="3">
        <f>IF(B394&lt;='Input sheet(dashboard)'!$D$27*12,AH393*(1+'Input sheet(dashboard)'!$E$25)+AG394," ")</f>
        <v>41824655.623088367</v>
      </c>
    </row>
    <row r="395" spans="2:34">
      <c r="B395">
        <f t="shared" si="54"/>
        <v>392</v>
      </c>
      <c r="C395">
        <f t="shared" si="52"/>
        <v>33</v>
      </c>
      <c r="D395">
        <f t="shared" si="53"/>
        <v>8</v>
      </c>
      <c r="E395" s="15">
        <f>IF(C395&lt;='Input sheet(dashboard)'!$D$6, -PMT('Input sheet(dashboard)'!$E$5,'Input sheet(dashboard)'!$D$6*12,'Input sheet(dashboard)'!$D$3*'Input sheet(dashboard)'!$D$4),0)</f>
        <v>0</v>
      </c>
      <c r="F395" s="3">
        <f>I394*'Input sheet(dashboard)'!$E$5</f>
        <v>8.4551869745288967E-12</v>
      </c>
      <c r="G395" s="3">
        <f>IF(C395&lt;='Input sheet(dashboard)'!$D$6,E395*'Input sheet(dashboard)'!$D$7,0)</f>
        <v>0</v>
      </c>
      <c r="H395" s="3">
        <f t="shared" si="55"/>
        <v>-8.4551869745288967E-12</v>
      </c>
      <c r="I395" s="3">
        <f t="shared" si="56"/>
        <v>2.3295305545650155E-9</v>
      </c>
      <c r="J395" s="3">
        <f>IF(B395&lt;='Input sheet(dashboard)'!$D$27*12,'Input sheet(dashboard)'!$D$3*(1+'Input sheet(dashboard)'!$E$24)^B395,0)</f>
        <v>43655142.389266841</v>
      </c>
      <c r="K395" s="3">
        <f>IF(B395&lt;='Input sheet(dashboard)'!$D$27*12,J395*'Input sheet(dashboard)'!$E$8,0)</f>
        <v>45215.639750772469</v>
      </c>
      <c r="L395" s="3">
        <f>IF(B395&lt;='Input sheet(dashboard)'!$D$27*12,'Input sheet(dashboard)'!$D$9*(1+'Input sheet(dashboard)'!$E$22)^B395,0)</f>
        <v>6721.0045722913846</v>
      </c>
      <c r="M395" s="3">
        <f>IF(B395=1,'Input sheet(dashboard)'!$D$3*'Input sheet(dashboard)'!$D$10,0)</f>
        <v>0</v>
      </c>
      <c r="N395" s="3">
        <f>IF(B395='Input sheet(dashboard)'!$D$27*12,J395*'Input sheet(dashboard)'!$D$11,0)</f>
        <v>0</v>
      </c>
      <c r="O395" s="3">
        <f>IF(SUM(F395:F406)&gt;=150000,150000/12*'Input sheet(dashboard)'!$D$28,SUM(F395:F406)/12*'Input sheet(dashboard)'!$D$28)</f>
        <v>1.2939995174317038E-12</v>
      </c>
      <c r="P395" s="3">
        <f t="shared" si="51"/>
        <v>0</v>
      </c>
      <c r="Q395" s="3">
        <f>IF(B395&lt;='Input sheet(dashboard)'!$D$27*12,'Input sheet(dashboard)'!$D$12/12,0)</f>
        <v>192.5</v>
      </c>
      <c r="R395" s="3">
        <f>IF(B395&lt;='Input sheet(dashboard)'!$D$27*12,('Input sheet(dashboard)'!$D$15/12)*(1+'Input sheet(dashboard)'!$E$22)^Calculations!B395,0)</f>
        <v>746.77828581015376</v>
      </c>
      <c r="S395" s="3">
        <f>IF(B395&lt;='Input sheet(dashboard)'!$D$27*12,(E395+G395+K395+L395-O395+M395+Q395+R395),0)</f>
        <v>52875.922608874011</v>
      </c>
      <c r="T395" s="3">
        <f>IF(B395&lt;='Input sheet(dashboard)'!$D$27*12,IF(D395=12,SUM(S384:S395),0),0)</f>
        <v>0</v>
      </c>
      <c r="U395" s="3">
        <f>IF(B395&lt;='Input sheet(dashboard)'!$D$27*12,IF(S395&lt;AD395,AD395-S395,0),0)</f>
        <v>74123.454626417632</v>
      </c>
      <c r="V395" s="3">
        <f>IF(B395&lt;='Input sheet(dashboard)'!$D$27*12,V394*(1+'Input sheet(dashboard)'!$E$25)+U395,0)</f>
        <v>4153777.1981060794</v>
      </c>
      <c r="W395" s="17">
        <f>IF(B395&lt;='Input sheet(dashboard)'!$D$27*12,J395-I395+V395-N395,0)</f>
        <v>47808919.587372921</v>
      </c>
      <c r="X395" s="3">
        <f>IF(B395&lt;='Input sheet(dashboard)'!$D$27*12,'Input sheet(dashboard)'!$D$17*(1+'Input sheet(dashboard)'!$E$23)^(B395-1),0)</f>
        <v>126999.37723529164</v>
      </c>
      <c r="Y395" s="3"/>
      <c r="Z395" s="18"/>
      <c r="AA395" s="18"/>
      <c r="AB395" s="3">
        <f>IF(B395=1,'Input sheet(dashboard)'!$D$18*Calculations!X395,IF(Calculations!B395=12*'Input sheet(dashboard)'!$D$27,'Input sheet(dashboard)'!$D$18*-Calculations!X395,0))</f>
        <v>0</v>
      </c>
      <c r="AC395" s="3">
        <f>IF(B395&lt;='Input sheet(dashboard)'!$D$27*12,IF(MOD(B394,'Input sheet(dashboard)'!$D$19*12),0,'Input sheet(dashboard)'!$D$20*(1+'Input sheet(dashboard)'!$E$22)^Calculations!B395),0)</f>
        <v>0</v>
      </c>
      <c r="AD395" s="17">
        <f t="shared" si="57"/>
        <v>126999.37723529164</v>
      </c>
      <c r="AE395" s="17">
        <f>IF(B395&lt;='Input sheet(dashboard)'!$D$27*12,IF(D395=12,SUM(AD384:AD395),0),0)</f>
        <v>0</v>
      </c>
      <c r="AF395" s="17">
        <f t="shared" si="58"/>
        <v>-74123.454626417632</v>
      </c>
      <c r="AG395" s="17">
        <f t="shared" si="59"/>
        <v>0</v>
      </c>
      <c r="AH395" s="3">
        <f>IF(B395&lt;='Input sheet(dashboard)'!$D$27*12,AH394*(1+'Input sheet(dashboard)'!$E$25)+AG395," ")</f>
        <v>42093756.716707841</v>
      </c>
    </row>
    <row r="396" spans="2:34">
      <c r="B396">
        <f t="shared" si="54"/>
        <v>393</v>
      </c>
      <c r="C396">
        <f t="shared" si="52"/>
        <v>33</v>
      </c>
      <c r="D396">
        <f t="shared" si="53"/>
        <v>9</v>
      </c>
      <c r="E396" s="15">
        <f>IF(C396&lt;='Input sheet(dashboard)'!$D$6, -PMT('Input sheet(dashboard)'!$E$5,'Input sheet(dashboard)'!$D$6*12,'Input sheet(dashboard)'!$D$3*'Input sheet(dashboard)'!$D$4),0)</f>
        <v>0</v>
      </c>
      <c r="F396" s="3">
        <f>I395*'Input sheet(dashboard)'!$E$5</f>
        <v>8.4859874335628743E-12</v>
      </c>
      <c r="G396" s="3">
        <f>IF(C396&lt;='Input sheet(dashboard)'!$D$6,E396*'Input sheet(dashboard)'!$D$7,0)</f>
        <v>0</v>
      </c>
      <c r="H396" s="3">
        <f t="shared" si="55"/>
        <v>-8.4859874335628743E-12</v>
      </c>
      <c r="I396" s="3">
        <f t="shared" si="56"/>
        <v>2.3380165419985784E-9</v>
      </c>
      <c r="J396" s="3">
        <f>IF(B396&lt;='Input sheet(dashboard)'!$D$27*12,'Input sheet(dashboard)'!$D$3*(1+'Input sheet(dashboard)'!$E$24)^B396,0)</f>
        <v>43832998.843153521</v>
      </c>
      <c r="K396" s="3">
        <f>IF(B396&lt;='Input sheet(dashboard)'!$D$27*12,J396*'Input sheet(dashboard)'!$E$8,0)</f>
        <v>45399.853864073986</v>
      </c>
      <c r="L396" s="3">
        <f>IF(B396&lt;='Input sheet(dashboard)'!$D$27*12,'Input sheet(dashboard)'!$D$9*(1+'Input sheet(dashboard)'!$E$22)^B396,0)</f>
        <v>6734.8487412791701</v>
      </c>
      <c r="M396" s="3">
        <f>IF(B396=1,'Input sheet(dashboard)'!$D$3*'Input sheet(dashboard)'!$D$10,0)</f>
        <v>0</v>
      </c>
      <c r="N396" s="3">
        <f>IF(B396='Input sheet(dashboard)'!$D$27*12,J396*'Input sheet(dashboard)'!$D$11,0)</f>
        <v>0</v>
      </c>
      <c r="O396" s="3">
        <f>IF(SUM(F396:F407)&gt;=150000,150000/12*'Input sheet(dashboard)'!$D$28,SUM(F396:F407)/12*'Input sheet(dashboard)'!$D$28)</f>
        <v>1.2987132841700036E-12</v>
      </c>
      <c r="P396" s="3">
        <f t="shared" si="51"/>
        <v>0</v>
      </c>
      <c r="Q396" s="3">
        <f>IF(B396&lt;='Input sheet(dashboard)'!$D$27*12,'Input sheet(dashboard)'!$D$12/12,0)</f>
        <v>192.5</v>
      </c>
      <c r="R396" s="3">
        <f>IF(B396&lt;='Input sheet(dashboard)'!$D$27*12,('Input sheet(dashboard)'!$D$15/12)*(1+'Input sheet(dashboard)'!$E$22)^Calculations!B396,0)</f>
        <v>748.31652680879665</v>
      </c>
      <c r="S396" s="3">
        <f>IF(B396&lt;='Input sheet(dashboard)'!$D$27*12,(E396+G396+K396+L396-O396+M396+Q396+R396),0)</f>
        <v>53075.519132161957</v>
      </c>
      <c r="T396" s="3">
        <f>IF(B396&lt;='Input sheet(dashboard)'!$D$27*12,IF(D396=12,SUM(S385:S396),0),0)</f>
        <v>0</v>
      </c>
      <c r="U396" s="3">
        <f>IF(B396&lt;='Input sheet(dashboard)'!$D$27*12,IF(S396&lt;AD396,AD396-S396,0),0)</f>
        <v>74441.269286432507</v>
      </c>
      <c r="V396" s="3">
        <f>IF(B396&lt;='Input sheet(dashboard)'!$D$27*12,V395*(1+'Input sheet(dashboard)'!$E$25)+U396,0)</f>
        <v>4254943.9949553721</v>
      </c>
      <c r="W396" s="17">
        <f>IF(B396&lt;='Input sheet(dashboard)'!$D$27*12,J396-I396+V396-N396,0)</f>
        <v>48087942.838108897</v>
      </c>
      <c r="X396" s="3">
        <f>IF(B396&lt;='Input sheet(dashboard)'!$D$27*12,'Input sheet(dashboard)'!$D$17*(1+'Input sheet(dashboard)'!$E$23)^(B396-1),0)</f>
        <v>127516.78841859447</v>
      </c>
      <c r="Y396" s="3"/>
      <c r="Z396" s="18"/>
      <c r="AA396" s="18"/>
      <c r="AB396" s="3">
        <f>IF(B396=1,'Input sheet(dashboard)'!$D$18*Calculations!X396,IF(Calculations!B396=12*'Input sheet(dashboard)'!$D$27,'Input sheet(dashboard)'!$D$18*-Calculations!X396,0))</f>
        <v>0</v>
      </c>
      <c r="AC396" s="3">
        <f>IF(B396&lt;='Input sheet(dashboard)'!$D$27*12,IF(MOD(B395,'Input sheet(dashboard)'!$D$19*12),0,'Input sheet(dashboard)'!$D$20*(1+'Input sheet(dashboard)'!$E$22)^Calculations!B396),0)</f>
        <v>0</v>
      </c>
      <c r="AD396" s="17">
        <f t="shared" si="57"/>
        <v>127516.78841859447</v>
      </c>
      <c r="AE396" s="17">
        <f>IF(B396&lt;='Input sheet(dashboard)'!$D$27*12,IF(D396=12,SUM(AD385:AD396),0),0)</f>
        <v>0</v>
      </c>
      <c r="AF396" s="17">
        <f t="shared" si="58"/>
        <v>-74441.269286432507</v>
      </c>
      <c r="AG396" s="17">
        <f t="shared" si="59"/>
        <v>0</v>
      </c>
      <c r="AH396" s="3">
        <f>IF(B396&lt;='Input sheet(dashboard)'!$D$27*12,AH395*(1+'Input sheet(dashboard)'!$E$25)+AG396," ")</f>
        <v>42364589.214866295</v>
      </c>
    </row>
    <row r="397" spans="2:34">
      <c r="B397">
        <f t="shared" si="54"/>
        <v>394</v>
      </c>
      <c r="C397">
        <f t="shared" si="52"/>
        <v>33</v>
      </c>
      <c r="D397">
        <f t="shared" si="53"/>
        <v>10</v>
      </c>
      <c r="E397" s="15">
        <f>IF(C397&lt;='Input sheet(dashboard)'!$D$6, -PMT('Input sheet(dashboard)'!$E$5,'Input sheet(dashboard)'!$D$6*12,'Input sheet(dashboard)'!$D$3*'Input sheet(dashboard)'!$D$4),0)</f>
        <v>0</v>
      </c>
      <c r="F397" s="3">
        <f>I396*'Input sheet(dashboard)'!$E$5</f>
        <v>8.5169000921590328E-12</v>
      </c>
      <c r="G397" s="3">
        <f>IF(C397&lt;='Input sheet(dashboard)'!$D$6,E397*'Input sheet(dashboard)'!$D$7,0)</f>
        <v>0</v>
      </c>
      <c r="H397" s="3">
        <f t="shared" si="55"/>
        <v>-8.5169000921590328E-12</v>
      </c>
      <c r="I397" s="3">
        <f t="shared" si="56"/>
        <v>2.3465334420907377E-9</v>
      </c>
      <c r="J397" s="3">
        <f>IF(B397&lt;='Input sheet(dashboard)'!$D$27*12,'Input sheet(dashboard)'!$D$3*(1+'Input sheet(dashboard)'!$E$24)^B397,0)</f>
        <v>44011579.906249046</v>
      </c>
      <c r="K397" s="3">
        <f>IF(B397&lt;='Input sheet(dashboard)'!$D$27*12,J397*'Input sheet(dashboard)'!$E$8,0)</f>
        <v>45584.818488475772</v>
      </c>
      <c r="L397" s="3">
        <f>IF(B397&lt;='Input sheet(dashboard)'!$D$27*12,'Input sheet(dashboard)'!$D$9*(1+'Input sheet(dashboard)'!$E$22)^B397,0)</f>
        <v>6748.7214269883607</v>
      </c>
      <c r="M397" s="3">
        <f>IF(B397=1,'Input sheet(dashboard)'!$D$3*'Input sheet(dashboard)'!$D$10,0)</f>
        <v>0</v>
      </c>
      <c r="N397" s="3">
        <f>IF(B397='Input sheet(dashboard)'!$D$27*12,J397*'Input sheet(dashboard)'!$D$11,0)</f>
        <v>0</v>
      </c>
      <c r="O397" s="3">
        <f>IF(SUM(F397:F408)&gt;=150000,150000/12*'Input sheet(dashboard)'!$D$28,SUM(F397:F408)/12*'Input sheet(dashboard)'!$D$28)</f>
        <v>1.3034442221642148E-12</v>
      </c>
      <c r="P397" s="3">
        <f t="shared" si="51"/>
        <v>0</v>
      </c>
      <c r="Q397" s="3">
        <f>IF(B397&lt;='Input sheet(dashboard)'!$D$27*12,'Input sheet(dashboard)'!$D$12/12,0)</f>
        <v>192.5</v>
      </c>
      <c r="R397" s="3">
        <f>IF(B397&lt;='Input sheet(dashboard)'!$D$27*12,('Input sheet(dashboard)'!$D$15/12)*(1+'Input sheet(dashboard)'!$E$22)^Calculations!B397,0)</f>
        <v>749.85793633204003</v>
      </c>
      <c r="S397" s="3">
        <f>IF(B397&lt;='Input sheet(dashboard)'!$D$27*12,(E397+G397+K397+L397-O397+M397+Q397+R397),0)</f>
        <v>53275.897851796173</v>
      </c>
      <c r="T397" s="3">
        <f>IF(B397&lt;='Input sheet(dashboard)'!$D$27*12,IF(D397=12,SUM(S386:S397),0),0)</f>
        <v>0</v>
      </c>
      <c r="U397" s="3">
        <f>IF(B397&lt;='Input sheet(dashboard)'!$D$27*12,IF(S397&lt;AD397,AD397-S397,0),0)</f>
        <v>74760.409747308993</v>
      </c>
      <c r="V397" s="3">
        <f>IF(B397&lt;='Input sheet(dashboard)'!$D$27*12,V396*(1+'Input sheet(dashboard)'!$E$25)+U397,0)</f>
        <v>4357080.8424826022</v>
      </c>
      <c r="W397" s="17">
        <f>IF(B397&lt;='Input sheet(dashboard)'!$D$27*12,J397-I397+V397-N397,0)</f>
        <v>48368660.74873165</v>
      </c>
      <c r="X397" s="3">
        <f>IF(B397&lt;='Input sheet(dashboard)'!$D$27*12,'Input sheet(dashboard)'!$D$17*(1+'Input sheet(dashboard)'!$E$23)^(B397-1),0)</f>
        <v>128036.30759910516</v>
      </c>
      <c r="Y397" s="3"/>
      <c r="Z397" s="18"/>
      <c r="AA397" s="18"/>
      <c r="AB397" s="3">
        <f>IF(B397=1,'Input sheet(dashboard)'!$D$18*Calculations!X397,IF(Calculations!B397=12*'Input sheet(dashboard)'!$D$27,'Input sheet(dashboard)'!$D$18*-Calculations!X397,0))</f>
        <v>0</v>
      </c>
      <c r="AC397" s="3">
        <f>IF(B397&lt;='Input sheet(dashboard)'!$D$27*12,IF(MOD(B396,'Input sheet(dashboard)'!$D$19*12),0,'Input sheet(dashboard)'!$D$20*(1+'Input sheet(dashboard)'!$E$22)^Calculations!B397),0)</f>
        <v>0</v>
      </c>
      <c r="AD397" s="17">
        <f t="shared" si="57"/>
        <v>128036.30759910516</v>
      </c>
      <c r="AE397" s="17">
        <f>IF(B397&lt;='Input sheet(dashboard)'!$D$27*12,IF(D397=12,SUM(AD386:AD397),0),0)</f>
        <v>0</v>
      </c>
      <c r="AF397" s="17">
        <f t="shared" si="58"/>
        <v>-74760.409747308993</v>
      </c>
      <c r="AG397" s="17">
        <f t="shared" si="59"/>
        <v>0</v>
      </c>
      <c r="AH397" s="3">
        <f>IF(B397&lt;='Input sheet(dashboard)'!$D$27*12,AH396*(1+'Input sheet(dashboard)'!$E$25)+AG397," ")</f>
        <v>42637164.257472672</v>
      </c>
    </row>
    <row r="398" spans="2:34">
      <c r="B398">
        <f t="shared" si="54"/>
        <v>395</v>
      </c>
      <c r="C398">
        <f t="shared" si="52"/>
        <v>33</v>
      </c>
      <c r="D398">
        <f t="shared" si="53"/>
        <v>11</v>
      </c>
      <c r="E398" s="15">
        <f>IF(C398&lt;='Input sheet(dashboard)'!$D$6, -PMT('Input sheet(dashboard)'!$E$5,'Input sheet(dashboard)'!$D$6*12,'Input sheet(dashboard)'!$D$3*'Input sheet(dashboard)'!$D$4),0)</f>
        <v>0</v>
      </c>
      <c r="F398" s="3">
        <f>I397*'Input sheet(dashboard)'!$E$5</f>
        <v>8.5479253590366623E-12</v>
      </c>
      <c r="G398" s="3">
        <f>IF(C398&lt;='Input sheet(dashboard)'!$D$6,E398*'Input sheet(dashboard)'!$D$7,0)</f>
        <v>0</v>
      </c>
      <c r="H398" s="3">
        <f t="shared" si="55"/>
        <v>-8.5479253590366623E-12</v>
      </c>
      <c r="I398" s="3">
        <f t="shared" si="56"/>
        <v>2.3550813674497743E-9</v>
      </c>
      <c r="J398" s="3">
        <f>IF(B398&lt;='Input sheet(dashboard)'!$D$27*12,'Input sheet(dashboard)'!$D$3*(1+'Input sheet(dashboard)'!$E$24)^B398,0)</f>
        <v>44190888.530701034</v>
      </c>
      <c r="K398" s="3">
        <f>IF(B398&lt;='Input sheet(dashboard)'!$D$27*12,J398*'Input sheet(dashboard)'!$E$8,0)</f>
        <v>45770.536681652957</v>
      </c>
      <c r="L398" s="3">
        <f>IF(B398&lt;='Input sheet(dashboard)'!$D$27*12,'Input sheet(dashboard)'!$D$9*(1+'Input sheet(dashboard)'!$E$22)^B398,0)</f>
        <v>6762.6226881587372</v>
      </c>
      <c r="M398" s="3">
        <f>IF(B398=1,'Input sheet(dashboard)'!$D$3*'Input sheet(dashboard)'!$D$10,0)</f>
        <v>0</v>
      </c>
      <c r="N398" s="3">
        <f>IF(B398='Input sheet(dashboard)'!$D$27*12,J398*'Input sheet(dashboard)'!$D$11,0)</f>
        <v>0</v>
      </c>
      <c r="O398" s="3">
        <f>IF(SUM(F398:F409)&gt;=150000,150000/12*'Input sheet(dashboard)'!$D$28,SUM(F398:F409)/12*'Input sheet(dashboard)'!$D$28)</f>
        <v>1.3081923939655935E-12</v>
      </c>
      <c r="P398" s="3">
        <f t="shared" si="51"/>
        <v>0</v>
      </c>
      <c r="Q398" s="3">
        <f>IF(B398&lt;='Input sheet(dashboard)'!$D$27*12,'Input sheet(dashboard)'!$D$12/12,0)</f>
        <v>192.5</v>
      </c>
      <c r="R398" s="3">
        <f>IF(B398&lt;='Input sheet(dashboard)'!$D$27*12,('Input sheet(dashboard)'!$D$15/12)*(1+'Input sheet(dashboard)'!$E$22)^Calculations!B398,0)</f>
        <v>751.40252090652632</v>
      </c>
      <c r="S398" s="3">
        <f>IF(B398&lt;='Input sheet(dashboard)'!$D$27*12,(E398+G398+K398+L398-O398+M398+Q398+R398),0)</f>
        <v>53477.061890718222</v>
      </c>
      <c r="T398" s="3">
        <f>IF(B398&lt;='Input sheet(dashboard)'!$D$27*12,IF(D398=12,SUM(S387:S398),0),0)</f>
        <v>0</v>
      </c>
      <c r="U398" s="3">
        <f>IF(B398&lt;='Input sheet(dashboard)'!$D$27*12,IF(S398&lt;AD398,AD398-S398,0),0)</f>
        <v>75080.881474346956</v>
      </c>
      <c r="V398" s="3">
        <f>IF(B398&lt;='Input sheet(dashboard)'!$D$27*12,V397*(1+'Input sheet(dashboard)'!$E$25)+U398,0)</f>
        <v>4460195.3132892009</v>
      </c>
      <c r="W398" s="17">
        <f>IF(B398&lt;='Input sheet(dashboard)'!$D$27*12,J398-I398+V398-N398,0)</f>
        <v>48651083.843990237</v>
      </c>
      <c r="X398" s="3">
        <f>IF(B398&lt;='Input sheet(dashboard)'!$D$27*12,'Input sheet(dashboard)'!$D$17*(1+'Input sheet(dashboard)'!$E$23)^(B398-1),0)</f>
        <v>128557.94336506518</v>
      </c>
      <c r="Y398" s="3"/>
      <c r="Z398" s="18"/>
      <c r="AA398" s="18"/>
      <c r="AB398" s="3">
        <f>IF(B398=1,'Input sheet(dashboard)'!$D$18*Calculations!X398,IF(Calculations!B398=12*'Input sheet(dashboard)'!$D$27,'Input sheet(dashboard)'!$D$18*-Calculations!X398,0))</f>
        <v>0</v>
      </c>
      <c r="AC398" s="3">
        <f>IF(B398&lt;='Input sheet(dashboard)'!$D$27*12,IF(MOD(B397,'Input sheet(dashboard)'!$D$19*12),0,'Input sheet(dashboard)'!$D$20*(1+'Input sheet(dashboard)'!$E$22)^Calculations!B398),0)</f>
        <v>0</v>
      </c>
      <c r="AD398" s="17">
        <f t="shared" si="57"/>
        <v>128557.94336506518</v>
      </c>
      <c r="AE398" s="17">
        <f>IF(B398&lt;='Input sheet(dashboard)'!$D$27*12,IF(D398=12,SUM(AD387:AD398),0),0)</f>
        <v>0</v>
      </c>
      <c r="AF398" s="17">
        <f t="shared" si="58"/>
        <v>-75080.881474346956</v>
      </c>
      <c r="AG398" s="17">
        <f t="shared" si="59"/>
        <v>0</v>
      </c>
      <c r="AH398" s="3">
        <f>IF(B398&lt;='Input sheet(dashboard)'!$D$27*12,AH397*(1+'Input sheet(dashboard)'!$E$25)+AG398," ")</f>
        <v>42911493.056110412</v>
      </c>
    </row>
    <row r="399" spans="2:34">
      <c r="B399">
        <f t="shared" si="54"/>
        <v>396</v>
      </c>
      <c r="C399">
        <f t="shared" si="52"/>
        <v>33</v>
      </c>
      <c r="D399">
        <f t="shared" si="53"/>
        <v>12</v>
      </c>
      <c r="E399" s="15">
        <f>IF(C399&lt;='Input sheet(dashboard)'!$D$6, -PMT('Input sheet(dashboard)'!$E$5,'Input sheet(dashboard)'!$D$6*12,'Input sheet(dashboard)'!$D$3*'Input sheet(dashboard)'!$D$4),0)</f>
        <v>0</v>
      </c>
      <c r="F399" s="3">
        <f>I398*'Input sheet(dashboard)'!$E$5</f>
        <v>8.579063644403931E-12</v>
      </c>
      <c r="G399" s="3">
        <f>IF(C399&lt;='Input sheet(dashboard)'!$D$6,E399*'Input sheet(dashboard)'!$D$7,0)</f>
        <v>0</v>
      </c>
      <c r="H399" s="3">
        <f t="shared" si="55"/>
        <v>-8.579063644403931E-12</v>
      </c>
      <c r="I399" s="3">
        <f t="shared" si="56"/>
        <v>2.3636604310941781E-9</v>
      </c>
      <c r="J399" s="3">
        <f>IF(B399&lt;='Input sheet(dashboard)'!$D$27*12,'Input sheet(dashboard)'!$D$3*(1+'Input sheet(dashboard)'!$E$24)^B399,0)</f>
        <v>44370927.680684522</v>
      </c>
      <c r="K399" s="3">
        <f>IF(B399&lt;='Input sheet(dashboard)'!$D$27*12,J399*'Input sheet(dashboard)'!$E$8,0)</f>
        <v>45957.011513738034</v>
      </c>
      <c r="L399" s="3">
        <f>IF(B399&lt;='Input sheet(dashboard)'!$D$27*12,'Input sheet(dashboard)'!$D$9*(1+'Input sheet(dashboard)'!$E$22)^B399,0)</f>
        <v>6776.5525836510669</v>
      </c>
      <c r="M399" s="3">
        <f>IF(B399=1,'Input sheet(dashboard)'!$D$3*'Input sheet(dashboard)'!$D$10,0)</f>
        <v>0</v>
      </c>
      <c r="N399" s="3">
        <f>IF(B399='Input sheet(dashboard)'!$D$27*12,J399*'Input sheet(dashboard)'!$D$11,0)</f>
        <v>0</v>
      </c>
      <c r="O399" s="3">
        <f>IF(SUM(F399:F410)&gt;=150000,150000/12*'Input sheet(dashboard)'!$D$28,SUM(F399:F410)/12*'Input sheet(dashboard)'!$D$28)</f>
        <v>1.3129578623532565E-12</v>
      </c>
      <c r="P399" s="3">
        <f t="shared" ref="P399:P462" si="60">IF(D399=12,IF(SUM(F388:F400)&gt;=150000,150000*0.15,SUM(F388:F400)*0.15),0)</f>
        <v>1.6429292167119267E-11</v>
      </c>
      <c r="Q399" s="3">
        <f>IF(B399&lt;='Input sheet(dashboard)'!$D$27*12,'Input sheet(dashboard)'!$D$12/12,0)</f>
        <v>192.5</v>
      </c>
      <c r="R399" s="3">
        <f>IF(B399&lt;='Input sheet(dashboard)'!$D$27*12,('Input sheet(dashboard)'!$D$15/12)*(1+'Input sheet(dashboard)'!$E$22)^Calculations!B399,0)</f>
        <v>752.95028707234076</v>
      </c>
      <c r="S399" s="3">
        <f>IF(B399&lt;='Input sheet(dashboard)'!$D$27*12,(E399+G399+K399+L399-O399+M399+Q399+R399),0)</f>
        <v>53679.014384461436</v>
      </c>
      <c r="T399" s="3">
        <f>IF(B399&lt;='Input sheet(dashboard)'!$D$27*12,IF(D399=12,SUM(S388:S399),0),0)</f>
        <v>630991.22592403926</v>
      </c>
      <c r="U399" s="3">
        <f>IF(B399&lt;='Input sheet(dashboard)'!$D$27*12,IF(S399&lt;AD399,AD399-S399,0),0)</f>
        <v>75402.689955244263</v>
      </c>
      <c r="V399" s="3">
        <f>IF(B399&lt;='Input sheet(dashboard)'!$D$27*12,V398*(1+'Input sheet(dashboard)'!$E$25)+U399,0)</f>
        <v>4564295.0341866435</v>
      </c>
      <c r="W399" s="17">
        <f>IF(B399&lt;='Input sheet(dashboard)'!$D$27*12,J399-I399+V399-N399,0)</f>
        <v>48935222.714871168</v>
      </c>
      <c r="X399" s="3">
        <f>IF(B399&lt;='Input sheet(dashboard)'!$D$27*12,'Input sheet(dashboard)'!$D$17*(1+'Input sheet(dashboard)'!$E$23)^(B399-1),0)</f>
        <v>129081.7043397057</v>
      </c>
      <c r="Y399" s="3"/>
      <c r="Z399" s="18"/>
      <c r="AA399" s="18"/>
      <c r="AB399" s="3">
        <f>IF(B399=1,'Input sheet(dashboard)'!$D$18*Calculations!X399,IF(Calculations!B399=12*'Input sheet(dashboard)'!$D$27,'Input sheet(dashboard)'!$D$18*-Calculations!X399,0))</f>
        <v>0</v>
      </c>
      <c r="AC399" s="3">
        <f>IF(B399&lt;='Input sheet(dashboard)'!$D$27*12,IF(MOD(B398,'Input sheet(dashboard)'!$D$19*12),0,'Input sheet(dashboard)'!$D$20*(1+'Input sheet(dashboard)'!$E$22)^Calculations!B399),0)</f>
        <v>0</v>
      </c>
      <c r="AD399" s="17">
        <f t="shared" si="57"/>
        <v>129081.7043397057</v>
      </c>
      <c r="AE399" s="17">
        <f>IF(B399&lt;='Input sheet(dashboard)'!$D$27*12,IF(D399=12,SUM(AD388:AD399),0),0)</f>
        <v>1514875.5327415015</v>
      </c>
      <c r="AF399" s="17">
        <f t="shared" si="58"/>
        <v>-75402.689955244263</v>
      </c>
      <c r="AG399" s="17">
        <f t="shared" si="59"/>
        <v>0</v>
      </c>
      <c r="AH399" s="3">
        <f>IF(B399&lt;='Input sheet(dashboard)'!$D$27*12,AH398*(1+'Input sheet(dashboard)'!$E$25)+AG399," ")</f>
        <v>43187586.894498631</v>
      </c>
    </row>
    <row r="400" spans="2:34">
      <c r="B400">
        <f t="shared" si="54"/>
        <v>397</v>
      </c>
      <c r="C400">
        <f t="shared" ref="C400:C463" si="61">C388+1</f>
        <v>34</v>
      </c>
      <c r="D400">
        <f t="shared" ref="D400:D463" si="62">D388</f>
        <v>1</v>
      </c>
      <c r="E400" s="15">
        <f>IF(C400&lt;='Input sheet(dashboard)'!$D$6, -PMT('Input sheet(dashboard)'!$E$5,'Input sheet(dashboard)'!$D$6*12,'Input sheet(dashboard)'!$D$3*'Input sheet(dashboard)'!$D$4),0)</f>
        <v>0</v>
      </c>
      <c r="F400" s="3">
        <f>I399*'Input sheet(dashboard)'!$E$5</f>
        <v>8.6103153599633107E-12</v>
      </c>
      <c r="G400" s="3">
        <f>IF(C400&lt;='Input sheet(dashboard)'!$D$6,E400*'Input sheet(dashboard)'!$D$7,0)</f>
        <v>0</v>
      </c>
      <c r="H400" s="3">
        <f t="shared" si="55"/>
        <v>-8.6103153599633107E-12</v>
      </c>
      <c r="I400" s="3">
        <f t="shared" si="56"/>
        <v>2.3722707464541414E-9</v>
      </c>
      <c r="J400" s="3">
        <f>IF(B400&lt;='Input sheet(dashboard)'!$D$27*12,'Input sheet(dashboard)'!$D$3*(1+'Input sheet(dashboard)'!$E$24)^B400,0)</f>
        <v>44551700.332450934</v>
      </c>
      <c r="K400" s="3">
        <f>IF(B400&lt;='Input sheet(dashboard)'!$D$27*12,J400*'Input sheet(dashboard)'!$E$8,0)</f>
        <v>46144.246067371554</v>
      </c>
      <c r="L400" s="3">
        <f>IF(B400&lt;='Input sheet(dashboard)'!$D$27*12,'Input sheet(dashboard)'!$D$9*(1+'Input sheet(dashboard)'!$E$22)^B400,0)</f>
        <v>6790.5111724473672</v>
      </c>
      <c r="M400" s="3">
        <f>IF(B400=1,'Input sheet(dashboard)'!$D$3*'Input sheet(dashboard)'!$D$10,0)</f>
        <v>0</v>
      </c>
      <c r="N400" s="3">
        <f>IF(B400='Input sheet(dashboard)'!$D$27*12,J400*'Input sheet(dashboard)'!$D$11,0)</f>
        <v>0</v>
      </c>
      <c r="O400" s="3">
        <f>IF(SUM(F400:F411)&gt;=150000,150000/12*'Input sheet(dashboard)'!$D$28,SUM(F400:F411)/12*'Input sheet(dashboard)'!$D$28)</f>
        <v>1.3177406903350119E-12</v>
      </c>
      <c r="P400" s="3">
        <f t="shared" si="60"/>
        <v>0</v>
      </c>
      <c r="Q400" s="3">
        <f>IF(B400&lt;='Input sheet(dashboard)'!$D$27*12,'Input sheet(dashboard)'!$D$12/12,0)</f>
        <v>192.5</v>
      </c>
      <c r="R400" s="3">
        <f>IF(B400&lt;='Input sheet(dashboard)'!$D$27*12,('Input sheet(dashboard)'!$D$15/12)*(1+'Input sheet(dashboard)'!$E$22)^Calculations!B400,0)</f>
        <v>754.50124138304079</v>
      </c>
      <c r="S400" s="3">
        <f>IF(B400&lt;='Input sheet(dashboard)'!$D$27*12,(E400+G400+K400+L400-O400+M400+Q400+R400),0)</f>
        <v>53881.758481201963</v>
      </c>
      <c r="T400" s="3">
        <f>IF(B400&lt;='Input sheet(dashboard)'!$D$27*12,IF(D400=12,SUM(S389:S400),0),0)</f>
        <v>0</v>
      </c>
      <c r="U400" s="3">
        <f>IF(B400&lt;='Input sheet(dashboard)'!$D$27*12,IF(S400&lt;AD400,AD400-S400,0),0)</f>
        <v>75725.840700188011</v>
      </c>
      <c r="V400" s="3">
        <f>IF(B400&lt;='Input sheet(dashboard)'!$D$27*12,V399*(1+'Input sheet(dashboard)'!$E$25)+U400,0)</f>
        <v>4669387.6865677275</v>
      </c>
      <c r="W400" s="17">
        <f>IF(B400&lt;='Input sheet(dashboard)'!$D$27*12,J400-I400+V400-N400,0)</f>
        <v>49221088.019018665</v>
      </c>
      <c r="X400" s="3">
        <f>IF(B400&lt;='Input sheet(dashboard)'!$D$27*12,'Input sheet(dashboard)'!$D$17*(1+'Input sheet(dashboard)'!$E$23)^(B400-1),0)</f>
        <v>129607.59918138997</v>
      </c>
      <c r="Y400" s="3"/>
      <c r="Z400" s="18"/>
      <c r="AA400" s="18"/>
      <c r="AB400" s="3">
        <f>IF(B400=1,'Input sheet(dashboard)'!$D$18*Calculations!X400,IF(Calculations!B400=12*'Input sheet(dashboard)'!$D$27,'Input sheet(dashboard)'!$D$18*-Calculations!X400,0))</f>
        <v>0</v>
      </c>
      <c r="AC400" s="3">
        <f>IF(B400&lt;='Input sheet(dashboard)'!$D$27*12,IF(MOD(B399,'Input sheet(dashboard)'!$D$19*12),0,'Input sheet(dashboard)'!$D$20*(1+'Input sheet(dashboard)'!$E$22)^Calculations!B400),0)</f>
        <v>0</v>
      </c>
      <c r="AD400" s="17">
        <f t="shared" si="57"/>
        <v>129607.59918138997</v>
      </c>
      <c r="AE400" s="17">
        <f>IF(B400&lt;='Input sheet(dashboard)'!$D$27*12,IF(D400=12,SUM(AD389:AD400),0),0)</f>
        <v>0</v>
      </c>
      <c r="AF400" s="17">
        <f t="shared" si="58"/>
        <v>-75725.840700188011</v>
      </c>
      <c r="AG400" s="17">
        <f t="shared" si="59"/>
        <v>0</v>
      </c>
      <c r="AH400" s="3">
        <f>IF(B400&lt;='Input sheet(dashboard)'!$D$27*12,AH399*(1+'Input sheet(dashboard)'!$E$25)+AG400," ")</f>
        <v>43465457.128956228</v>
      </c>
    </row>
    <row r="401" spans="2:34">
      <c r="B401">
        <f t="shared" si="54"/>
        <v>398</v>
      </c>
      <c r="C401">
        <f t="shared" si="61"/>
        <v>34</v>
      </c>
      <c r="D401">
        <f t="shared" si="62"/>
        <v>2</v>
      </c>
      <c r="E401" s="15">
        <f>IF(C401&lt;='Input sheet(dashboard)'!$D$6, -PMT('Input sheet(dashboard)'!$E$5,'Input sheet(dashboard)'!$D$6*12,'Input sheet(dashboard)'!$D$3*'Input sheet(dashboard)'!$D$4),0)</f>
        <v>0</v>
      </c>
      <c r="F401" s="3">
        <f>I400*'Input sheet(dashboard)'!$E$5</f>
        <v>8.6416809189170128E-12</v>
      </c>
      <c r="G401" s="3">
        <f>IF(C401&lt;='Input sheet(dashboard)'!$D$6,E401*'Input sheet(dashboard)'!$D$7,0)</f>
        <v>0</v>
      </c>
      <c r="H401" s="3">
        <f t="shared" si="55"/>
        <v>-8.6416809189170128E-12</v>
      </c>
      <c r="I401" s="3">
        <f t="shared" si="56"/>
        <v>2.3809124273730585E-9</v>
      </c>
      <c r="J401" s="3">
        <f>IF(B401&lt;='Input sheet(dashboard)'!$D$27*12,'Input sheet(dashboard)'!$D$3*(1+'Input sheet(dashboard)'!$E$24)^B401,0)</f>
        <v>44733209.474377349</v>
      </c>
      <c r="K401" s="3">
        <f>IF(B401&lt;='Input sheet(dashboard)'!$D$27*12,J401*'Input sheet(dashboard)'!$E$8,0)</f>
        <v>46332.243437753154</v>
      </c>
      <c r="L401" s="3">
        <f>IF(B401&lt;='Input sheet(dashboard)'!$D$27*12,'Input sheet(dashboard)'!$D$9*(1+'Input sheet(dashboard)'!$E$22)^B401,0)</f>
        <v>6804.4985136511468</v>
      </c>
      <c r="M401" s="3">
        <f>IF(B401=1,'Input sheet(dashboard)'!$D$3*'Input sheet(dashboard)'!$D$10,0)</f>
        <v>0</v>
      </c>
      <c r="N401" s="3">
        <f>IF(B401='Input sheet(dashboard)'!$D$27*12,J401*'Input sheet(dashboard)'!$D$11,0)</f>
        <v>0</v>
      </c>
      <c r="O401" s="3">
        <f>IF(SUM(F401:F412)&gt;=150000,150000/12*'Input sheet(dashboard)'!$D$28,SUM(F401:F412)/12*'Input sheet(dashboard)'!$D$28)</f>
        <v>1.3225409411481915E-12</v>
      </c>
      <c r="P401" s="3">
        <f t="shared" si="60"/>
        <v>0</v>
      </c>
      <c r="Q401" s="3">
        <f>IF(B401&lt;='Input sheet(dashboard)'!$D$27*12,'Input sheet(dashboard)'!$D$12/12,0)</f>
        <v>192.5</v>
      </c>
      <c r="R401" s="3">
        <f>IF(B401&lt;='Input sheet(dashboard)'!$D$27*12,('Input sheet(dashboard)'!$D$15/12)*(1+'Input sheet(dashboard)'!$E$22)^Calculations!B401,0)</f>
        <v>756.05539040568294</v>
      </c>
      <c r="S401" s="3">
        <f>IF(B401&lt;='Input sheet(dashboard)'!$D$27*12,(E401+G401+K401+L401-O401+M401+Q401+R401),0)</f>
        <v>54085.297341809979</v>
      </c>
      <c r="T401" s="3">
        <f>IF(B401&lt;='Input sheet(dashboard)'!$D$27*12,IF(D401=12,SUM(S390:S401),0),0)</f>
        <v>0</v>
      </c>
      <c r="U401" s="3">
        <f>IF(B401&lt;='Input sheet(dashboard)'!$D$27*12,IF(S401&lt;AD401,AD401-S401,0),0)</f>
        <v>76050.339241946465</v>
      </c>
      <c r="V401" s="3">
        <f>IF(B401&lt;='Input sheet(dashboard)'!$D$27*12,V400*(1+'Input sheet(dashboard)'!$E$25)+U401,0)</f>
        <v>4775481.0067803292</v>
      </c>
      <c r="W401" s="17">
        <f>IF(B401&lt;='Input sheet(dashboard)'!$D$27*12,J401-I401+V401-N401,0)</f>
        <v>49508690.481157675</v>
      </c>
      <c r="X401" s="3">
        <f>IF(B401&lt;='Input sheet(dashboard)'!$D$27*12,'Input sheet(dashboard)'!$D$17*(1+'Input sheet(dashboard)'!$E$23)^(B401-1),0)</f>
        <v>130135.63658375644</v>
      </c>
      <c r="Y401" s="3"/>
      <c r="Z401" s="18"/>
      <c r="AA401" s="18"/>
      <c r="AB401" s="3">
        <f>IF(B401=1,'Input sheet(dashboard)'!$D$18*Calculations!X401,IF(Calculations!B401=12*'Input sheet(dashboard)'!$D$27,'Input sheet(dashboard)'!$D$18*-Calculations!X401,0))</f>
        <v>0</v>
      </c>
      <c r="AC401" s="3">
        <f>IF(B401&lt;='Input sheet(dashboard)'!$D$27*12,IF(MOD(B400,'Input sheet(dashboard)'!$D$19*12),0,'Input sheet(dashboard)'!$D$20*(1+'Input sheet(dashboard)'!$E$22)^Calculations!B401),0)</f>
        <v>0</v>
      </c>
      <c r="AD401" s="17">
        <f t="shared" si="57"/>
        <v>130135.63658375644</v>
      </c>
      <c r="AE401" s="17">
        <f>IF(B401&lt;='Input sheet(dashboard)'!$D$27*12,IF(D401=12,SUM(AD390:AD401),0),0)</f>
        <v>0</v>
      </c>
      <c r="AF401" s="17">
        <f t="shared" si="58"/>
        <v>-76050.339241946465</v>
      </c>
      <c r="AG401" s="17">
        <f t="shared" si="59"/>
        <v>0</v>
      </c>
      <c r="AH401" s="3">
        <f>IF(B401&lt;='Input sheet(dashboard)'!$D$27*12,AH400*(1+'Input sheet(dashboard)'!$E$25)+AG401," ")</f>
        <v>43745115.188868999</v>
      </c>
    </row>
    <row r="402" spans="2:34">
      <c r="B402">
        <f t="shared" si="54"/>
        <v>399</v>
      </c>
      <c r="C402">
        <f t="shared" si="61"/>
        <v>34</v>
      </c>
      <c r="D402">
        <f t="shared" si="62"/>
        <v>3</v>
      </c>
      <c r="E402" s="15">
        <f>IF(C402&lt;='Input sheet(dashboard)'!$D$6, -PMT('Input sheet(dashboard)'!$E$5,'Input sheet(dashboard)'!$D$6*12,'Input sheet(dashboard)'!$D$3*'Input sheet(dashboard)'!$D$4),0)</f>
        <v>0</v>
      </c>
      <c r="F402" s="3">
        <f>I401*'Input sheet(dashboard)'!$E$5</f>
        <v>8.6731607359724642E-12</v>
      </c>
      <c r="G402" s="3">
        <f>IF(C402&lt;='Input sheet(dashboard)'!$D$6,E402*'Input sheet(dashboard)'!$D$7,0)</f>
        <v>0</v>
      </c>
      <c r="H402" s="3">
        <f t="shared" si="55"/>
        <v>-8.6731607359724642E-12</v>
      </c>
      <c r="I402" s="3">
        <f t="shared" si="56"/>
        <v>2.389585588109031E-9</v>
      </c>
      <c r="J402" s="3">
        <f>IF(B402&lt;='Input sheet(dashboard)'!$D$27*12,'Input sheet(dashboard)'!$D$3*(1+'Input sheet(dashboard)'!$E$24)^B402,0)</f>
        <v>44915458.107015833</v>
      </c>
      <c r="K402" s="3">
        <f>IF(B402&lt;='Input sheet(dashboard)'!$D$27*12,J402*'Input sheet(dashboard)'!$E$8,0)</f>
        <v>46521.006732692687</v>
      </c>
      <c r="L402" s="3">
        <f>IF(B402&lt;='Input sheet(dashboard)'!$D$27*12,'Input sheet(dashboard)'!$D$9*(1+'Input sheet(dashboard)'!$E$22)^B402,0)</f>
        <v>6818.5146664876575</v>
      </c>
      <c r="M402" s="3">
        <f>IF(B402=1,'Input sheet(dashboard)'!$D$3*'Input sheet(dashboard)'!$D$10,0)</f>
        <v>0</v>
      </c>
      <c r="N402" s="3">
        <f>IF(B402='Input sheet(dashboard)'!$D$27*12,J402*'Input sheet(dashboard)'!$D$11,0)</f>
        <v>0</v>
      </c>
      <c r="O402" s="3">
        <f>IF(SUM(F402:F413)&gt;=150000,150000/12*'Input sheet(dashboard)'!$D$28,SUM(F402:F413)/12*'Input sheet(dashboard)'!$D$28)</f>
        <v>1.3273586782604878E-12</v>
      </c>
      <c r="P402" s="3">
        <f t="shared" si="60"/>
        <v>0</v>
      </c>
      <c r="Q402" s="3">
        <f>IF(B402&lt;='Input sheet(dashboard)'!$D$27*12,'Input sheet(dashboard)'!$D$12/12,0)</f>
        <v>192.5</v>
      </c>
      <c r="R402" s="3">
        <f>IF(B402&lt;='Input sheet(dashboard)'!$D$27*12,('Input sheet(dashboard)'!$D$15/12)*(1+'Input sheet(dashboard)'!$E$22)^Calculations!B402,0)</f>
        <v>757.61274072085075</v>
      </c>
      <c r="S402" s="3">
        <f>IF(B402&lt;='Input sheet(dashboard)'!$D$27*12,(E402+G402+K402+L402-O402+M402+Q402+R402),0)</f>
        <v>54289.634139901194</v>
      </c>
      <c r="T402" s="3">
        <f>IF(B402&lt;='Input sheet(dashboard)'!$D$27*12,IF(D402=12,SUM(S391:S402),0),0)</f>
        <v>0</v>
      </c>
      <c r="U402" s="3">
        <f>IF(B402&lt;='Input sheet(dashboard)'!$D$27*12,IF(S402&lt;AD402,AD402-S402,0),0)</f>
        <v>76376.191135961359</v>
      </c>
      <c r="V402" s="3">
        <f>IF(B402&lt;='Input sheet(dashboard)'!$D$27*12,V401*(1+'Input sheet(dashboard)'!$E$25)+U402,0)</f>
        <v>4882582.7865036651</v>
      </c>
      <c r="W402" s="17">
        <f>IF(B402&lt;='Input sheet(dashboard)'!$D$27*12,J402-I402+V402-N402,0)</f>
        <v>49798040.893519498</v>
      </c>
      <c r="X402" s="3">
        <f>IF(B402&lt;='Input sheet(dashboard)'!$D$27*12,'Input sheet(dashboard)'!$D$17*(1+'Input sheet(dashboard)'!$E$23)^(B402-1),0)</f>
        <v>130665.82527586255</v>
      </c>
      <c r="Y402" s="3"/>
      <c r="Z402" s="18"/>
      <c r="AA402" s="18"/>
      <c r="AB402" s="3">
        <f>IF(B402=1,'Input sheet(dashboard)'!$D$18*Calculations!X402,IF(Calculations!B402=12*'Input sheet(dashboard)'!$D$27,'Input sheet(dashboard)'!$D$18*-Calculations!X402,0))</f>
        <v>0</v>
      </c>
      <c r="AC402" s="3">
        <f>IF(B402&lt;='Input sheet(dashboard)'!$D$27*12,IF(MOD(B401,'Input sheet(dashboard)'!$D$19*12),0,'Input sheet(dashboard)'!$D$20*(1+'Input sheet(dashboard)'!$E$22)^Calculations!B402),0)</f>
        <v>0</v>
      </c>
      <c r="AD402" s="17">
        <f t="shared" si="57"/>
        <v>130665.82527586255</v>
      </c>
      <c r="AE402" s="17">
        <f>IF(B402&lt;='Input sheet(dashboard)'!$D$27*12,IF(D402=12,SUM(AD391:AD402),0),0)</f>
        <v>0</v>
      </c>
      <c r="AF402" s="17">
        <f t="shared" si="58"/>
        <v>-76376.191135961359</v>
      </c>
      <c r="AG402" s="17">
        <f t="shared" si="59"/>
        <v>0</v>
      </c>
      <c r="AH402" s="3">
        <f>IF(B402&lt;='Input sheet(dashboard)'!$D$27*12,AH401*(1+'Input sheet(dashboard)'!$E$25)+AG402," ")</f>
        <v>44026572.577159747</v>
      </c>
    </row>
    <row r="403" spans="2:34">
      <c r="B403">
        <f t="shared" si="54"/>
        <v>400</v>
      </c>
      <c r="C403">
        <f t="shared" si="61"/>
        <v>34</v>
      </c>
      <c r="D403">
        <f t="shared" si="62"/>
        <v>4</v>
      </c>
      <c r="E403" s="15">
        <f>IF(C403&lt;='Input sheet(dashboard)'!$D$6, -PMT('Input sheet(dashboard)'!$E$5,'Input sheet(dashboard)'!$D$6*12,'Input sheet(dashboard)'!$D$3*'Input sheet(dashboard)'!$D$4),0)</f>
        <v>0</v>
      </c>
      <c r="F403" s="3">
        <f>I402*'Input sheet(dashboard)'!$E$5</f>
        <v>8.7047552273477783E-12</v>
      </c>
      <c r="G403" s="3">
        <f>IF(C403&lt;='Input sheet(dashboard)'!$D$6,E403*'Input sheet(dashboard)'!$D$7,0)</f>
        <v>0</v>
      </c>
      <c r="H403" s="3">
        <f t="shared" si="55"/>
        <v>-8.7047552273477783E-12</v>
      </c>
      <c r="I403" s="3">
        <f t="shared" si="56"/>
        <v>2.3982903433363787E-9</v>
      </c>
      <c r="J403" s="3">
        <f>IF(B403&lt;='Input sheet(dashboard)'!$D$27*12,'Input sheet(dashboard)'!$D$3*(1+'Input sheet(dashboard)'!$E$24)^B403,0)</f>
        <v>45098449.243143089</v>
      </c>
      <c r="K403" s="3">
        <f>IF(B403&lt;='Input sheet(dashboard)'!$D$27*12,J403*'Input sheet(dashboard)'!$E$8,0)</f>
        <v>46710.539072661617</v>
      </c>
      <c r="L403" s="3">
        <f>IF(B403&lt;='Input sheet(dashboard)'!$D$27*12,'Input sheet(dashboard)'!$D$9*(1+'Input sheet(dashboard)'!$E$22)^B403,0)</f>
        <v>6832.5596903041433</v>
      </c>
      <c r="M403" s="3">
        <f>IF(B403=1,'Input sheet(dashboard)'!$D$3*'Input sheet(dashboard)'!$D$10,0)</f>
        <v>0</v>
      </c>
      <c r="N403" s="3">
        <f>IF(B403='Input sheet(dashboard)'!$D$27*12,J403*'Input sheet(dashboard)'!$D$11,0)</f>
        <v>0</v>
      </c>
      <c r="O403" s="3">
        <f>IF(SUM(F403:F414)&gt;=150000,150000/12*'Input sheet(dashboard)'!$D$28,SUM(F403:F414)/12*'Input sheet(dashboard)'!$D$28)</f>
        <v>1.3321939653707924E-12</v>
      </c>
      <c r="P403" s="3">
        <f t="shared" si="60"/>
        <v>0</v>
      </c>
      <c r="Q403" s="3">
        <f>IF(B403&lt;='Input sheet(dashboard)'!$D$27*12,'Input sheet(dashboard)'!$D$12/12,0)</f>
        <v>192.5</v>
      </c>
      <c r="R403" s="3">
        <f>IF(B403&lt;='Input sheet(dashboard)'!$D$27*12,('Input sheet(dashboard)'!$D$15/12)*(1+'Input sheet(dashboard)'!$E$22)^Calculations!B403,0)</f>
        <v>759.17329892268253</v>
      </c>
      <c r="S403" s="3">
        <f>IF(B403&lt;='Input sheet(dashboard)'!$D$27*12,(E403+G403+K403+L403-O403+M403+Q403+R403),0)</f>
        <v>54494.772061888441</v>
      </c>
      <c r="T403" s="3">
        <f>IF(B403&lt;='Input sheet(dashboard)'!$D$27*12,IF(D403=12,SUM(S392:S403),0),0)</f>
        <v>0</v>
      </c>
      <c r="U403" s="3">
        <f>IF(B403&lt;='Input sheet(dashboard)'!$D$27*12,IF(S403&lt;AD403,AD403-S403,0),0)</f>
        <v>76703.401960440533</v>
      </c>
      <c r="V403" s="3">
        <f>IF(B403&lt;='Input sheet(dashboard)'!$D$27*12,V402*(1+'Input sheet(dashboard)'!$E$25)+U403,0)</f>
        <v>4990700.8731270554</v>
      </c>
      <c r="W403" s="17">
        <f>IF(B403&lt;='Input sheet(dashboard)'!$D$27*12,J403-I403+V403-N403,0)</f>
        <v>50089150.116270147</v>
      </c>
      <c r="X403" s="3">
        <f>IF(B403&lt;='Input sheet(dashboard)'!$D$27*12,'Input sheet(dashboard)'!$D$17*(1+'Input sheet(dashboard)'!$E$23)^(B403-1),0)</f>
        <v>131198.17402232898</v>
      </c>
      <c r="Y403" s="3"/>
      <c r="Z403" s="18"/>
      <c r="AA403" s="18"/>
      <c r="AB403" s="3">
        <f>IF(B403=1,'Input sheet(dashboard)'!$D$18*Calculations!X403,IF(Calculations!B403=12*'Input sheet(dashboard)'!$D$27,'Input sheet(dashboard)'!$D$18*-Calculations!X403,0))</f>
        <v>0</v>
      </c>
      <c r="AC403" s="3">
        <f>IF(B403&lt;='Input sheet(dashboard)'!$D$27*12,IF(MOD(B402,'Input sheet(dashboard)'!$D$19*12),0,'Input sheet(dashboard)'!$D$20*(1+'Input sheet(dashboard)'!$E$22)^Calculations!B403),0)</f>
        <v>0</v>
      </c>
      <c r="AD403" s="17">
        <f t="shared" si="57"/>
        <v>131198.17402232898</v>
      </c>
      <c r="AE403" s="17">
        <f>IF(B403&lt;='Input sheet(dashboard)'!$D$27*12,IF(D403=12,SUM(AD392:AD403),0),0)</f>
        <v>0</v>
      </c>
      <c r="AF403" s="17">
        <f t="shared" si="58"/>
        <v>-76703.401960440533</v>
      </c>
      <c r="AG403" s="17">
        <f t="shared" si="59"/>
        <v>0</v>
      </c>
      <c r="AH403" s="3">
        <f>IF(B403&lt;='Input sheet(dashboard)'!$D$27*12,AH402*(1+'Input sheet(dashboard)'!$E$25)+AG403," ")</f>
        <v>44309840.870761447</v>
      </c>
    </row>
    <row r="404" spans="2:34">
      <c r="B404">
        <f t="shared" si="54"/>
        <v>401</v>
      </c>
      <c r="C404">
        <f t="shared" si="61"/>
        <v>34</v>
      </c>
      <c r="D404">
        <f t="shared" si="62"/>
        <v>5</v>
      </c>
      <c r="E404" s="15">
        <f>IF(C404&lt;='Input sheet(dashboard)'!$D$6, -PMT('Input sheet(dashboard)'!$E$5,'Input sheet(dashboard)'!$D$6*12,'Input sheet(dashboard)'!$D$3*'Input sheet(dashboard)'!$D$4),0)</f>
        <v>0</v>
      </c>
      <c r="F404" s="3">
        <f>I403*'Input sheet(dashboard)'!$E$5</f>
        <v>8.7364648107772636E-12</v>
      </c>
      <c r="G404" s="3">
        <f>IF(C404&lt;='Input sheet(dashboard)'!$D$6,E404*'Input sheet(dashboard)'!$D$7,0)</f>
        <v>0</v>
      </c>
      <c r="H404" s="3">
        <f t="shared" si="55"/>
        <v>-8.7364648107772636E-12</v>
      </c>
      <c r="I404" s="3">
        <f t="shared" si="56"/>
        <v>2.4070268081471561E-9</v>
      </c>
      <c r="J404" s="3">
        <f>IF(B404&lt;='Input sheet(dashboard)'!$D$27*12,'Input sheet(dashboard)'!$D$3*(1+'Input sheet(dashboard)'!$E$24)^B404,0)</f>
        <v>45282185.907810234</v>
      </c>
      <c r="K404" s="3">
        <f>IF(B404&lt;='Input sheet(dashboard)'!$D$27*12,J404*'Input sheet(dashboard)'!$E$8,0)</f>
        <v>46900.843590844583</v>
      </c>
      <c r="L404" s="3">
        <f>IF(B404&lt;='Input sheet(dashboard)'!$D$27*12,'Input sheet(dashboard)'!$D$9*(1+'Input sheet(dashboard)'!$E$22)^B404,0)</f>
        <v>6846.6336445700981</v>
      </c>
      <c r="M404" s="3">
        <f>IF(B404=1,'Input sheet(dashboard)'!$D$3*'Input sheet(dashboard)'!$D$10,0)</f>
        <v>0</v>
      </c>
      <c r="N404" s="3">
        <f>IF(B404='Input sheet(dashboard)'!$D$27*12,J404*'Input sheet(dashboard)'!$D$11,0)</f>
        <v>0</v>
      </c>
      <c r="O404" s="3">
        <f>IF(SUM(F404:F415)&gt;=150000,150000/12*'Input sheet(dashboard)'!$D$28,SUM(F404:F415)/12*'Input sheet(dashboard)'!$D$28)</f>
        <v>1.3370468664100388E-12</v>
      </c>
      <c r="P404" s="3">
        <f t="shared" si="60"/>
        <v>0</v>
      </c>
      <c r="Q404" s="3">
        <f>IF(B404&lt;='Input sheet(dashboard)'!$D$27*12,'Input sheet(dashboard)'!$D$12/12,0)</f>
        <v>192.5</v>
      </c>
      <c r="R404" s="3">
        <f>IF(B404&lt;='Input sheet(dashboard)'!$D$27*12,('Input sheet(dashboard)'!$D$15/12)*(1+'Input sheet(dashboard)'!$E$22)^Calculations!B404,0)</f>
        <v>760.73707161889968</v>
      </c>
      <c r="S404" s="3">
        <f>IF(B404&lt;='Input sheet(dashboard)'!$D$27*12,(E404+G404+K404+L404-O404+M404+Q404+R404),0)</f>
        <v>54700.714307033581</v>
      </c>
      <c r="T404" s="3">
        <f>IF(B404&lt;='Input sheet(dashboard)'!$D$27*12,IF(D404=12,SUM(S393:S404),0),0)</f>
        <v>0</v>
      </c>
      <c r="U404" s="3">
        <f>IF(B404&lt;='Input sheet(dashboard)'!$D$27*12,IF(S404&lt;AD404,AD404-S404,0),0)</f>
        <v>77031.977316451026</v>
      </c>
      <c r="V404" s="3">
        <f>IF(B404&lt;='Input sheet(dashboard)'!$D$27*12,V403*(1+'Input sheet(dashboard)'!$E$25)+U404,0)</f>
        <v>5099843.1701312261</v>
      </c>
      <c r="W404" s="17">
        <f>IF(B404&lt;='Input sheet(dashboard)'!$D$27*12,J404-I404+V404-N404,0)</f>
        <v>50382029.077941462</v>
      </c>
      <c r="X404" s="3">
        <f>IF(B404&lt;='Input sheet(dashboard)'!$D$27*12,'Input sheet(dashboard)'!$D$17*(1+'Input sheet(dashboard)'!$E$23)^(B404-1),0)</f>
        <v>131732.6916234846</v>
      </c>
      <c r="Y404" s="3"/>
      <c r="Z404" s="18"/>
      <c r="AA404" s="18"/>
      <c r="AB404" s="3">
        <f>IF(B404=1,'Input sheet(dashboard)'!$D$18*Calculations!X404,IF(Calculations!B404=12*'Input sheet(dashboard)'!$D$27,'Input sheet(dashboard)'!$D$18*-Calculations!X404,0))</f>
        <v>0</v>
      </c>
      <c r="AC404" s="3">
        <f>IF(B404&lt;='Input sheet(dashboard)'!$D$27*12,IF(MOD(B403,'Input sheet(dashboard)'!$D$19*12),0,'Input sheet(dashboard)'!$D$20*(1+'Input sheet(dashboard)'!$E$22)^Calculations!B404),0)</f>
        <v>0</v>
      </c>
      <c r="AD404" s="17">
        <f t="shared" si="57"/>
        <v>131732.6916234846</v>
      </c>
      <c r="AE404" s="17">
        <f>IF(B404&lt;='Input sheet(dashboard)'!$D$27*12,IF(D404=12,SUM(AD393:AD404),0),0)</f>
        <v>0</v>
      </c>
      <c r="AF404" s="17">
        <f t="shared" si="58"/>
        <v>-77031.977316451026</v>
      </c>
      <c r="AG404" s="17">
        <f t="shared" si="59"/>
        <v>0</v>
      </c>
      <c r="AH404" s="3">
        <f>IF(B404&lt;='Input sheet(dashboard)'!$D$27*12,AH403*(1+'Input sheet(dashboard)'!$E$25)+AG404," ")</f>
        <v>44594931.721093386</v>
      </c>
    </row>
    <row r="405" spans="2:34">
      <c r="B405">
        <f t="shared" si="54"/>
        <v>402</v>
      </c>
      <c r="C405">
        <f t="shared" si="61"/>
        <v>34</v>
      </c>
      <c r="D405">
        <f t="shared" si="62"/>
        <v>6</v>
      </c>
      <c r="E405" s="15">
        <f>IF(C405&lt;='Input sheet(dashboard)'!$D$6, -PMT('Input sheet(dashboard)'!$E$5,'Input sheet(dashboard)'!$D$6*12,'Input sheet(dashboard)'!$D$3*'Input sheet(dashboard)'!$D$4),0)</f>
        <v>0</v>
      </c>
      <c r="F405" s="3">
        <f>I404*'Input sheet(dashboard)'!$E$5</f>
        <v>8.7682899055169481E-12</v>
      </c>
      <c r="G405" s="3">
        <f>IF(C405&lt;='Input sheet(dashboard)'!$D$6,E405*'Input sheet(dashboard)'!$D$7,0)</f>
        <v>0</v>
      </c>
      <c r="H405" s="3">
        <f t="shared" si="55"/>
        <v>-8.7682899055169481E-12</v>
      </c>
      <c r="I405" s="3">
        <f t="shared" si="56"/>
        <v>2.4157950980526733E-9</v>
      </c>
      <c r="J405" s="3">
        <f>IF(B405&lt;='Input sheet(dashboard)'!$D$27*12,'Input sheet(dashboard)'!$D$3*(1+'Input sheet(dashboard)'!$E$24)^B405,0)</f>
        <v>45466671.138392843</v>
      </c>
      <c r="K405" s="3">
        <f>IF(B405&lt;='Input sheet(dashboard)'!$D$27*12,J405*'Input sheet(dashboard)'!$E$8,0)</f>
        <v>47091.92343319123</v>
      </c>
      <c r="L405" s="3">
        <f>IF(B405&lt;='Input sheet(dashboard)'!$D$27*12,'Input sheet(dashboard)'!$D$9*(1+'Input sheet(dashboard)'!$E$22)^B405,0)</f>
        <v>6860.7365888775084</v>
      </c>
      <c r="M405" s="3">
        <f>IF(B405=1,'Input sheet(dashboard)'!$D$3*'Input sheet(dashboard)'!$D$10,0)</f>
        <v>0</v>
      </c>
      <c r="N405" s="3">
        <f>IF(B405='Input sheet(dashboard)'!$D$27*12,J405*'Input sheet(dashboard)'!$D$11,0)</f>
        <v>0</v>
      </c>
      <c r="O405" s="3">
        <f>IF(SUM(F405:F416)&gt;=150000,150000/12*'Input sheet(dashboard)'!$D$28,SUM(F405:F416)/12*'Input sheet(dashboard)'!$D$28)</f>
        <v>1.3419174455420474E-12</v>
      </c>
      <c r="P405" s="3">
        <f t="shared" si="60"/>
        <v>0</v>
      </c>
      <c r="Q405" s="3">
        <f>IF(B405&lt;='Input sheet(dashboard)'!$D$27*12,'Input sheet(dashboard)'!$D$12/12,0)</f>
        <v>192.5</v>
      </c>
      <c r="R405" s="3">
        <f>IF(B405&lt;='Input sheet(dashboard)'!$D$27*12,('Input sheet(dashboard)'!$D$15/12)*(1+'Input sheet(dashboard)'!$E$22)^Calculations!B405,0)</f>
        <v>762.30406543083416</v>
      </c>
      <c r="S405" s="3">
        <f>IF(B405&lt;='Input sheet(dashboard)'!$D$27*12,(E405+G405+K405+L405-O405+M405+Q405+R405),0)</f>
        <v>54907.464087499575</v>
      </c>
      <c r="T405" s="3">
        <f>IF(B405&lt;='Input sheet(dashboard)'!$D$27*12,IF(D405=12,SUM(S394:S405),0),0)</f>
        <v>0</v>
      </c>
      <c r="U405" s="3">
        <f>IF(B405&lt;='Input sheet(dashboard)'!$D$27*12,IF(S405&lt;AD405,AD405-S405,0),0)</f>
        <v>77361.922828012262</v>
      </c>
      <c r="V405" s="3">
        <f>IF(B405&lt;='Input sheet(dashboard)'!$D$27*12,V404*(1+'Input sheet(dashboard)'!$E$25)+U405,0)</f>
        <v>5210017.6374721583</v>
      </c>
      <c r="W405" s="17">
        <f>IF(B405&lt;='Input sheet(dashboard)'!$D$27*12,J405-I405+V405-N405,0)</f>
        <v>50676688.775865003</v>
      </c>
      <c r="X405" s="3">
        <f>IF(B405&lt;='Input sheet(dashboard)'!$D$27*12,'Input sheet(dashboard)'!$D$17*(1+'Input sheet(dashboard)'!$E$23)^(B405-1),0)</f>
        <v>132269.38691551183</v>
      </c>
      <c r="Y405" s="3"/>
      <c r="Z405" s="18"/>
      <c r="AA405" s="18"/>
      <c r="AB405" s="3">
        <f>IF(B405=1,'Input sheet(dashboard)'!$D$18*Calculations!X405,IF(Calculations!B405=12*'Input sheet(dashboard)'!$D$27,'Input sheet(dashboard)'!$D$18*-Calculations!X405,0))</f>
        <v>0</v>
      </c>
      <c r="AC405" s="3">
        <f>IF(B405&lt;='Input sheet(dashboard)'!$D$27*12,IF(MOD(B404,'Input sheet(dashboard)'!$D$19*12),0,'Input sheet(dashboard)'!$D$20*(1+'Input sheet(dashboard)'!$E$22)^Calculations!B405),0)</f>
        <v>0</v>
      </c>
      <c r="AD405" s="17">
        <f t="shared" si="57"/>
        <v>132269.38691551183</v>
      </c>
      <c r="AE405" s="17">
        <f>IF(B405&lt;='Input sheet(dashboard)'!$D$27*12,IF(D405=12,SUM(AD394:AD405),0),0)</f>
        <v>0</v>
      </c>
      <c r="AF405" s="17">
        <f t="shared" si="58"/>
        <v>-77361.922828012262</v>
      </c>
      <c r="AG405" s="17">
        <f t="shared" si="59"/>
        <v>0</v>
      </c>
      <c r="AH405" s="3">
        <f>IF(B405&lt;='Input sheet(dashboard)'!$D$27*12,AH404*(1+'Input sheet(dashboard)'!$E$25)+AG405," ")</f>
        <v>44881856.854540445</v>
      </c>
    </row>
    <row r="406" spans="2:34">
      <c r="B406">
        <f t="shared" si="54"/>
        <v>403</v>
      </c>
      <c r="C406">
        <f t="shared" si="61"/>
        <v>34</v>
      </c>
      <c r="D406">
        <f t="shared" si="62"/>
        <v>7</v>
      </c>
      <c r="E406" s="15">
        <f>IF(C406&lt;='Input sheet(dashboard)'!$D$6, -PMT('Input sheet(dashboard)'!$E$5,'Input sheet(dashboard)'!$D$6*12,'Input sheet(dashboard)'!$D$3*'Input sheet(dashboard)'!$D$4),0)</f>
        <v>0</v>
      </c>
      <c r="F406" s="3">
        <f>I405*'Input sheet(dashboard)'!$E$5</f>
        <v>8.8002309323501198E-12</v>
      </c>
      <c r="G406" s="3">
        <f>IF(C406&lt;='Input sheet(dashboard)'!$D$6,E406*'Input sheet(dashboard)'!$D$7,0)</f>
        <v>0</v>
      </c>
      <c r="H406" s="3">
        <f t="shared" si="55"/>
        <v>-8.8002309323501198E-12</v>
      </c>
      <c r="I406" s="3">
        <f t="shared" si="56"/>
        <v>2.4245953289850235E-9</v>
      </c>
      <c r="J406" s="3">
        <f>IF(B406&lt;='Input sheet(dashboard)'!$D$27*12,'Input sheet(dashboard)'!$D$3*(1+'Input sheet(dashboard)'!$E$24)^B406,0)</f>
        <v>45651907.98464109</v>
      </c>
      <c r="K406" s="3">
        <f>IF(B406&lt;='Input sheet(dashboard)'!$D$27*12,J406*'Input sheet(dashboard)'!$E$8,0)</f>
        <v>47283.781758468147</v>
      </c>
      <c r="L406" s="3">
        <f>IF(B406&lt;='Input sheet(dashboard)'!$D$27*12,'Input sheet(dashboard)'!$D$9*(1+'Input sheet(dashboard)'!$E$22)^B406,0)</f>
        <v>6874.8685829411152</v>
      </c>
      <c r="M406" s="3">
        <f>IF(B406=1,'Input sheet(dashboard)'!$D$3*'Input sheet(dashboard)'!$D$10,0)</f>
        <v>0</v>
      </c>
      <c r="N406" s="3">
        <f>IF(B406='Input sheet(dashboard)'!$D$27*12,J406*'Input sheet(dashboard)'!$D$11,0)</f>
        <v>0</v>
      </c>
      <c r="O406" s="3">
        <f>IF(SUM(F406:F417)&gt;=150000,150000/12*'Input sheet(dashboard)'!$D$28,SUM(F406:F417)/12*'Input sheet(dashboard)'!$D$28)</f>
        <v>1.3468057671643731E-12</v>
      </c>
      <c r="P406" s="3">
        <f t="shared" si="60"/>
        <v>0</v>
      </c>
      <c r="Q406" s="3">
        <f>IF(B406&lt;='Input sheet(dashboard)'!$D$27*12,'Input sheet(dashboard)'!$D$12/12,0)</f>
        <v>192.5</v>
      </c>
      <c r="R406" s="3">
        <f>IF(B406&lt;='Input sheet(dashboard)'!$D$27*12,('Input sheet(dashboard)'!$D$15/12)*(1+'Input sheet(dashboard)'!$E$22)^Calculations!B406,0)</f>
        <v>763.87428699345719</v>
      </c>
      <c r="S406" s="3">
        <f>IF(B406&lt;='Input sheet(dashboard)'!$D$27*12,(E406+G406+K406+L406-O406+M406+Q406+R406),0)</f>
        <v>55115.024628402716</v>
      </c>
      <c r="T406" s="3">
        <f>IF(B406&lt;='Input sheet(dashboard)'!$D$27*12,IF(D406=12,SUM(S395:S406),0),0)</f>
        <v>0</v>
      </c>
      <c r="U406" s="3">
        <f>IF(B406&lt;='Input sheet(dashboard)'!$D$27*12,IF(S406&lt;AD406,AD406-S406,0),0)</f>
        <v>77693.244142190204</v>
      </c>
      <c r="V406" s="3">
        <f>IF(B406&lt;='Input sheet(dashboard)'!$D$27*12,V405*(1+'Input sheet(dashboard)'!$E$25)+U406,0)</f>
        <v>5321232.2919674935</v>
      </c>
      <c r="W406" s="17">
        <f>IF(B406&lt;='Input sheet(dashboard)'!$D$27*12,J406-I406+V406-N406,0)</f>
        <v>50973140.276608586</v>
      </c>
      <c r="X406" s="3">
        <f>IF(B406&lt;='Input sheet(dashboard)'!$D$27*12,'Input sheet(dashboard)'!$D$17*(1+'Input sheet(dashboard)'!$E$23)^(B406-1),0)</f>
        <v>132808.26877059293</v>
      </c>
      <c r="Y406" s="3"/>
      <c r="Z406" s="18"/>
      <c r="AA406" s="18"/>
      <c r="AB406" s="3">
        <f>IF(B406=1,'Input sheet(dashboard)'!$D$18*Calculations!X406,IF(Calculations!B406=12*'Input sheet(dashboard)'!$D$27,'Input sheet(dashboard)'!$D$18*-Calculations!X406,0))</f>
        <v>0</v>
      </c>
      <c r="AC406" s="3">
        <f>IF(B406&lt;='Input sheet(dashboard)'!$D$27*12,IF(MOD(B405,'Input sheet(dashboard)'!$D$19*12),0,'Input sheet(dashboard)'!$D$20*(1+'Input sheet(dashboard)'!$E$22)^Calculations!B406),0)</f>
        <v>0</v>
      </c>
      <c r="AD406" s="17">
        <f t="shared" si="57"/>
        <v>132808.26877059293</v>
      </c>
      <c r="AE406" s="17">
        <f>IF(B406&lt;='Input sheet(dashboard)'!$D$27*12,IF(D406=12,SUM(AD395:AD406),0),0)</f>
        <v>0</v>
      </c>
      <c r="AF406" s="17">
        <f t="shared" si="58"/>
        <v>-77693.244142190204</v>
      </c>
      <c r="AG406" s="17">
        <f t="shared" si="59"/>
        <v>0</v>
      </c>
      <c r="AH406" s="3">
        <f>IF(B406&lt;='Input sheet(dashboard)'!$D$27*12,AH405*(1+'Input sheet(dashboard)'!$E$25)+AG406," ")</f>
        <v>45170628.072935425</v>
      </c>
    </row>
    <row r="407" spans="2:34">
      <c r="B407">
        <f t="shared" si="54"/>
        <v>404</v>
      </c>
      <c r="C407">
        <f t="shared" si="61"/>
        <v>34</v>
      </c>
      <c r="D407">
        <f t="shared" si="62"/>
        <v>8</v>
      </c>
      <c r="E407" s="15">
        <f>IF(C407&lt;='Input sheet(dashboard)'!$D$6, -PMT('Input sheet(dashboard)'!$E$5,'Input sheet(dashboard)'!$D$6*12,'Input sheet(dashboard)'!$D$3*'Input sheet(dashboard)'!$D$4),0)</f>
        <v>0</v>
      </c>
      <c r="F407" s="3">
        <f>I406*'Input sheet(dashboard)'!$E$5</f>
        <v>8.8322883135928905E-12</v>
      </c>
      <c r="G407" s="3">
        <f>IF(C407&lt;='Input sheet(dashboard)'!$D$6,E407*'Input sheet(dashboard)'!$D$7,0)</f>
        <v>0</v>
      </c>
      <c r="H407" s="3">
        <f t="shared" si="55"/>
        <v>-8.8322883135928905E-12</v>
      </c>
      <c r="I407" s="3">
        <f t="shared" si="56"/>
        <v>2.4334276172986164E-9</v>
      </c>
      <c r="J407" s="3">
        <f>IF(B407&lt;='Input sheet(dashboard)'!$D$27*12,'Input sheet(dashboard)'!$D$3*(1+'Input sheet(dashboard)'!$E$24)^B407,0)</f>
        <v>45837899.508730233</v>
      </c>
      <c r="K407" s="3">
        <f>IF(B407&lt;='Input sheet(dashboard)'!$D$27*12,J407*'Input sheet(dashboard)'!$E$8,0)</f>
        <v>47476.421738311146</v>
      </c>
      <c r="L407" s="3">
        <f>IF(B407&lt;='Input sheet(dashboard)'!$D$27*12,'Input sheet(dashboard)'!$D$9*(1+'Input sheet(dashboard)'!$E$22)^B407,0)</f>
        <v>6889.0296865986611</v>
      </c>
      <c r="M407" s="3">
        <f>IF(B407=1,'Input sheet(dashboard)'!$D$3*'Input sheet(dashboard)'!$D$10,0)</f>
        <v>0</v>
      </c>
      <c r="N407" s="3">
        <f>IF(B407='Input sheet(dashboard)'!$D$27*12,J407*'Input sheet(dashboard)'!$D$11,0)</f>
        <v>0</v>
      </c>
      <c r="O407" s="3">
        <f>IF(SUM(F407:F418)&gt;=150000,150000/12*'Input sheet(dashboard)'!$D$28,SUM(F407:F418)/12*'Input sheet(dashboard)'!$D$28)</f>
        <v>1.3517118959091583E-12</v>
      </c>
      <c r="P407" s="3">
        <f t="shared" si="60"/>
        <v>0</v>
      </c>
      <c r="Q407" s="3">
        <f>IF(B407&lt;='Input sheet(dashboard)'!$D$27*12,'Input sheet(dashboard)'!$D$12/12,0)</f>
        <v>192.5</v>
      </c>
      <c r="R407" s="3">
        <f>IF(B407&lt;='Input sheet(dashboard)'!$D$27*12,('Input sheet(dashboard)'!$D$15/12)*(1+'Input sheet(dashboard)'!$E$22)^Calculations!B407,0)</f>
        <v>765.44774295540674</v>
      </c>
      <c r="S407" s="3">
        <f>IF(B407&lt;='Input sheet(dashboard)'!$D$27*12,(E407+G407+K407+L407-O407+M407+Q407+R407),0)</f>
        <v>55323.399167865216</v>
      </c>
      <c r="T407" s="3">
        <f>IF(B407&lt;='Input sheet(dashboard)'!$D$27*12,IF(D407=12,SUM(S396:S407),0),0)</f>
        <v>0</v>
      </c>
      <c r="U407" s="3">
        <f>IF(B407&lt;='Input sheet(dashboard)'!$D$27*12,IF(S407&lt;AD407,AD407-S407,0),0)</f>
        <v>78025.946929191152</v>
      </c>
      <c r="V407" s="3">
        <f>IF(B407&lt;='Input sheet(dashboard)'!$D$27*12,V406*(1+'Input sheet(dashboard)'!$E$25)+U407,0)</f>
        <v>5433495.2076855265</v>
      </c>
      <c r="W407" s="17">
        <f>IF(B407&lt;='Input sheet(dashboard)'!$D$27*12,J407-I407+V407-N407,0)</f>
        <v>51271394.716415763</v>
      </c>
      <c r="X407" s="3">
        <f>IF(B407&lt;='Input sheet(dashboard)'!$D$27*12,'Input sheet(dashboard)'!$D$17*(1+'Input sheet(dashboard)'!$E$23)^(B407-1),0)</f>
        <v>133349.34609705638</v>
      </c>
      <c r="Y407" s="3"/>
      <c r="Z407" s="18"/>
      <c r="AA407" s="18"/>
      <c r="AB407" s="3">
        <f>IF(B407=1,'Input sheet(dashboard)'!$D$18*Calculations!X407,IF(Calculations!B407=12*'Input sheet(dashboard)'!$D$27,'Input sheet(dashboard)'!$D$18*-Calculations!X407,0))</f>
        <v>0</v>
      </c>
      <c r="AC407" s="3">
        <f>IF(B407&lt;='Input sheet(dashboard)'!$D$27*12,IF(MOD(B406,'Input sheet(dashboard)'!$D$19*12),0,'Input sheet(dashboard)'!$D$20*(1+'Input sheet(dashboard)'!$E$22)^Calculations!B407),0)</f>
        <v>0</v>
      </c>
      <c r="AD407" s="17">
        <f t="shared" si="57"/>
        <v>133349.34609705638</v>
      </c>
      <c r="AE407" s="17">
        <f>IF(B407&lt;='Input sheet(dashboard)'!$D$27*12,IF(D407=12,SUM(AD396:AD407),0),0)</f>
        <v>0</v>
      </c>
      <c r="AF407" s="17">
        <f t="shared" si="58"/>
        <v>-78025.946929191152</v>
      </c>
      <c r="AG407" s="17">
        <f t="shared" si="59"/>
        <v>0</v>
      </c>
      <c r="AH407" s="3">
        <f>IF(B407&lt;='Input sheet(dashboard)'!$D$27*12,AH406*(1+'Input sheet(dashboard)'!$E$25)+AG407," ")</f>
        <v>45461257.254044458</v>
      </c>
    </row>
    <row r="408" spans="2:34">
      <c r="B408">
        <f t="shared" si="54"/>
        <v>405</v>
      </c>
      <c r="C408">
        <f t="shared" si="61"/>
        <v>34</v>
      </c>
      <c r="D408">
        <f t="shared" si="62"/>
        <v>9</v>
      </c>
      <c r="E408" s="15">
        <f>IF(C408&lt;='Input sheet(dashboard)'!$D$6, -PMT('Input sheet(dashboard)'!$E$5,'Input sheet(dashboard)'!$D$6*12,'Input sheet(dashboard)'!$D$3*'Input sheet(dashboard)'!$D$4),0)</f>
        <v>0</v>
      </c>
      <c r="F408" s="3">
        <f>I407*'Input sheet(dashboard)'!$E$5</f>
        <v>8.8644624730997826E-12</v>
      </c>
      <c r="G408" s="3">
        <f>IF(C408&lt;='Input sheet(dashboard)'!$D$6,E408*'Input sheet(dashboard)'!$D$7,0)</f>
        <v>0</v>
      </c>
      <c r="H408" s="3">
        <f t="shared" si="55"/>
        <v>-8.8644624730997826E-12</v>
      </c>
      <c r="I408" s="3">
        <f t="shared" si="56"/>
        <v>2.4422920797717164E-9</v>
      </c>
      <c r="J408" s="3">
        <f>IF(B408&lt;='Input sheet(dashboard)'!$D$27*12,'Input sheet(dashboard)'!$D$3*(1+'Input sheet(dashboard)'!$E$24)^B408,0)</f>
        <v>46024648.785311237</v>
      </c>
      <c r="K408" s="3">
        <f>IF(B408&lt;='Input sheet(dashboard)'!$D$27*12,J408*'Input sheet(dashboard)'!$E$8,0)</f>
        <v>47669.84655727772</v>
      </c>
      <c r="L408" s="3">
        <f>IF(B408&lt;='Input sheet(dashboard)'!$D$27*12,'Input sheet(dashboard)'!$D$9*(1+'Input sheet(dashboard)'!$E$22)^B408,0)</f>
        <v>6903.2199598111392</v>
      </c>
      <c r="M408" s="3">
        <f>IF(B408=1,'Input sheet(dashboard)'!$D$3*'Input sheet(dashboard)'!$D$10,0)</f>
        <v>0</v>
      </c>
      <c r="N408" s="3">
        <f>IF(B408='Input sheet(dashboard)'!$D$27*12,J408*'Input sheet(dashboard)'!$D$11,0)</f>
        <v>0</v>
      </c>
      <c r="O408" s="3">
        <f>IF(SUM(F408:F419)&gt;=150000,150000/12*'Input sheet(dashboard)'!$D$28,SUM(F408:F419)/12*'Input sheet(dashboard)'!$D$28)</f>
        <v>1.3566358966439863E-12</v>
      </c>
      <c r="P408" s="3">
        <f t="shared" si="60"/>
        <v>0</v>
      </c>
      <c r="Q408" s="3">
        <f>IF(B408&lt;='Input sheet(dashboard)'!$D$27*12,'Input sheet(dashboard)'!$D$12/12,0)</f>
        <v>192.5</v>
      </c>
      <c r="R408" s="3">
        <f>IF(B408&lt;='Input sheet(dashboard)'!$D$27*12,('Input sheet(dashboard)'!$D$15/12)*(1+'Input sheet(dashboard)'!$E$22)^Calculations!B408,0)</f>
        <v>767.02443997901537</v>
      </c>
      <c r="S408" s="3">
        <f>IF(B408&lt;='Input sheet(dashboard)'!$D$27*12,(E408+G408+K408+L408-O408+M408+Q408+R408),0)</f>
        <v>55532.590957067878</v>
      </c>
      <c r="T408" s="3">
        <f>IF(B408&lt;='Input sheet(dashboard)'!$D$27*12,IF(D408=12,SUM(S397:S408),0),0)</f>
        <v>0</v>
      </c>
      <c r="U408" s="3">
        <f>IF(B408&lt;='Input sheet(dashboard)'!$D$27*12,IF(S408&lt;AD408,AD408-S408,0),0)</f>
        <v>78360.03688245645</v>
      </c>
      <c r="V408" s="3">
        <f>IF(B408&lt;='Input sheet(dashboard)'!$D$27*12,V407*(1+'Input sheet(dashboard)'!$E$25)+U408,0)</f>
        <v>5546814.5163367912</v>
      </c>
      <c r="W408" s="17">
        <f>IF(B408&lt;='Input sheet(dashboard)'!$D$27*12,J408-I408+V408-N408,0)</f>
        <v>51571463.301648028</v>
      </c>
      <c r="X408" s="3">
        <f>IF(B408&lt;='Input sheet(dashboard)'!$D$27*12,'Input sheet(dashboard)'!$D$17*(1+'Input sheet(dashboard)'!$E$23)^(B408-1),0)</f>
        <v>133892.62783952433</v>
      </c>
      <c r="Y408" s="3"/>
      <c r="Z408" s="18"/>
      <c r="AA408" s="18"/>
      <c r="AB408" s="3">
        <f>IF(B408=1,'Input sheet(dashboard)'!$D$18*Calculations!X408,IF(Calculations!B408=12*'Input sheet(dashboard)'!$D$27,'Input sheet(dashboard)'!$D$18*-Calculations!X408,0))</f>
        <v>0</v>
      </c>
      <c r="AC408" s="3">
        <f>IF(B408&lt;='Input sheet(dashboard)'!$D$27*12,IF(MOD(B407,'Input sheet(dashboard)'!$D$19*12),0,'Input sheet(dashboard)'!$D$20*(1+'Input sheet(dashboard)'!$E$22)^Calculations!B408),0)</f>
        <v>0</v>
      </c>
      <c r="AD408" s="17">
        <f t="shared" si="57"/>
        <v>133892.62783952433</v>
      </c>
      <c r="AE408" s="17">
        <f>IF(B408&lt;='Input sheet(dashboard)'!$D$27*12,IF(D408=12,SUM(AD397:AD408),0),0)</f>
        <v>0</v>
      </c>
      <c r="AF408" s="17">
        <f t="shared" si="58"/>
        <v>-78360.03688245645</v>
      </c>
      <c r="AG408" s="17">
        <f t="shared" si="59"/>
        <v>0</v>
      </c>
      <c r="AH408" s="3">
        <f>IF(B408&lt;='Input sheet(dashboard)'!$D$27*12,AH407*(1+'Input sheet(dashboard)'!$E$25)+AG408," ")</f>
        <v>45753756.352055594</v>
      </c>
    </row>
    <row r="409" spans="2:34">
      <c r="B409">
        <f t="shared" si="54"/>
        <v>406</v>
      </c>
      <c r="C409">
        <f t="shared" si="61"/>
        <v>34</v>
      </c>
      <c r="D409">
        <f t="shared" si="62"/>
        <v>10</v>
      </c>
      <c r="E409" s="15">
        <f>IF(C409&lt;='Input sheet(dashboard)'!$D$6, -PMT('Input sheet(dashboard)'!$E$5,'Input sheet(dashboard)'!$D$6*12,'Input sheet(dashboard)'!$D$3*'Input sheet(dashboard)'!$D$4),0)</f>
        <v>0</v>
      </c>
      <c r="F409" s="3">
        <f>I408*'Input sheet(dashboard)'!$E$5</f>
        <v>8.89675383626933E-12</v>
      </c>
      <c r="G409" s="3">
        <f>IF(C409&lt;='Input sheet(dashboard)'!$D$6,E409*'Input sheet(dashboard)'!$D$7,0)</f>
        <v>0</v>
      </c>
      <c r="H409" s="3">
        <f t="shared" si="55"/>
        <v>-8.89675383626933E-12</v>
      </c>
      <c r="I409" s="3">
        <f t="shared" si="56"/>
        <v>2.4511888336079857E-9</v>
      </c>
      <c r="J409" s="3">
        <f>IF(B409&lt;='Input sheet(dashboard)'!$D$27*12,'Input sheet(dashboard)'!$D$3*(1+'Input sheet(dashboard)'!$E$24)^B409,0)</f>
        <v>46212158.901561543</v>
      </c>
      <c r="K409" s="3">
        <f>IF(B409&lt;='Input sheet(dashboard)'!$D$27*12,J409*'Input sheet(dashboard)'!$E$8,0)</f>
        <v>47864.059412899602</v>
      </c>
      <c r="L409" s="3">
        <f>IF(B409&lt;='Input sheet(dashboard)'!$D$27*12,'Input sheet(dashboard)'!$D$9*(1+'Input sheet(dashboard)'!$E$22)^B409,0)</f>
        <v>6917.4394626630601</v>
      </c>
      <c r="M409" s="3">
        <f>IF(B409=1,'Input sheet(dashboard)'!$D$3*'Input sheet(dashboard)'!$D$10,0)</f>
        <v>0</v>
      </c>
      <c r="N409" s="3">
        <f>IF(B409='Input sheet(dashboard)'!$D$27*12,J409*'Input sheet(dashboard)'!$D$11,0)</f>
        <v>0</v>
      </c>
      <c r="O409" s="3">
        <f>IF(SUM(F409:F420)&gt;=150000,150000/12*'Input sheet(dashboard)'!$D$28,SUM(F409:F420)/12*'Input sheet(dashboard)'!$D$28)</f>
        <v>1.3615778344727394E-12</v>
      </c>
      <c r="P409" s="3">
        <f t="shared" si="60"/>
        <v>0</v>
      </c>
      <c r="Q409" s="3">
        <f>IF(B409&lt;='Input sheet(dashboard)'!$D$27*12,'Input sheet(dashboard)'!$D$12/12,0)</f>
        <v>192.5</v>
      </c>
      <c r="R409" s="3">
        <f>IF(B409&lt;='Input sheet(dashboard)'!$D$27*12,('Input sheet(dashboard)'!$D$15/12)*(1+'Input sheet(dashboard)'!$E$22)^Calculations!B409,0)</f>
        <v>768.60438474033992</v>
      </c>
      <c r="S409" s="3">
        <f>IF(B409&lt;='Input sheet(dashboard)'!$D$27*12,(E409+G409+K409+L409-O409+M409+Q409+R409),0)</f>
        <v>55742.603260303003</v>
      </c>
      <c r="T409" s="3">
        <f>IF(B409&lt;='Input sheet(dashboard)'!$D$27*12,IF(D409=12,SUM(S398:S409),0),0)</f>
        <v>0</v>
      </c>
      <c r="U409" s="3">
        <f>IF(B409&lt;='Input sheet(dashboard)'!$D$27*12,IF(S409&lt;AD409,AD409-S409,0),0)</f>
        <v>78695.51971875751</v>
      </c>
      <c r="V409" s="3">
        <f>IF(B409&lt;='Input sheet(dashboard)'!$D$27*12,V408*(1+'Input sheet(dashboard)'!$E$25)+U409,0)</f>
        <v>5661198.4076682637</v>
      </c>
      <c r="W409" s="17">
        <f>IF(B409&lt;='Input sheet(dashboard)'!$D$27*12,J409-I409+V409-N409,0)</f>
        <v>51873357.309229806</v>
      </c>
      <c r="X409" s="3">
        <f>IF(B409&lt;='Input sheet(dashboard)'!$D$27*12,'Input sheet(dashboard)'!$D$17*(1+'Input sheet(dashboard)'!$E$23)^(B409-1),0)</f>
        <v>134438.12297906051</v>
      </c>
      <c r="Y409" s="3"/>
      <c r="Z409" s="18"/>
      <c r="AA409" s="18"/>
      <c r="AB409" s="3">
        <f>IF(B409=1,'Input sheet(dashboard)'!$D$18*Calculations!X409,IF(Calculations!B409=12*'Input sheet(dashboard)'!$D$27,'Input sheet(dashboard)'!$D$18*-Calculations!X409,0))</f>
        <v>0</v>
      </c>
      <c r="AC409" s="3">
        <f>IF(B409&lt;='Input sheet(dashboard)'!$D$27*12,IF(MOD(B408,'Input sheet(dashboard)'!$D$19*12),0,'Input sheet(dashboard)'!$D$20*(1+'Input sheet(dashboard)'!$E$22)^Calculations!B409),0)</f>
        <v>0</v>
      </c>
      <c r="AD409" s="17">
        <f t="shared" si="57"/>
        <v>134438.12297906051</v>
      </c>
      <c r="AE409" s="17">
        <f>IF(B409&lt;='Input sheet(dashboard)'!$D$27*12,IF(D409=12,SUM(AD398:AD409),0),0)</f>
        <v>0</v>
      </c>
      <c r="AF409" s="17">
        <f t="shared" si="58"/>
        <v>-78695.51971875751</v>
      </c>
      <c r="AG409" s="17">
        <f t="shared" si="59"/>
        <v>0</v>
      </c>
      <c r="AH409" s="3">
        <f>IF(B409&lt;='Input sheet(dashboard)'!$D$27*12,AH408*(1+'Input sheet(dashboard)'!$E$25)+AG409," ")</f>
        <v>46048137.398070484</v>
      </c>
    </row>
    <row r="410" spans="2:34">
      <c r="B410">
        <f t="shared" si="54"/>
        <v>407</v>
      </c>
      <c r="C410">
        <f t="shared" si="61"/>
        <v>34</v>
      </c>
      <c r="D410">
        <f t="shared" si="62"/>
        <v>11</v>
      </c>
      <c r="E410" s="15">
        <f>IF(C410&lt;='Input sheet(dashboard)'!$D$6, -PMT('Input sheet(dashboard)'!$E$5,'Input sheet(dashboard)'!$D$6*12,'Input sheet(dashboard)'!$D$3*'Input sheet(dashboard)'!$D$4),0)</f>
        <v>0</v>
      </c>
      <c r="F410" s="3">
        <f>I409*'Input sheet(dashboard)'!$E$5</f>
        <v>8.9291628300497025E-12</v>
      </c>
      <c r="G410" s="3">
        <f>IF(C410&lt;='Input sheet(dashboard)'!$D$6,E410*'Input sheet(dashboard)'!$D$7,0)</f>
        <v>0</v>
      </c>
      <c r="H410" s="3">
        <f t="shared" si="55"/>
        <v>-8.9291628300497025E-12</v>
      </c>
      <c r="I410" s="3">
        <f t="shared" si="56"/>
        <v>2.4601179964380355E-9</v>
      </c>
      <c r="J410" s="3">
        <f>IF(B410&lt;='Input sheet(dashboard)'!$D$27*12,'Input sheet(dashboard)'!$D$3*(1+'Input sheet(dashboard)'!$E$24)^B410,0)</f>
        <v>46400432.957236126</v>
      </c>
      <c r="K410" s="3">
        <f>IF(B410&lt;='Input sheet(dashboard)'!$D$27*12,J410*'Input sheet(dashboard)'!$E$8,0)</f>
        <v>48059.063515735652</v>
      </c>
      <c r="L410" s="3">
        <f>IF(B410&lt;='Input sheet(dashboard)'!$D$27*12,'Input sheet(dashboard)'!$D$9*(1+'Input sheet(dashboard)'!$E$22)^B410,0)</f>
        <v>6931.6882553626965</v>
      </c>
      <c r="M410" s="3">
        <f>IF(B410=1,'Input sheet(dashboard)'!$D$3*'Input sheet(dashboard)'!$D$10,0)</f>
        <v>0</v>
      </c>
      <c r="N410" s="3">
        <f>IF(B410='Input sheet(dashboard)'!$D$27*12,J410*'Input sheet(dashboard)'!$D$11,0)</f>
        <v>0</v>
      </c>
      <c r="O410" s="3">
        <f>IF(SUM(F410:F421)&gt;=150000,150000/12*'Input sheet(dashboard)'!$D$28,SUM(F410:F421)/12*'Input sheet(dashboard)'!$D$28)</f>
        <v>1.3665377747364597E-12</v>
      </c>
      <c r="P410" s="3">
        <f t="shared" si="60"/>
        <v>0</v>
      </c>
      <c r="Q410" s="3">
        <f>IF(B410&lt;='Input sheet(dashboard)'!$D$27*12,'Input sheet(dashboard)'!$D$12/12,0)</f>
        <v>192.5</v>
      </c>
      <c r="R410" s="3">
        <f>IF(B410&lt;='Input sheet(dashboard)'!$D$27*12,('Input sheet(dashboard)'!$D$15/12)*(1+'Input sheet(dashboard)'!$E$22)^Calculations!B410,0)</f>
        <v>770.18758392918846</v>
      </c>
      <c r="S410" s="3">
        <f>IF(B410&lt;='Input sheet(dashboard)'!$D$27*12,(E410+G410+K410+L410-O410+M410+Q410+R410),0)</f>
        <v>55953.439355027542</v>
      </c>
      <c r="T410" s="3">
        <f>IF(B410&lt;='Input sheet(dashboard)'!$D$27*12,IF(D410=12,SUM(S399:S410),0),0)</f>
        <v>0</v>
      </c>
      <c r="U410" s="3">
        <f>IF(B410&lt;='Input sheet(dashboard)'!$D$27*12,IF(S410&lt;AD410,AD410-S410,0),0)</f>
        <v>79032.401178291038</v>
      </c>
      <c r="V410" s="3">
        <f>IF(B410&lt;='Input sheet(dashboard)'!$D$27*12,V409*(1+'Input sheet(dashboard)'!$E$25)+U410,0)</f>
        <v>5776655.1298601963</v>
      </c>
      <c r="W410" s="17">
        <f>IF(B410&lt;='Input sheet(dashboard)'!$D$27*12,J410-I410+V410-N410,0)</f>
        <v>52177088.087096319</v>
      </c>
      <c r="X410" s="3">
        <f>IF(B410&lt;='Input sheet(dashboard)'!$D$27*12,'Input sheet(dashboard)'!$D$17*(1+'Input sheet(dashboard)'!$E$23)^(B410-1),0)</f>
        <v>134985.84053331858</v>
      </c>
      <c r="Y410" s="3"/>
      <c r="Z410" s="18"/>
      <c r="AA410" s="18"/>
      <c r="AB410" s="3">
        <f>IF(B410=1,'Input sheet(dashboard)'!$D$18*Calculations!X410,IF(Calculations!B410=12*'Input sheet(dashboard)'!$D$27,'Input sheet(dashboard)'!$D$18*-Calculations!X410,0))</f>
        <v>0</v>
      </c>
      <c r="AC410" s="3">
        <f>IF(B410&lt;='Input sheet(dashboard)'!$D$27*12,IF(MOD(B409,'Input sheet(dashboard)'!$D$19*12),0,'Input sheet(dashboard)'!$D$20*(1+'Input sheet(dashboard)'!$E$22)^Calculations!B410),0)</f>
        <v>0</v>
      </c>
      <c r="AD410" s="17">
        <f t="shared" si="57"/>
        <v>134985.84053331858</v>
      </c>
      <c r="AE410" s="17">
        <f>IF(B410&lt;='Input sheet(dashboard)'!$D$27*12,IF(D410=12,SUM(AD399:AD410),0),0)</f>
        <v>0</v>
      </c>
      <c r="AF410" s="17">
        <f t="shared" si="58"/>
        <v>-79032.401178291038</v>
      </c>
      <c r="AG410" s="17">
        <f t="shared" si="59"/>
        <v>0</v>
      </c>
      <c r="AH410" s="3">
        <f>IF(B410&lt;='Input sheet(dashboard)'!$D$27*12,AH409*(1+'Input sheet(dashboard)'!$E$25)+AG410," ")</f>
        <v>46344412.500599243</v>
      </c>
    </row>
    <row r="411" spans="2:34">
      <c r="B411">
        <f t="shared" si="54"/>
        <v>408</v>
      </c>
      <c r="C411">
        <f t="shared" si="61"/>
        <v>34</v>
      </c>
      <c r="D411">
        <f t="shared" si="62"/>
        <v>12</v>
      </c>
      <c r="E411" s="15">
        <f>IF(C411&lt;='Input sheet(dashboard)'!$D$6, -PMT('Input sheet(dashboard)'!$E$5,'Input sheet(dashboard)'!$D$6*12,'Input sheet(dashboard)'!$D$3*'Input sheet(dashboard)'!$D$4),0)</f>
        <v>0</v>
      </c>
      <c r="F411" s="3">
        <f>I410*'Input sheet(dashboard)'!$E$5</f>
        <v>8.9616898829443519E-12</v>
      </c>
      <c r="G411" s="3">
        <f>IF(C411&lt;='Input sheet(dashboard)'!$D$6,E411*'Input sheet(dashboard)'!$D$7,0)</f>
        <v>0</v>
      </c>
      <c r="H411" s="3">
        <f t="shared" si="55"/>
        <v>-8.9616898829443519E-12</v>
      </c>
      <c r="I411" s="3">
        <f t="shared" si="56"/>
        <v>2.4690796863209798E-9</v>
      </c>
      <c r="J411" s="3">
        <f>IF(B411&lt;='Input sheet(dashboard)'!$D$27*12,'Input sheet(dashboard)'!$D$3*(1+'Input sheet(dashboard)'!$E$24)^B411,0)</f>
        <v>46589474.064718798</v>
      </c>
      <c r="K411" s="3">
        <f>IF(B411&lt;='Input sheet(dashboard)'!$D$27*12,J411*'Input sheet(dashboard)'!$E$8,0)</f>
        <v>48254.862089424991</v>
      </c>
      <c r="L411" s="3">
        <f>IF(B411&lt;='Input sheet(dashboard)'!$D$27*12,'Input sheet(dashboard)'!$D$9*(1+'Input sheet(dashboard)'!$E$22)^B411,0)</f>
        <v>6945.9663982423344</v>
      </c>
      <c r="M411" s="3">
        <f>IF(B411=1,'Input sheet(dashboard)'!$D$3*'Input sheet(dashboard)'!$D$10,0)</f>
        <v>0</v>
      </c>
      <c r="N411" s="3">
        <f>IF(B411='Input sheet(dashboard)'!$D$27*12,J411*'Input sheet(dashboard)'!$D$11,0)</f>
        <v>0</v>
      </c>
      <c r="O411" s="3">
        <f>IF(SUM(F411:F422)&gt;=150000,150000/12*'Input sheet(dashboard)'!$D$28,SUM(F411:F422)/12*'Input sheet(dashboard)'!$D$28)</f>
        <v>1.3715157830142125E-12</v>
      </c>
      <c r="P411" s="3">
        <f t="shared" si="60"/>
        <v>1.7162038597772793E-11</v>
      </c>
      <c r="Q411" s="3">
        <f>IF(B411&lt;='Input sheet(dashboard)'!$D$27*12,'Input sheet(dashboard)'!$D$12/12,0)</f>
        <v>192.5</v>
      </c>
      <c r="R411" s="3">
        <f>IF(B411&lt;='Input sheet(dashboard)'!$D$27*12,('Input sheet(dashboard)'!$D$15/12)*(1+'Input sheet(dashboard)'!$E$22)^Calculations!B411,0)</f>
        <v>771.77404424914823</v>
      </c>
      <c r="S411" s="3">
        <f>IF(B411&lt;='Input sheet(dashboard)'!$D$27*12,(E411+G411+K411+L411-O411+M411+Q411+R411),0)</f>
        <v>56165.102531916476</v>
      </c>
      <c r="T411" s="3">
        <f>IF(B411&lt;='Input sheet(dashboard)'!$D$27*12,IF(D411=12,SUM(S400:S411),0),0)</f>
        <v>660191.80031991762</v>
      </c>
      <c r="U411" s="3">
        <f>IF(B411&lt;='Input sheet(dashboard)'!$D$27*12,IF(S411&lt;AD411,AD411-S411,0),0)</f>
        <v>79370.687024774656</v>
      </c>
      <c r="V411" s="3">
        <f>IF(B411&lt;='Input sheet(dashboard)'!$D$27*12,V410*(1+'Input sheet(dashboard)'!$E$25)+U411,0)</f>
        <v>5893192.9899255978</v>
      </c>
      <c r="W411" s="17">
        <f>IF(B411&lt;='Input sheet(dashboard)'!$D$27*12,J411-I411+V411-N411,0)</f>
        <v>52482667.054644398</v>
      </c>
      <c r="X411" s="3">
        <f>IF(B411&lt;='Input sheet(dashboard)'!$D$27*12,'Input sheet(dashboard)'!$D$17*(1+'Input sheet(dashboard)'!$E$23)^(B411-1),0)</f>
        <v>135535.78955669113</v>
      </c>
      <c r="Y411" s="3"/>
      <c r="Z411" s="18"/>
      <c r="AA411" s="18"/>
      <c r="AB411" s="3">
        <f>IF(B411=1,'Input sheet(dashboard)'!$D$18*Calculations!X411,IF(Calculations!B411=12*'Input sheet(dashboard)'!$D$27,'Input sheet(dashboard)'!$D$18*-Calculations!X411,0))</f>
        <v>0</v>
      </c>
      <c r="AC411" s="3">
        <f>IF(B411&lt;='Input sheet(dashboard)'!$D$27*12,IF(MOD(B410,'Input sheet(dashboard)'!$D$19*12),0,'Input sheet(dashboard)'!$D$20*(1+'Input sheet(dashboard)'!$E$22)^Calculations!B411),0)</f>
        <v>0</v>
      </c>
      <c r="AD411" s="17">
        <f t="shared" si="57"/>
        <v>135535.78955669113</v>
      </c>
      <c r="AE411" s="17">
        <f>IF(B411&lt;='Input sheet(dashboard)'!$D$27*12,IF(D411=12,SUM(AD400:AD411),0),0)</f>
        <v>1590619.3093785781</v>
      </c>
      <c r="AF411" s="17">
        <f t="shared" si="58"/>
        <v>-79370.687024774656</v>
      </c>
      <c r="AG411" s="17">
        <f t="shared" si="59"/>
        <v>0</v>
      </c>
      <c r="AH411" s="3">
        <f>IF(B411&lt;='Input sheet(dashboard)'!$D$27*12,AH410*(1+'Input sheet(dashboard)'!$E$25)+AG411," ")</f>
        <v>46642593.846058518</v>
      </c>
    </row>
    <row r="412" spans="2:34">
      <c r="B412">
        <f t="shared" si="54"/>
        <v>409</v>
      </c>
      <c r="C412">
        <f t="shared" si="61"/>
        <v>35</v>
      </c>
      <c r="D412">
        <f t="shared" si="62"/>
        <v>1</v>
      </c>
      <c r="E412" s="15">
        <f>IF(C412&lt;='Input sheet(dashboard)'!$D$6, -PMT('Input sheet(dashboard)'!$E$5,'Input sheet(dashboard)'!$D$6*12,'Input sheet(dashboard)'!$D$3*'Input sheet(dashboard)'!$D$4),0)</f>
        <v>0</v>
      </c>
      <c r="F412" s="3">
        <f>I411*'Input sheet(dashboard)'!$E$5</f>
        <v>8.9943354250176782E-12</v>
      </c>
      <c r="G412" s="3">
        <f>IF(C412&lt;='Input sheet(dashboard)'!$D$6,E412*'Input sheet(dashboard)'!$D$7,0)</f>
        <v>0</v>
      </c>
      <c r="H412" s="3">
        <f t="shared" si="55"/>
        <v>-8.9943354250176782E-12</v>
      </c>
      <c r="I412" s="3">
        <f t="shared" si="56"/>
        <v>2.4780740217459976E-9</v>
      </c>
      <c r="J412" s="3">
        <f>IF(B412&lt;='Input sheet(dashboard)'!$D$27*12,'Input sheet(dashboard)'!$D$3*(1+'Input sheet(dashboard)'!$E$24)^B412,0)</f>
        <v>46779285.349073537</v>
      </c>
      <c r="K412" s="3">
        <f>IF(B412&lt;='Input sheet(dashboard)'!$D$27*12,J412*'Input sheet(dashboard)'!$E$8,0)</f>
        <v>48451.458370740191</v>
      </c>
      <c r="L412" s="3">
        <f>IF(B412&lt;='Input sheet(dashboard)'!$D$27*12,'Input sheet(dashboard)'!$D$9*(1+'Input sheet(dashboard)'!$E$22)^B412,0)</f>
        <v>6960.2739517585442</v>
      </c>
      <c r="M412" s="3">
        <f>IF(B412=1,'Input sheet(dashboard)'!$D$3*'Input sheet(dashboard)'!$D$10,0)</f>
        <v>0</v>
      </c>
      <c r="N412" s="3">
        <f>IF(B412='Input sheet(dashboard)'!$D$27*12,J412*'Input sheet(dashboard)'!$D$11,0)</f>
        <v>0</v>
      </c>
      <c r="O412" s="3">
        <f>IF(SUM(F412:F423)&gt;=150000,150000/12*'Input sheet(dashboard)'!$D$28,SUM(F412:F423)/12*'Input sheet(dashboard)'!$D$28)</f>
        <v>1.3765119251239538E-12</v>
      </c>
      <c r="P412" s="3">
        <f t="shared" si="60"/>
        <v>0</v>
      </c>
      <c r="Q412" s="3">
        <f>IF(B412&lt;='Input sheet(dashboard)'!$D$27*12,'Input sheet(dashboard)'!$D$12/12,0)</f>
        <v>192.5</v>
      </c>
      <c r="R412" s="3">
        <f>IF(B412&lt;='Input sheet(dashboard)'!$D$27*12,('Input sheet(dashboard)'!$D$15/12)*(1+'Input sheet(dashboard)'!$E$22)^Calculations!B412,0)</f>
        <v>773.36377241761602</v>
      </c>
      <c r="S412" s="3">
        <f>IF(B412&lt;='Input sheet(dashboard)'!$D$27*12,(E412+G412+K412+L412-O412+M412+Q412+R412),0)</f>
        <v>56377.596094916349</v>
      </c>
      <c r="T412" s="3">
        <f>IF(B412&lt;='Input sheet(dashboard)'!$D$27*12,IF(D412=12,SUM(S401:S412),0),0)</f>
        <v>0</v>
      </c>
      <c r="U412" s="3">
        <f>IF(B412&lt;='Input sheet(dashboard)'!$D$27*12,IF(S412&lt;AD412,AD412-S412,0),0)</f>
        <v>79710.383045543276</v>
      </c>
      <c r="V412" s="3">
        <f>IF(B412&lt;='Input sheet(dashboard)'!$D$27*12,V411*(1+'Input sheet(dashboard)'!$E$25)+U412,0)</f>
        <v>6010820.354112383</v>
      </c>
      <c r="W412" s="17">
        <f>IF(B412&lt;='Input sheet(dashboard)'!$D$27*12,J412-I412+V412-N412,0)</f>
        <v>52790105.703185916</v>
      </c>
      <c r="X412" s="3">
        <f>IF(B412&lt;='Input sheet(dashboard)'!$D$27*12,'Input sheet(dashboard)'!$D$17*(1+'Input sheet(dashboard)'!$E$23)^(B412-1),0)</f>
        <v>136087.97914045962</v>
      </c>
      <c r="Y412" s="3"/>
      <c r="Z412" s="18"/>
      <c r="AA412" s="18"/>
      <c r="AB412" s="3">
        <f>IF(B412=1,'Input sheet(dashboard)'!$D$18*Calculations!X412,IF(Calculations!B412=12*'Input sheet(dashboard)'!$D$27,'Input sheet(dashboard)'!$D$18*-Calculations!X412,0))</f>
        <v>0</v>
      </c>
      <c r="AC412" s="3">
        <f>IF(B412&lt;='Input sheet(dashboard)'!$D$27*12,IF(MOD(B411,'Input sheet(dashboard)'!$D$19*12),0,'Input sheet(dashboard)'!$D$20*(1+'Input sheet(dashboard)'!$E$22)^Calculations!B412),0)</f>
        <v>0</v>
      </c>
      <c r="AD412" s="17">
        <f t="shared" si="57"/>
        <v>136087.97914045962</v>
      </c>
      <c r="AE412" s="17">
        <f>IF(B412&lt;='Input sheet(dashboard)'!$D$27*12,IF(D412=12,SUM(AD401:AD412),0),0)</f>
        <v>0</v>
      </c>
      <c r="AF412" s="17">
        <f t="shared" si="58"/>
        <v>-79710.383045543276</v>
      </c>
      <c r="AG412" s="17">
        <f t="shared" si="59"/>
        <v>0</v>
      </c>
      <c r="AH412" s="3">
        <f>IF(B412&lt;='Input sheet(dashboard)'!$D$27*12,AH411*(1+'Input sheet(dashboard)'!$E$25)+AG412," ")</f>
        <v>46942693.699272722</v>
      </c>
    </row>
    <row r="413" spans="2:34">
      <c r="B413">
        <f t="shared" si="54"/>
        <v>410</v>
      </c>
      <c r="C413">
        <f t="shared" si="61"/>
        <v>35</v>
      </c>
      <c r="D413">
        <f t="shared" si="62"/>
        <v>2</v>
      </c>
      <c r="E413" s="15">
        <f>IF(C413&lt;='Input sheet(dashboard)'!$D$6, -PMT('Input sheet(dashboard)'!$E$5,'Input sheet(dashboard)'!$D$6*12,'Input sheet(dashboard)'!$D$3*'Input sheet(dashboard)'!$D$4),0)</f>
        <v>0</v>
      </c>
      <c r="F413" s="3">
        <f>I412*'Input sheet(dashboard)'!$E$5</f>
        <v>9.0270998879007174E-12</v>
      </c>
      <c r="G413" s="3">
        <f>IF(C413&lt;='Input sheet(dashboard)'!$D$6,E413*'Input sheet(dashboard)'!$D$7,0)</f>
        <v>0</v>
      </c>
      <c r="H413" s="3">
        <f t="shared" si="55"/>
        <v>-9.0270998879007174E-12</v>
      </c>
      <c r="I413" s="3">
        <f t="shared" si="56"/>
        <v>2.4871011216338983E-9</v>
      </c>
      <c r="J413" s="3">
        <f>IF(B413&lt;='Input sheet(dashboard)'!$D$27*12,'Input sheet(dashboard)'!$D$3*(1+'Input sheet(dashboard)'!$E$24)^B413,0)</f>
        <v>46969869.948096268</v>
      </c>
      <c r="K413" s="3">
        <f>IF(B413&lt;='Input sheet(dashboard)'!$D$27*12,J413*'Input sheet(dashboard)'!$E$8,0)</f>
        <v>48648.855609640865</v>
      </c>
      <c r="L413" s="3">
        <f>IF(B413&lt;='Input sheet(dashboard)'!$D$27*12,'Input sheet(dashboard)'!$D$9*(1+'Input sheet(dashboard)'!$E$22)^B413,0)</f>
        <v>6974.6109764924167</v>
      </c>
      <c r="M413" s="3">
        <f>IF(B413=1,'Input sheet(dashboard)'!$D$3*'Input sheet(dashboard)'!$D$10,0)</f>
        <v>0</v>
      </c>
      <c r="N413" s="3">
        <f>IF(B413='Input sheet(dashboard)'!$D$27*12,J413*'Input sheet(dashboard)'!$D$11,0)</f>
        <v>0</v>
      </c>
      <c r="O413" s="3">
        <f>IF(SUM(F413:F424)&gt;=150000,150000/12*'Input sheet(dashboard)'!$D$28,SUM(F413:F424)/12*'Input sheet(dashboard)'!$D$28)</f>
        <v>1.3815262671234014E-12</v>
      </c>
      <c r="P413" s="3">
        <f t="shared" si="60"/>
        <v>0</v>
      </c>
      <c r="Q413" s="3">
        <f>IF(B413&lt;='Input sheet(dashboard)'!$D$27*12,'Input sheet(dashboard)'!$D$12/12,0)</f>
        <v>192.5</v>
      </c>
      <c r="R413" s="3">
        <f>IF(B413&lt;='Input sheet(dashboard)'!$D$27*12,('Input sheet(dashboard)'!$D$15/12)*(1+'Input sheet(dashboard)'!$E$22)^Calculations!B413,0)</f>
        <v>774.95677516582407</v>
      </c>
      <c r="S413" s="3">
        <f>IF(B413&lt;='Input sheet(dashboard)'!$D$27*12,(E413+G413+K413+L413-O413+M413+Q413+R413),0)</f>
        <v>56590.923361299108</v>
      </c>
      <c r="T413" s="3">
        <f>IF(B413&lt;='Input sheet(dashboard)'!$D$27*12,IF(D413=12,SUM(S402:S413),0),0)</f>
        <v>0</v>
      </c>
      <c r="U413" s="3">
        <f>IF(B413&lt;='Input sheet(dashboard)'!$D$27*12,IF(S413&lt;AD413,AD413-S413,0),0)</f>
        <v>80051.49505164531</v>
      </c>
      <c r="V413" s="3">
        <f>IF(B413&lt;='Input sheet(dashboard)'!$D$27*12,V412*(1+'Input sheet(dashboard)'!$E$25)+U413,0)</f>
        <v>6129545.6483082091</v>
      </c>
      <c r="W413" s="17">
        <f>IF(B413&lt;='Input sheet(dashboard)'!$D$27*12,J413-I413+V413-N413,0)</f>
        <v>53099415.596404478</v>
      </c>
      <c r="X413" s="3">
        <f>IF(B413&lt;='Input sheet(dashboard)'!$D$27*12,'Input sheet(dashboard)'!$D$17*(1+'Input sheet(dashboard)'!$E$23)^(B413-1),0)</f>
        <v>136642.41841294442</v>
      </c>
      <c r="Y413" s="3"/>
      <c r="Z413" s="18"/>
      <c r="AA413" s="18"/>
      <c r="AB413" s="3">
        <f>IF(B413=1,'Input sheet(dashboard)'!$D$18*Calculations!X413,IF(Calculations!B413=12*'Input sheet(dashboard)'!$D$27,'Input sheet(dashboard)'!$D$18*-Calculations!X413,0))</f>
        <v>0</v>
      </c>
      <c r="AC413" s="3">
        <f>IF(B413&lt;='Input sheet(dashboard)'!$D$27*12,IF(MOD(B412,'Input sheet(dashboard)'!$D$19*12),0,'Input sheet(dashboard)'!$D$20*(1+'Input sheet(dashboard)'!$E$22)^Calculations!B413),0)</f>
        <v>0</v>
      </c>
      <c r="AD413" s="17">
        <f t="shared" si="57"/>
        <v>136642.41841294442</v>
      </c>
      <c r="AE413" s="17">
        <f>IF(B413&lt;='Input sheet(dashboard)'!$D$27*12,IF(D413=12,SUM(AD402:AD413),0),0)</f>
        <v>0</v>
      </c>
      <c r="AF413" s="17">
        <f t="shared" si="58"/>
        <v>-80051.49505164531</v>
      </c>
      <c r="AG413" s="17">
        <f t="shared" si="59"/>
        <v>0</v>
      </c>
      <c r="AH413" s="3">
        <f>IF(B413&lt;='Input sheet(dashboard)'!$D$27*12,AH412*(1+'Input sheet(dashboard)'!$E$25)+AG413," ")</f>
        <v>47244724.403978512</v>
      </c>
    </row>
    <row r="414" spans="2:34">
      <c r="B414">
        <f t="shared" si="54"/>
        <v>411</v>
      </c>
      <c r="C414">
        <f t="shared" si="61"/>
        <v>35</v>
      </c>
      <c r="D414">
        <f t="shared" si="62"/>
        <v>3</v>
      </c>
      <c r="E414" s="15">
        <f>IF(C414&lt;='Input sheet(dashboard)'!$D$6, -PMT('Input sheet(dashboard)'!$E$5,'Input sheet(dashboard)'!$D$6*12,'Input sheet(dashboard)'!$D$3*'Input sheet(dashboard)'!$D$4),0)</f>
        <v>0</v>
      </c>
      <c r="F414" s="3">
        <f>I413*'Input sheet(dashboard)'!$E$5</f>
        <v>9.0599837047968422E-12</v>
      </c>
      <c r="G414" s="3">
        <f>IF(C414&lt;='Input sheet(dashboard)'!$D$6,E414*'Input sheet(dashboard)'!$D$7,0)</f>
        <v>0</v>
      </c>
      <c r="H414" s="3">
        <f t="shared" si="55"/>
        <v>-9.0599837047968422E-12</v>
      </c>
      <c r="I414" s="3">
        <f t="shared" si="56"/>
        <v>2.4961611053386949E-9</v>
      </c>
      <c r="J414" s="3">
        <f>IF(B414&lt;='Input sheet(dashboard)'!$D$27*12,'Input sheet(dashboard)'!$D$3*(1+'Input sheet(dashboard)'!$E$24)^B414,0)</f>
        <v>47161231.012366675</v>
      </c>
      <c r="K414" s="3">
        <f>IF(B414&lt;='Input sheet(dashboard)'!$D$27*12,J414*'Input sheet(dashboard)'!$E$8,0)</f>
        <v>48847.057069327377</v>
      </c>
      <c r="L414" s="3">
        <f>IF(B414&lt;='Input sheet(dashboard)'!$D$27*12,'Input sheet(dashboard)'!$D$9*(1+'Input sheet(dashboard)'!$E$22)^B414,0)</f>
        <v>6988.9775331498386</v>
      </c>
      <c r="M414" s="3">
        <f>IF(B414=1,'Input sheet(dashboard)'!$D$3*'Input sheet(dashboard)'!$D$10,0)</f>
        <v>0</v>
      </c>
      <c r="N414" s="3">
        <f>IF(B414='Input sheet(dashboard)'!$D$27*12,J414*'Input sheet(dashboard)'!$D$11,0)</f>
        <v>0</v>
      </c>
      <c r="O414" s="3">
        <f>IF(SUM(F414:F425)&gt;=150000,150000/12*'Input sheet(dashboard)'!$D$28,SUM(F414:F425)/12*'Input sheet(dashboard)'!$D$28)</f>
        <v>1.3865588753109061E-12</v>
      </c>
      <c r="P414" s="3">
        <f t="shared" si="60"/>
        <v>0</v>
      </c>
      <c r="Q414" s="3">
        <f>IF(B414&lt;='Input sheet(dashboard)'!$D$27*12,'Input sheet(dashboard)'!$D$12/12,0)</f>
        <v>192.5</v>
      </c>
      <c r="R414" s="3">
        <f>IF(B414&lt;='Input sheet(dashboard)'!$D$27*12,('Input sheet(dashboard)'!$D$15/12)*(1+'Input sheet(dashboard)'!$E$22)^Calculations!B414,0)</f>
        <v>776.5530592388709</v>
      </c>
      <c r="S414" s="3">
        <f>IF(B414&lt;='Input sheet(dashboard)'!$D$27*12,(E414+G414+K414+L414-O414+M414+Q414+R414),0)</f>
        <v>56805.087661716083</v>
      </c>
      <c r="T414" s="3">
        <f>IF(B414&lt;='Input sheet(dashboard)'!$D$27*12,IF(D414=12,SUM(S403:S414),0),0)</f>
        <v>0</v>
      </c>
      <c r="U414" s="3">
        <f>IF(B414&lt;='Input sheet(dashboard)'!$D$27*12,IF(S414&lt;AD414,AD414-S414,0),0)</f>
        <v>80394.028877939723</v>
      </c>
      <c r="V414" s="3">
        <f>IF(B414&lt;='Input sheet(dashboard)'!$D$27*12,V413*(1+'Input sheet(dashboard)'!$E$25)+U414,0)</f>
        <v>6249377.3584480044</v>
      </c>
      <c r="W414" s="17">
        <f>IF(B414&lt;='Input sheet(dashboard)'!$D$27*12,J414-I414+V414-N414,0)</f>
        <v>53410608.370814681</v>
      </c>
      <c r="X414" s="3">
        <f>IF(B414&lt;='Input sheet(dashboard)'!$D$27*12,'Input sheet(dashboard)'!$D$17*(1+'Input sheet(dashboard)'!$E$23)^(B414-1),0)</f>
        <v>137199.11653965581</v>
      </c>
      <c r="Y414" s="3"/>
      <c r="Z414" s="18"/>
      <c r="AA414" s="18"/>
      <c r="AB414" s="3">
        <f>IF(B414=1,'Input sheet(dashboard)'!$D$18*Calculations!X414,IF(Calculations!B414=12*'Input sheet(dashboard)'!$D$27,'Input sheet(dashboard)'!$D$18*-Calculations!X414,0))</f>
        <v>0</v>
      </c>
      <c r="AC414" s="3">
        <f>IF(B414&lt;='Input sheet(dashboard)'!$D$27*12,IF(MOD(B413,'Input sheet(dashboard)'!$D$19*12),0,'Input sheet(dashboard)'!$D$20*(1+'Input sheet(dashboard)'!$E$22)^Calculations!B414),0)</f>
        <v>0</v>
      </c>
      <c r="AD414" s="17">
        <f t="shared" si="57"/>
        <v>137199.11653965581</v>
      </c>
      <c r="AE414" s="17">
        <f>IF(B414&lt;='Input sheet(dashboard)'!$D$27*12,IF(D414=12,SUM(AD403:AD414),0),0)</f>
        <v>0</v>
      </c>
      <c r="AF414" s="17">
        <f t="shared" si="58"/>
        <v>-80394.028877939723</v>
      </c>
      <c r="AG414" s="17">
        <f t="shared" si="59"/>
        <v>0</v>
      </c>
      <c r="AH414" s="3">
        <f>IF(B414&lt;='Input sheet(dashboard)'!$D$27*12,AH413*(1+'Input sheet(dashboard)'!$E$25)+AG414," ")</f>
        <v>47548698.383332521</v>
      </c>
    </row>
    <row r="415" spans="2:34">
      <c r="B415">
        <f t="shared" si="54"/>
        <v>412</v>
      </c>
      <c r="C415">
        <f t="shared" si="61"/>
        <v>35</v>
      </c>
      <c r="D415">
        <f t="shared" si="62"/>
        <v>4</v>
      </c>
      <c r="E415" s="15">
        <f>IF(C415&lt;='Input sheet(dashboard)'!$D$6, -PMT('Input sheet(dashboard)'!$E$5,'Input sheet(dashboard)'!$D$6*12,'Input sheet(dashboard)'!$D$3*'Input sheet(dashboard)'!$D$4),0)</f>
        <v>0</v>
      </c>
      <c r="F415" s="3">
        <f>I414*'Input sheet(dashboard)'!$E$5</f>
        <v>9.0929873104874935E-12</v>
      </c>
      <c r="G415" s="3">
        <f>IF(C415&lt;='Input sheet(dashboard)'!$D$6,E415*'Input sheet(dashboard)'!$D$7,0)</f>
        <v>0</v>
      </c>
      <c r="H415" s="3">
        <f t="shared" si="55"/>
        <v>-9.0929873104874935E-12</v>
      </c>
      <c r="I415" s="3">
        <f t="shared" si="56"/>
        <v>2.5052540926491824E-9</v>
      </c>
      <c r="J415" s="3">
        <f>IF(B415&lt;='Input sheet(dashboard)'!$D$27*12,'Input sheet(dashboard)'!$D$3*(1+'Input sheet(dashboard)'!$E$24)^B415,0)</f>
        <v>47353371.705300301</v>
      </c>
      <c r="K415" s="3">
        <f>IF(B415&lt;='Input sheet(dashboard)'!$D$27*12,J415*'Input sheet(dashboard)'!$E$8,0)</f>
        <v>49046.066026294764</v>
      </c>
      <c r="L415" s="3">
        <f>IF(B415&lt;='Input sheet(dashboard)'!$D$27*12,'Input sheet(dashboard)'!$D$9*(1+'Input sheet(dashboard)'!$E$22)^B415,0)</f>
        <v>7003.373682561738</v>
      </c>
      <c r="M415" s="3">
        <f>IF(B415=1,'Input sheet(dashboard)'!$D$3*'Input sheet(dashboard)'!$D$10,0)</f>
        <v>0</v>
      </c>
      <c r="N415" s="3">
        <f>IF(B415='Input sheet(dashboard)'!$D$27*12,J415*'Input sheet(dashboard)'!$D$11,0)</f>
        <v>0</v>
      </c>
      <c r="O415" s="3">
        <f>IF(SUM(F415:F426)&gt;=150000,150000/12*'Input sheet(dashboard)'!$D$28,SUM(F415:F426)/12*'Input sheet(dashboard)'!$D$28)</f>
        <v>1.3916098162263302E-12</v>
      </c>
      <c r="P415" s="3">
        <f t="shared" si="60"/>
        <v>0</v>
      </c>
      <c r="Q415" s="3">
        <f>IF(B415&lt;='Input sheet(dashboard)'!$D$27*12,'Input sheet(dashboard)'!$D$12/12,0)</f>
        <v>192.5</v>
      </c>
      <c r="R415" s="3">
        <f>IF(B415&lt;='Input sheet(dashboard)'!$D$27*12,('Input sheet(dashboard)'!$D$15/12)*(1+'Input sheet(dashboard)'!$E$22)^Calculations!B415,0)</f>
        <v>778.15263139574859</v>
      </c>
      <c r="S415" s="3">
        <f>IF(B415&lt;='Input sheet(dashboard)'!$D$27*12,(E415+G415+K415+L415-O415+M415+Q415+R415),0)</f>
        <v>57020.092340252253</v>
      </c>
      <c r="T415" s="3">
        <f>IF(B415&lt;='Input sheet(dashboard)'!$D$27*12,IF(D415=12,SUM(S404:S415),0),0)</f>
        <v>0</v>
      </c>
      <c r="U415" s="3">
        <f>IF(B415&lt;='Input sheet(dashboard)'!$D$27*12,IF(S415&lt;AD415,AD415-S415,0),0)</f>
        <v>80737.990383193304</v>
      </c>
      <c r="V415" s="3">
        <f>IF(B415&lt;='Input sheet(dashboard)'!$D$27*12,V414*(1+'Input sheet(dashboard)'!$E$25)+U415,0)</f>
        <v>6370324.0309242252</v>
      </c>
      <c r="W415" s="17">
        <f>IF(B415&lt;='Input sheet(dashboard)'!$D$27*12,J415-I415+V415-N415,0)</f>
        <v>53723695.736224525</v>
      </c>
      <c r="X415" s="3">
        <f>IF(B415&lt;='Input sheet(dashboard)'!$D$27*12,'Input sheet(dashboard)'!$D$17*(1+'Input sheet(dashboard)'!$E$23)^(B415-1),0)</f>
        <v>137758.08272344555</v>
      </c>
      <c r="Y415" s="3"/>
      <c r="Z415" s="18"/>
      <c r="AA415" s="18"/>
      <c r="AB415" s="3">
        <f>IF(B415=1,'Input sheet(dashboard)'!$D$18*Calculations!X415,IF(Calculations!B415=12*'Input sheet(dashboard)'!$D$27,'Input sheet(dashboard)'!$D$18*-Calculations!X415,0))</f>
        <v>0</v>
      </c>
      <c r="AC415" s="3">
        <f>IF(B415&lt;='Input sheet(dashboard)'!$D$27*12,IF(MOD(B414,'Input sheet(dashboard)'!$D$19*12),0,'Input sheet(dashboard)'!$D$20*(1+'Input sheet(dashboard)'!$E$22)^Calculations!B415),0)</f>
        <v>0</v>
      </c>
      <c r="AD415" s="17">
        <f t="shared" si="57"/>
        <v>137758.08272344555</v>
      </c>
      <c r="AE415" s="17">
        <f>IF(B415&lt;='Input sheet(dashboard)'!$D$27*12,IF(D415=12,SUM(AD404:AD415),0),0)</f>
        <v>0</v>
      </c>
      <c r="AF415" s="17">
        <f t="shared" si="58"/>
        <v>-80737.990383193304</v>
      </c>
      <c r="AG415" s="17">
        <f t="shared" si="59"/>
        <v>0</v>
      </c>
      <c r="AH415" s="3">
        <f>IF(B415&lt;='Input sheet(dashboard)'!$D$27*12,AH414*(1+'Input sheet(dashboard)'!$E$25)+AG415," ")</f>
        <v>47854628.140422352</v>
      </c>
    </row>
    <row r="416" spans="2:34">
      <c r="B416">
        <f t="shared" si="54"/>
        <v>413</v>
      </c>
      <c r="C416">
        <f t="shared" si="61"/>
        <v>35</v>
      </c>
      <c r="D416">
        <f t="shared" si="62"/>
        <v>5</v>
      </c>
      <c r="E416" s="15">
        <f>IF(C416&lt;='Input sheet(dashboard)'!$D$6, -PMT('Input sheet(dashboard)'!$E$5,'Input sheet(dashboard)'!$D$6*12,'Input sheet(dashboard)'!$D$3*'Input sheet(dashboard)'!$D$4),0)</f>
        <v>0</v>
      </c>
      <c r="F416" s="3">
        <f>I415*'Input sheet(dashboard)'!$E$5</f>
        <v>9.1261111413379335E-12</v>
      </c>
      <c r="G416" s="3">
        <f>IF(C416&lt;='Input sheet(dashboard)'!$D$6,E416*'Input sheet(dashboard)'!$D$7,0)</f>
        <v>0</v>
      </c>
      <c r="H416" s="3">
        <f t="shared" si="55"/>
        <v>-9.1261111413379335E-12</v>
      </c>
      <c r="I416" s="3">
        <f t="shared" si="56"/>
        <v>2.5143802037905202E-9</v>
      </c>
      <c r="J416" s="3">
        <f>IF(B416&lt;='Input sheet(dashboard)'!$D$27*12,'Input sheet(dashboard)'!$D$3*(1+'Input sheet(dashboard)'!$E$24)^B416,0)</f>
        <v>47546295.20320081</v>
      </c>
      <c r="K416" s="3">
        <f>IF(B416&lt;='Input sheet(dashboard)'!$D$27*12,J416*'Input sheet(dashboard)'!$E$8,0)</f>
        <v>49245.885770386878</v>
      </c>
      <c r="L416" s="3">
        <f>IF(B416&lt;='Input sheet(dashboard)'!$D$27*12,'Input sheet(dashboard)'!$D$9*(1+'Input sheet(dashboard)'!$E$22)^B416,0)</f>
        <v>7017.7994856843407</v>
      </c>
      <c r="M416" s="3">
        <f>IF(B416=1,'Input sheet(dashboard)'!$D$3*'Input sheet(dashboard)'!$D$10,0)</f>
        <v>0</v>
      </c>
      <c r="N416" s="3">
        <f>IF(B416='Input sheet(dashboard)'!$D$27*12,J416*'Input sheet(dashboard)'!$D$11,0)</f>
        <v>0</v>
      </c>
      <c r="O416" s="3">
        <f>IF(SUM(F416:F427)&gt;=150000,150000/12*'Input sheet(dashboard)'!$D$28,SUM(F416:F427)/12*'Input sheet(dashboard)'!$D$28)</f>
        <v>1.3966791566519266E-12</v>
      </c>
      <c r="P416" s="3">
        <f t="shared" si="60"/>
        <v>0</v>
      </c>
      <c r="Q416" s="3">
        <f>IF(B416&lt;='Input sheet(dashboard)'!$D$27*12,'Input sheet(dashboard)'!$D$12/12,0)</f>
        <v>192.5</v>
      </c>
      <c r="R416" s="3">
        <f>IF(B416&lt;='Input sheet(dashboard)'!$D$27*12,('Input sheet(dashboard)'!$D$15/12)*(1+'Input sheet(dashboard)'!$E$22)^Calculations!B416,0)</f>
        <v>779.75549840937106</v>
      </c>
      <c r="S416" s="3">
        <f>IF(B416&lt;='Input sheet(dashboard)'!$D$27*12,(E416+G416+K416+L416-O416+M416+Q416+R416),0)</f>
        <v>57235.940754480594</v>
      </c>
      <c r="T416" s="3">
        <f>IF(B416&lt;='Input sheet(dashboard)'!$D$27*12,IF(D416=12,SUM(S405:S416),0),0)</f>
        <v>0</v>
      </c>
      <c r="U416" s="3">
        <f>IF(B416&lt;='Input sheet(dashboard)'!$D$27*12,IF(S416&lt;AD416,AD416-S416,0),0)</f>
        <v>81083.385450178379</v>
      </c>
      <c r="V416" s="3">
        <f>IF(B416&lt;='Input sheet(dashboard)'!$D$27*12,V415*(1+'Input sheet(dashboard)'!$E$25)+U416,0)</f>
        <v>6492394.2729998492</v>
      </c>
      <c r="W416" s="17">
        <f>IF(B416&lt;='Input sheet(dashboard)'!$D$27*12,J416-I416+V416-N416,0)</f>
        <v>54038689.476200655</v>
      </c>
      <c r="X416" s="3">
        <f>IF(B416&lt;='Input sheet(dashboard)'!$D$27*12,'Input sheet(dashboard)'!$D$17*(1+'Input sheet(dashboard)'!$E$23)^(B416-1),0)</f>
        <v>138319.32620465898</v>
      </c>
      <c r="Y416" s="3"/>
      <c r="Z416" s="18"/>
      <c r="AA416" s="18"/>
      <c r="AB416" s="3">
        <f>IF(B416=1,'Input sheet(dashboard)'!$D$18*Calculations!X416,IF(Calculations!B416=12*'Input sheet(dashboard)'!$D$27,'Input sheet(dashboard)'!$D$18*-Calculations!X416,0))</f>
        <v>0</v>
      </c>
      <c r="AC416" s="3">
        <f>IF(B416&lt;='Input sheet(dashboard)'!$D$27*12,IF(MOD(B415,'Input sheet(dashboard)'!$D$19*12),0,'Input sheet(dashboard)'!$D$20*(1+'Input sheet(dashboard)'!$E$22)^Calculations!B416),0)</f>
        <v>0</v>
      </c>
      <c r="AD416" s="17">
        <f t="shared" si="57"/>
        <v>138319.32620465898</v>
      </c>
      <c r="AE416" s="17">
        <f>IF(B416&lt;='Input sheet(dashboard)'!$D$27*12,IF(D416=12,SUM(AD405:AD416),0),0)</f>
        <v>0</v>
      </c>
      <c r="AF416" s="17">
        <f t="shared" si="58"/>
        <v>-81083.385450178379</v>
      </c>
      <c r="AG416" s="17">
        <f t="shared" si="59"/>
        <v>0</v>
      </c>
      <c r="AH416" s="3">
        <f>IF(B416&lt;='Input sheet(dashboard)'!$D$27*12,AH415*(1+'Input sheet(dashboard)'!$E$25)+AG416," ")</f>
        <v>48162526.258780845</v>
      </c>
    </row>
    <row r="417" spans="2:34">
      <c r="B417">
        <f t="shared" si="54"/>
        <v>414</v>
      </c>
      <c r="C417">
        <f t="shared" si="61"/>
        <v>35</v>
      </c>
      <c r="D417">
        <f t="shared" si="62"/>
        <v>6</v>
      </c>
      <c r="E417" s="15">
        <f>IF(C417&lt;='Input sheet(dashboard)'!$D$6, -PMT('Input sheet(dashboard)'!$E$5,'Input sheet(dashboard)'!$D$6*12,'Input sheet(dashboard)'!$D$3*'Input sheet(dashboard)'!$D$4),0)</f>
        <v>0</v>
      </c>
      <c r="F417" s="3">
        <f>I416*'Input sheet(dashboard)'!$E$5</f>
        <v>9.1593556353030072E-12</v>
      </c>
      <c r="G417" s="3">
        <f>IF(C417&lt;='Input sheet(dashboard)'!$D$6,E417*'Input sheet(dashboard)'!$D$7,0)</f>
        <v>0</v>
      </c>
      <c r="H417" s="3">
        <f t="shared" si="55"/>
        <v>-9.1593556353030072E-12</v>
      </c>
      <c r="I417" s="3">
        <f t="shared" si="56"/>
        <v>2.5235395594258232E-9</v>
      </c>
      <c r="J417" s="3">
        <f>IF(B417&lt;='Input sheet(dashboard)'!$D$27*12,'Input sheet(dashboard)'!$D$3*(1+'Input sheet(dashboard)'!$E$24)^B417,0)</f>
        <v>47740004.695312537</v>
      </c>
      <c r="K417" s="3">
        <f>IF(B417&lt;='Input sheet(dashboard)'!$D$27*12,J417*'Input sheet(dashboard)'!$E$8,0)</f>
        <v>49446.519604850844</v>
      </c>
      <c r="L417" s="3">
        <f>IF(B417&lt;='Input sheet(dashboard)'!$D$27*12,'Input sheet(dashboard)'!$D$9*(1+'Input sheet(dashboard)'!$E$22)^B417,0)</f>
        <v>7032.2550035994363</v>
      </c>
      <c r="M417" s="3">
        <f>IF(B417=1,'Input sheet(dashboard)'!$D$3*'Input sheet(dashboard)'!$D$10,0)</f>
        <v>0</v>
      </c>
      <c r="N417" s="3">
        <f>IF(B417='Input sheet(dashboard)'!$D$27*12,J417*'Input sheet(dashboard)'!$D$11,0)</f>
        <v>0</v>
      </c>
      <c r="O417" s="3">
        <f>IF(SUM(F417:F428)&gt;=150000,150000/12*'Input sheet(dashboard)'!$D$28,SUM(F417:F428)/12*'Input sheet(dashboard)'!$D$28)</f>
        <v>1.4017669636132228E-12</v>
      </c>
      <c r="P417" s="3">
        <f t="shared" si="60"/>
        <v>0</v>
      </c>
      <c r="Q417" s="3">
        <f>IF(B417&lt;='Input sheet(dashboard)'!$D$27*12,'Input sheet(dashboard)'!$D$12/12,0)</f>
        <v>192.5</v>
      </c>
      <c r="R417" s="3">
        <f>IF(B417&lt;='Input sheet(dashboard)'!$D$27*12,('Input sheet(dashboard)'!$D$15/12)*(1+'Input sheet(dashboard)'!$E$22)^Calculations!B417,0)</f>
        <v>781.3616670666039</v>
      </c>
      <c r="S417" s="3">
        <f>IF(B417&lt;='Input sheet(dashboard)'!$D$27*12,(E417+G417+K417+L417-O417+M417+Q417+R417),0)</f>
        <v>57452.636275516881</v>
      </c>
      <c r="T417" s="3">
        <f>IF(B417&lt;='Input sheet(dashboard)'!$D$27*12,IF(D417=12,SUM(S406:S417),0),0)</f>
        <v>0</v>
      </c>
      <c r="U417" s="3">
        <f>IF(B417&lt;='Input sheet(dashboard)'!$D$27*12,IF(S417&lt;AD417,AD417-S417,0),0)</f>
        <v>81430.219985770731</v>
      </c>
      <c r="V417" s="3">
        <f>IF(B417&lt;='Input sheet(dashboard)'!$D$27*12,V416*(1+'Input sheet(dashboard)'!$E$25)+U417,0)</f>
        <v>6615596.7532241149</v>
      </c>
      <c r="W417" s="17">
        <f>IF(B417&lt;='Input sheet(dashboard)'!$D$27*12,J417-I417+V417-N417,0)</f>
        <v>54355601.448536649</v>
      </c>
      <c r="X417" s="3">
        <f>IF(B417&lt;='Input sheet(dashboard)'!$D$27*12,'Input sheet(dashboard)'!$D$17*(1+'Input sheet(dashboard)'!$E$23)^(B417-1),0)</f>
        <v>138882.85626128761</v>
      </c>
      <c r="Y417" s="3"/>
      <c r="Z417" s="18"/>
      <c r="AA417" s="18"/>
      <c r="AB417" s="3">
        <f>IF(B417=1,'Input sheet(dashboard)'!$D$18*Calculations!X417,IF(Calculations!B417=12*'Input sheet(dashboard)'!$D$27,'Input sheet(dashboard)'!$D$18*-Calculations!X417,0))</f>
        <v>0</v>
      </c>
      <c r="AC417" s="3">
        <f>IF(B417&lt;='Input sheet(dashboard)'!$D$27*12,IF(MOD(B416,'Input sheet(dashboard)'!$D$19*12),0,'Input sheet(dashboard)'!$D$20*(1+'Input sheet(dashboard)'!$E$22)^Calculations!B417),0)</f>
        <v>0</v>
      </c>
      <c r="AD417" s="17">
        <f t="shared" si="57"/>
        <v>138882.85626128761</v>
      </c>
      <c r="AE417" s="17">
        <f>IF(B417&lt;='Input sheet(dashboard)'!$D$27*12,IF(D417=12,SUM(AD406:AD417),0),0)</f>
        <v>0</v>
      </c>
      <c r="AF417" s="17">
        <f t="shared" si="58"/>
        <v>-81430.219985770731</v>
      </c>
      <c r="AG417" s="17">
        <f t="shared" si="59"/>
        <v>0</v>
      </c>
      <c r="AH417" s="3">
        <f>IF(B417&lt;='Input sheet(dashboard)'!$D$27*12,AH416*(1+'Input sheet(dashboard)'!$E$25)+AG417," ")</f>
        <v>48472405.402903669</v>
      </c>
    </row>
    <row r="418" spans="2:34">
      <c r="B418">
        <f t="shared" si="54"/>
        <v>415</v>
      </c>
      <c r="C418">
        <f t="shared" si="61"/>
        <v>35</v>
      </c>
      <c r="D418">
        <f t="shared" si="62"/>
        <v>7</v>
      </c>
      <c r="E418" s="15">
        <f>IF(C418&lt;='Input sheet(dashboard)'!$D$6, -PMT('Input sheet(dashboard)'!$E$5,'Input sheet(dashboard)'!$D$6*12,'Input sheet(dashboard)'!$D$3*'Input sheet(dashboard)'!$D$4),0)</f>
        <v>0</v>
      </c>
      <c r="F418" s="3">
        <f>I417*'Input sheet(dashboard)'!$E$5</f>
        <v>9.1927212319329375E-12</v>
      </c>
      <c r="G418" s="3">
        <f>IF(C418&lt;='Input sheet(dashboard)'!$D$6,E418*'Input sheet(dashboard)'!$D$7,0)</f>
        <v>0</v>
      </c>
      <c r="H418" s="3">
        <f t="shared" si="55"/>
        <v>-9.1927212319329375E-12</v>
      </c>
      <c r="I418" s="3">
        <f t="shared" si="56"/>
        <v>2.5327322806577563E-9</v>
      </c>
      <c r="J418" s="3">
        <f>IF(B418&lt;='Input sheet(dashboard)'!$D$27*12,'Input sheet(dashboard)'!$D$3*(1+'Input sheet(dashboard)'!$E$24)^B418,0)</f>
        <v>47934503.383873187</v>
      </c>
      <c r="K418" s="3">
        <f>IF(B418&lt;='Input sheet(dashboard)'!$D$27*12,J418*'Input sheet(dashboard)'!$E$8,0)</f>
        <v>49647.970846391596</v>
      </c>
      <c r="L418" s="3">
        <f>IF(B418&lt;='Input sheet(dashboard)'!$D$27*12,'Input sheet(dashboard)'!$D$9*(1+'Input sheet(dashboard)'!$E$22)^B418,0)</f>
        <v>7046.7402975146342</v>
      </c>
      <c r="M418" s="3">
        <f>IF(B418=1,'Input sheet(dashboard)'!$D$3*'Input sheet(dashboard)'!$D$10,0)</f>
        <v>0</v>
      </c>
      <c r="N418" s="3">
        <f>IF(B418='Input sheet(dashboard)'!$D$27*12,J418*'Input sheet(dashboard)'!$D$11,0)</f>
        <v>0</v>
      </c>
      <c r="O418" s="3">
        <f>IF(SUM(F418:F429)&gt;=150000,150000/12*'Input sheet(dashboard)'!$D$28,SUM(F418:F429)/12*'Input sheet(dashboard)'!$D$28)</f>
        <v>1.4068733043799045E-12</v>
      </c>
      <c r="P418" s="3">
        <f t="shared" si="60"/>
        <v>0</v>
      </c>
      <c r="Q418" s="3">
        <f>IF(B418&lt;='Input sheet(dashboard)'!$D$27*12,'Input sheet(dashboard)'!$D$12/12,0)</f>
        <v>192.5</v>
      </c>
      <c r="R418" s="3">
        <f>IF(B418&lt;='Input sheet(dashboard)'!$D$27*12,('Input sheet(dashboard)'!$D$15/12)*(1+'Input sheet(dashboard)'!$E$22)^Calculations!B418,0)</f>
        <v>782.97114416829265</v>
      </c>
      <c r="S418" s="3">
        <f>IF(B418&lt;='Input sheet(dashboard)'!$D$27*12,(E418+G418+K418+L418-O418+M418+Q418+R418),0)</f>
        <v>57670.182288074524</v>
      </c>
      <c r="T418" s="3">
        <f>IF(B418&lt;='Input sheet(dashboard)'!$D$27*12,IF(D418=12,SUM(S407:S418),0),0)</f>
        <v>0</v>
      </c>
      <c r="U418" s="3">
        <f>IF(B418&lt;='Input sheet(dashboard)'!$D$27*12,IF(S418&lt;AD418,AD418-S418,0),0)</f>
        <v>81778.499921048206</v>
      </c>
      <c r="V418" s="3">
        <f>IF(B418&lt;='Input sheet(dashboard)'!$D$27*12,V417*(1+'Input sheet(dashboard)'!$E$25)+U418,0)</f>
        <v>6739940.2018510476</v>
      </c>
      <c r="W418" s="17">
        <f>IF(B418&lt;='Input sheet(dashboard)'!$D$27*12,J418-I418+V418-N418,0)</f>
        <v>54674443.585724235</v>
      </c>
      <c r="X418" s="3">
        <f>IF(B418&lt;='Input sheet(dashboard)'!$D$27*12,'Input sheet(dashboard)'!$D$17*(1+'Input sheet(dashboard)'!$E$23)^(B418-1),0)</f>
        <v>139448.68220912272</v>
      </c>
      <c r="Y418" s="3"/>
      <c r="Z418" s="18"/>
      <c r="AA418" s="18"/>
      <c r="AB418" s="3">
        <f>IF(B418=1,'Input sheet(dashboard)'!$D$18*Calculations!X418,IF(Calculations!B418=12*'Input sheet(dashboard)'!$D$27,'Input sheet(dashboard)'!$D$18*-Calculations!X418,0))</f>
        <v>0</v>
      </c>
      <c r="AC418" s="3">
        <f>IF(B418&lt;='Input sheet(dashboard)'!$D$27*12,IF(MOD(B417,'Input sheet(dashboard)'!$D$19*12),0,'Input sheet(dashboard)'!$D$20*(1+'Input sheet(dashboard)'!$E$22)^Calculations!B418),0)</f>
        <v>0</v>
      </c>
      <c r="AD418" s="17">
        <f t="shared" si="57"/>
        <v>139448.68220912272</v>
      </c>
      <c r="AE418" s="17">
        <f>IF(B418&lt;='Input sheet(dashboard)'!$D$27*12,IF(D418=12,SUM(AD407:AD418),0),0)</f>
        <v>0</v>
      </c>
      <c r="AF418" s="17">
        <f t="shared" si="58"/>
        <v>-81778.499921048206</v>
      </c>
      <c r="AG418" s="17">
        <f t="shared" si="59"/>
        <v>0</v>
      </c>
      <c r="AH418" s="3">
        <f>IF(B418&lt;='Input sheet(dashboard)'!$D$27*12,AH417*(1+'Input sheet(dashboard)'!$E$25)+AG418," ")</f>
        <v>48784278.318770245</v>
      </c>
    </row>
    <row r="419" spans="2:34">
      <c r="B419">
        <f t="shared" si="54"/>
        <v>416</v>
      </c>
      <c r="C419">
        <f t="shared" si="61"/>
        <v>35</v>
      </c>
      <c r="D419">
        <f t="shared" si="62"/>
        <v>8</v>
      </c>
      <c r="E419" s="15">
        <f>IF(C419&lt;='Input sheet(dashboard)'!$D$6, -PMT('Input sheet(dashboard)'!$E$5,'Input sheet(dashboard)'!$D$6*12,'Input sheet(dashboard)'!$D$3*'Input sheet(dashboard)'!$D$4),0)</f>
        <v>0</v>
      </c>
      <c r="F419" s="3">
        <f>I418*'Input sheet(dashboard)'!$E$5</f>
        <v>9.226208372379136E-12</v>
      </c>
      <c r="G419" s="3">
        <f>IF(C419&lt;='Input sheet(dashboard)'!$D$6,E419*'Input sheet(dashboard)'!$D$7,0)</f>
        <v>0</v>
      </c>
      <c r="H419" s="3">
        <f t="shared" si="55"/>
        <v>-9.226208372379136E-12</v>
      </c>
      <c r="I419" s="3">
        <f t="shared" si="56"/>
        <v>2.5419584890301356E-9</v>
      </c>
      <c r="J419" s="3">
        <f>IF(B419&lt;='Input sheet(dashboard)'!$D$27*12,'Input sheet(dashboard)'!$D$3*(1+'Input sheet(dashboard)'!$E$24)^B419,0)</f>
        <v>48129794.484166808</v>
      </c>
      <c r="K419" s="3">
        <f>IF(B419&lt;='Input sheet(dashboard)'!$D$27*12,J419*'Input sheet(dashboard)'!$E$8,0)</f>
        <v>49850.242825226771</v>
      </c>
      <c r="L419" s="3">
        <f>IF(B419&lt;='Input sheet(dashboard)'!$D$27*12,'Input sheet(dashboard)'!$D$9*(1+'Input sheet(dashboard)'!$E$22)^B419,0)</f>
        <v>7061.2554287636158</v>
      </c>
      <c r="M419" s="3">
        <f>IF(B419=1,'Input sheet(dashboard)'!$D$3*'Input sheet(dashboard)'!$D$10,0)</f>
        <v>0</v>
      </c>
      <c r="N419" s="3">
        <f>IF(B419='Input sheet(dashboard)'!$D$27*12,J419*'Input sheet(dashboard)'!$D$11,0)</f>
        <v>0</v>
      </c>
      <c r="O419" s="3">
        <f>IF(SUM(F419:F430)&gt;=150000,150000/12*'Input sheet(dashboard)'!$D$28,SUM(F419:F430)/12*'Input sheet(dashboard)'!$D$28)</f>
        <v>1.4119982464667069E-12</v>
      </c>
      <c r="P419" s="3">
        <f t="shared" si="60"/>
        <v>0</v>
      </c>
      <c r="Q419" s="3">
        <f>IF(B419&lt;='Input sheet(dashboard)'!$D$27*12,'Input sheet(dashboard)'!$D$12/12,0)</f>
        <v>192.5</v>
      </c>
      <c r="R419" s="3">
        <f>IF(B419&lt;='Input sheet(dashboard)'!$D$27*12,('Input sheet(dashboard)'!$D$15/12)*(1+'Input sheet(dashboard)'!$E$22)^Calculations!B419,0)</f>
        <v>784.58393652929055</v>
      </c>
      <c r="S419" s="3">
        <f>IF(B419&lt;='Input sheet(dashboard)'!$D$27*12,(E419+G419+K419+L419-O419+M419+Q419+R419),0)</f>
        <v>57888.582190519679</v>
      </c>
      <c r="T419" s="3">
        <f>IF(B419&lt;='Input sheet(dashboard)'!$D$27*12,IF(D419=12,SUM(S408:S419),0),0)</f>
        <v>0</v>
      </c>
      <c r="U419" s="3">
        <f>IF(B419&lt;='Input sheet(dashboard)'!$D$27*12,IF(S419&lt;AD419,AD419-S419,0),0)</f>
        <v>82128.231211389633</v>
      </c>
      <c r="V419" s="3">
        <f>IF(B419&lt;='Input sheet(dashboard)'!$D$27*12,V418*(1+'Input sheet(dashboard)'!$E$25)+U419,0)</f>
        <v>6865433.4112607688</v>
      </c>
      <c r="W419" s="17">
        <f>IF(B419&lt;='Input sheet(dashboard)'!$D$27*12,J419-I419+V419-N419,0)</f>
        <v>54995227.895427577</v>
      </c>
      <c r="X419" s="3">
        <f>IF(B419&lt;='Input sheet(dashboard)'!$D$27*12,'Input sheet(dashboard)'!$D$17*(1+'Input sheet(dashboard)'!$E$23)^(B419-1),0)</f>
        <v>140016.81340190931</v>
      </c>
      <c r="Y419" s="3"/>
      <c r="Z419" s="18"/>
      <c r="AA419" s="18"/>
      <c r="AB419" s="3">
        <f>IF(B419=1,'Input sheet(dashboard)'!$D$18*Calculations!X419,IF(Calculations!B419=12*'Input sheet(dashboard)'!$D$27,'Input sheet(dashboard)'!$D$18*-Calculations!X419,0))</f>
        <v>0</v>
      </c>
      <c r="AC419" s="3">
        <f>IF(B419&lt;='Input sheet(dashboard)'!$D$27*12,IF(MOD(B418,'Input sheet(dashboard)'!$D$19*12),0,'Input sheet(dashboard)'!$D$20*(1+'Input sheet(dashboard)'!$E$22)^Calculations!B419),0)</f>
        <v>0</v>
      </c>
      <c r="AD419" s="17">
        <f t="shared" si="57"/>
        <v>140016.81340190931</v>
      </c>
      <c r="AE419" s="17">
        <f>IF(B419&lt;='Input sheet(dashboard)'!$D$27*12,IF(D419=12,SUM(AD408:AD419),0),0)</f>
        <v>0</v>
      </c>
      <c r="AF419" s="17">
        <f t="shared" si="58"/>
        <v>-82128.231211389633</v>
      </c>
      <c r="AG419" s="17">
        <f t="shared" si="59"/>
        <v>0</v>
      </c>
      <c r="AH419" s="3">
        <f>IF(B419&lt;='Input sheet(dashboard)'!$D$27*12,AH418*(1+'Input sheet(dashboard)'!$E$25)+AG419," ")</f>
        <v>49098157.834367998</v>
      </c>
    </row>
    <row r="420" spans="2:34">
      <c r="B420">
        <f t="shared" si="54"/>
        <v>417</v>
      </c>
      <c r="C420">
        <f t="shared" si="61"/>
        <v>35</v>
      </c>
      <c r="D420">
        <f t="shared" si="62"/>
        <v>9</v>
      </c>
      <c r="E420" s="15">
        <f>IF(C420&lt;='Input sheet(dashboard)'!$D$6, -PMT('Input sheet(dashboard)'!$E$5,'Input sheet(dashboard)'!$D$6*12,'Input sheet(dashboard)'!$D$3*'Input sheet(dashboard)'!$D$4),0)</f>
        <v>0</v>
      </c>
      <c r="F420" s="3">
        <f>I419*'Input sheet(dashboard)'!$E$5</f>
        <v>9.2598174994000358E-12</v>
      </c>
      <c r="G420" s="3">
        <f>IF(C420&lt;='Input sheet(dashboard)'!$D$6,E420*'Input sheet(dashboard)'!$D$7,0)</f>
        <v>0</v>
      </c>
      <c r="H420" s="3">
        <f t="shared" si="55"/>
        <v>-9.2598174994000358E-12</v>
      </c>
      <c r="I420" s="3">
        <f t="shared" si="56"/>
        <v>2.5512183065295355E-9</v>
      </c>
      <c r="J420" s="3">
        <f>IF(B420&lt;='Input sheet(dashboard)'!$D$27*12,'Input sheet(dashboard)'!$D$3*(1+'Input sheet(dashboard)'!$E$24)^B420,0)</f>
        <v>48325881.224576861</v>
      </c>
      <c r="K420" s="3">
        <f>IF(B420&lt;='Input sheet(dashboard)'!$D$27*12,J420*'Input sheet(dashboard)'!$E$8,0)</f>
        <v>50053.338885141675</v>
      </c>
      <c r="L420" s="3">
        <f>IF(B420&lt;='Input sheet(dashboard)'!$D$27*12,'Input sheet(dashboard)'!$D$9*(1+'Input sheet(dashboard)'!$E$22)^B420,0)</f>
        <v>7075.8004588064059</v>
      </c>
      <c r="M420" s="3">
        <f>IF(B420=1,'Input sheet(dashboard)'!$D$3*'Input sheet(dashboard)'!$D$10,0)</f>
        <v>0</v>
      </c>
      <c r="N420" s="3">
        <f>IF(B420='Input sheet(dashboard)'!$D$27*12,J420*'Input sheet(dashboard)'!$D$11,0)</f>
        <v>0</v>
      </c>
      <c r="O420" s="3">
        <f>IF(SUM(F420:F431)&gt;=150000,150000/12*'Input sheet(dashboard)'!$D$28,SUM(F420:F431)/12*'Input sheet(dashboard)'!$D$28)</f>
        <v>1.4171418576343084E-12</v>
      </c>
      <c r="P420" s="3">
        <f t="shared" si="60"/>
        <v>0</v>
      </c>
      <c r="Q420" s="3">
        <f>IF(B420&lt;='Input sheet(dashboard)'!$D$27*12,'Input sheet(dashboard)'!$D$12/12,0)</f>
        <v>192.5</v>
      </c>
      <c r="R420" s="3">
        <f>IF(B420&lt;='Input sheet(dashboard)'!$D$27*12,('Input sheet(dashboard)'!$D$15/12)*(1+'Input sheet(dashboard)'!$E$22)^Calculations!B420,0)</f>
        <v>786.20005097848957</v>
      </c>
      <c r="S420" s="3">
        <f>IF(B420&lt;='Input sheet(dashboard)'!$D$27*12,(E420+G420+K420+L420-O420+M420+Q420+R420),0)</f>
        <v>58107.839394926574</v>
      </c>
      <c r="T420" s="3">
        <f>IF(B420&lt;='Input sheet(dashboard)'!$D$27*12,IF(D420=12,SUM(S409:S420),0),0)</f>
        <v>0</v>
      </c>
      <c r="U420" s="3">
        <f>IF(B420&lt;='Input sheet(dashboard)'!$D$27*12,IF(S420&lt;AD420,AD420-S420,0),0)</f>
        <v>101348.22106005791</v>
      </c>
      <c r="V420" s="3">
        <f>IF(B420&lt;='Input sheet(dashboard)'!$D$27*12,V419*(1+'Input sheet(dashboard)'!$E$25)+U420,0)</f>
        <v>7010954.0376071027</v>
      </c>
      <c r="W420" s="17">
        <f>IF(B420&lt;='Input sheet(dashboard)'!$D$27*12,J420-I420+V420-N420,0)</f>
        <v>55336835.262183964</v>
      </c>
      <c r="X420" s="3">
        <f>IF(B420&lt;='Input sheet(dashboard)'!$D$27*12,'Input sheet(dashboard)'!$D$17*(1+'Input sheet(dashboard)'!$E$23)^(B420-1),0)</f>
        <v>140587.25923150074</v>
      </c>
      <c r="Y420" s="3"/>
      <c r="Z420" s="18"/>
      <c r="AA420" s="18"/>
      <c r="AB420" s="3">
        <f>IF(B420=1,'Input sheet(dashboard)'!$D$18*Calculations!X420,IF(Calculations!B420=12*'Input sheet(dashboard)'!$D$27,'Input sheet(dashboard)'!$D$18*-Calculations!X420,0))</f>
        <v>0</v>
      </c>
      <c r="AC420" s="3">
        <f>IF(B420&lt;='Input sheet(dashboard)'!$D$27*12,IF(MOD(B419,'Input sheet(dashboard)'!$D$19*12),0,'Input sheet(dashboard)'!$D$20*(1+'Input sheet(dashboard)'!$E$22)^Calculations!B420),0)</f>
        <v>18868.801223483752</v>
      </c>
      <c r="AD420" s="17">
        <f t="shared" si="57"/>
        <v>159456.06045498449</v>
      </c>
      <c r="AE420" s="17">
        <f>IF(B420&lt;='Input sheet(dashboard)'!$D$27*12,IF(D420=12,SUM(AD409:AD420),0),0)</f>
        <v>0</v>
      </c>
      <c r="AF420" s="17">
        <f t="shared" si="58"/>
        <v>-101348.22106005791</v>
      </c>
      <c r="AG420" s="17">
        <f t="shared" si="59"/>
        <v>0</v>
      </c>
      <c r="AH420" s="3">
        <f>IF(B420&lt;='Input sheet(dashboard)'!$D$27*12,AH419*(1+'Input sheet(dashboard)'!$E$25)+AG420," ")</f>
        <v>49414056.860220022</v>
      </c>
    </row>
    <row r="421" spans="2:34">
      <c r="B421">
        <f t="shared" si="54"/>
        <v>418</v>
      </c>
      <c r="C421">
        <f t="shared" si="61"/>
        <v>35</v>
      </c>
      <c r="D421">
        <f t="shared" si="62"/>
        <v>10</v>
      </c>
      <c r="E421" s="15">
        <f>IF(C421&lt;='Input sheet(dashboard)'!$D$6, -PMT('Input sheet(dashboard)'!$E$5,'Input sheet(dashboard)'!$D$6*12,'Input sheet(dashboard)'!$D$3*'Input sheet(dashboard)'!$D$4),0)</f>
        <v>0</v>
      </c>
      <c r="F421" s="3">
        <f>I420*'Input sheet(dashboard)'!$E$5</f>
        <v>9.2935490573669444E-12</v>
      </c>
      <c r="G421" s="3">
        <f>IF(C421&lt;='Input sheet(dashboard)'!$D$6,E421*'Input sheet(dashboard)'!$D$7,0)</f>
        <v>0</v>
      </c>
      <c r="H421" s="3">
        <f t="shared" si="55"/>
        <v>-9.2935490573669444E-12</v>
      </c>
      <c r="I421" s="3">
        <f t="shared" si="56"/>
        <v>2.5605118555869024E-9</v>
      </c>
      <c r="J421" s="3">
        <f>IF(B421&lt;='Input sheet(dashboard)'!$D$27*12,'Input sheet(dashboard)'!$D$3*(1+'Input sheet(dashboard)'!$E$24)^B421,0)</f>
        <v>48522766.846639685</v>
      </c>
      <c r="K421" s="3">
        <f>IF(B421&lt;='Input sheet(dashboard)'!$D$27*12,J421*'Input sheet(dashboard)'!$E$8,0)</f>
        <v>50257.26238354465</v>
      </c>
      <c r="L421" s="3">
        <f>IF(B421&lt;='Input sheet(dashboard)'!$D$27*12,'Input sheet(dashboard)'!$D$9*(1+'Input sheet(dashboard)'!$E$22)^B421,0)</f>
        <v>7090.3754492296275</v>
      </c>
      <c r="M421" s="3">
        <f>IF(B421=1,'Input sheet(dashboard)'!$D$3*'Input sheet(dashboard)'!$D$10,0)</f>
        <v>0</v>
      </c>
      <c r="N421" s="3">
        <f>IF(B421='Input sheet(dashboard)'!$D$27*12,J421*'Input sheet(dashboard)'!$D$11,0)</f>
        <v>0</v>
      </c>
      <c r="O421" s="3">
        <f>IF(SUM(F421:F432)&gt;=150000,150000/12*'Input sheet(dashboard)'!$D$28,SUM(F421:F432)/12*'Input sheet(dashboard)'!$D$28)</f>
        <v>1.422304205890224E-12</v>
      </c>
      <c r="P421" s="3">
        <f t="shared" si="60"/>
        <v>0</v>
      </c>
      <c r="Q421" s="3">
        <f>IF(B421&lt;='Input sheet(dashboard)'!$D$27*12,'Input sheet(dashboard)'!$D$12/12,0)</f>
        <v>192.5</v>
      </c>
      <c r="R421" s="3">
        <f>IF(B421&lt;='Input sheet(dashboard)'!$D$27*12,('Input sheet(dashboard)'!$D$15/12)*(1+'Input sheet(dashboard)'!$E$22)^Calculations!B421,0)</f>
        <v>787.81949435884746</v>
      </c>
      <c r="S421" s="3">
        <f>IF(B421&lt;='Input sheet(dashboard)'!$D$27*12,(E421+G421+K421+L421-O421+M421+Q421+R421),0)</f>
        <v>58327.957327133125</v>
      </c>
      <c r="T421" s="3">
        <f>IF(B421&lt;='Input sheet(dashboard)'!$D$27*12,IF(D421=12,SUM(S410:S421),0),0)</f>
        <v>0</v>
      </c>
      <c r="U421" s="3">
        <f>IF(B421&lt;='Input sheet(dashboard)'!$D$27*12,IF(S421&lt;AD421,AD421-S421,0),0)</f>
        <v>82832.0718008806</v>
      </c>
      <c r="V421" s="3">
        <f>IF(B421&lt;='Input sheet(dashboard)'!$D$27*12,V420*(1+'Input sheet(dashboard)'!$E$25)+U421,0)</f>
        <v>7138894.7987857983</v>
      </c>
      <c r="W421" s="17">
        <f>IF(B421&lt;='Input sheet(dashboard)'!$D$27*12,J421-I421+V421-N421,0)</f>
        <v>55661661.645425484</v>
      </c>
      <c r="X421" s="3">
        <f>IF(B421&lt;='Input sheet(dashboard)'!$D$27*12,'Input sheet(dashboard)'!$D$17*(1+'Input sheet(dashboard)'!$E$23)^(B421-1),0)</f>
        <v>141160.02912801373</v>
      </c>
      <c r="Y421" s="3"/>
      <c r="Z421" s="18"/>
      <c r="AA421" s="18"/>
      <c r="AB421" s="3">
        <f>IF(B421=1,'Input sheet(dashboard)'!$D$18*Calculations!X421,IF(Calculations!B421=12*'Input sheet(dashboard)'!$D$27,'Input sheet(dashboard)'!$D$18*-Calculations!X421,0))</f>
        <v>0</v>
      </c>
      <c r="AC421" s="3">
        <f>IF(B421&lt;='Input sheet(dashboard)'!$D$27*12,IF(MOD(B420,'Input sheet(dashboard)'!$D$19*12),0,'Input sheet(dashboard)'!$D$20*(1+'Input sheet(dashboard)'!$E$22)^Calculations!B421),0)</f>
        <v>0</v>
      </c>
      <c r="AD421" s="17">
        <f t="shared" si="57"/>
        <v>141160.02912801373</v>
      </c>
      <c r="AE421" s="17">
        <f>IF(B421&lt;='Input sheet(dashboard)'!$D$27*12,IF(D421=12,SUM(AD410:AD421),0),0)</f>
        <v>0</v>
      </c>
      <c r="AF421" s="17">
        <f t="shared" si="58"/>
        <v>-82832.0718008806</v>
      </c>
      <c r="AG421" s="17">
        <f t="shared" si="59"/>
        <v>0</v>
      </c>
      <c r="AH421" s="3">
        <f>IF(B421&lt;='Input sheet(dashboard)'!$D$27*12,AH420*(1+'Input sheet(dashboard)'!$E$25)+AG421," ")</f>
        <v>49731988.3899161</v>
      </c>
    </row>
    <row r="422" spans="2:34">
      <c r="B422">
        <f t="shared" si="54"/>
        <v>419</v>
      </c>
      <c r="C422">
        <f t="shared" si="61"/>
        <v>35</v>
      </c>
      <c r="D422">
        <f t="shared" si="62"/>
        <v>11</v>
      </c>
      <c r="E422" s="15">
        <f>IF(C422&lt;='Input sheet(dashboard)'!$D$6, -PMT('Input sheet(dashboard)'!$E$5,'Input sheet(dashboard)'!$D$6*12,'Input sheet(dashboard)'!$D$3*'Input sheet(dashboard)'!$D$4),0)</f>
        <v>0</v>
      </c>
      <c r="F422" s="3">
        <f>I421*'Input sheet(dashboard)'!$E$5</f>
        <v>9.3274034922699201E-12</v>
      </c>
      <c r="G422" s="3">
        <f>IF(C422&lt;='Input sheet(dashboard)'!$D$6,E422*'Input sheet(dashboard)'!$D$7,0)</f>
        <v>0</v>
      </c>
      <c r="H422" s="3">
        <f t="shared" si="55"/>
        <v>-9.3274034922699201E-12</v>
      </c>
      <c r="I422" s="3">
        <f t="shared" si="56"/>
        <v>2.5698392590791725E-9</v>
      </c>
      <c r="J422" s="3">
        <f>IF(B422&lt;='Input sheet(dashboard)'!$D$27*12,'Input sheet(dashboard)'!$D$3*(1+'Input sheet(dashboard)'!$E$24)^B422,0)</f>
        <v>48720454.605098002</v>
      </c>
      <c r="K422" s="3">
        <f>IF(B422&lt;='Input sheet(dashboard)'!$D$27*12,J422*'Input sheet(dashboard)'!$E$8,0)</f>
        <v>50462.016691522505</v>
      </c>
      <c r="L422" s="3">
        <f>IF(B422&lt;='Input sheet(dashboard)'!$D$27*12,'Input sheet(dashboard)'!$D$9*(1+'Input sheet(dashboard)'!$E$22)^B422,0)</f>
        <v>7104.9804617467526</v>
      </c>
      <c r="M422" s="3">
        <f>IF(B422=1,'Input sheet(dashboard)'!$D$3*'Input sheet(dashboard)'!$D$10,0)</f>
        <v>0</v>
      </c>
      <c r="N422" s="3">
        <f>IF(B422='Input sheet(dashboard)'!$D$27*12,J422*'Input sheet(dashboard)'!$D$11,0)</f>
        <v>0</v>
      </c>
      <c r="O422" s="3">
        <f>IF(SUM(F422:F433)&gt;=150000,150000/12*'Input sheet(dashboard)'!$D$28,SUM(F422:F433)/12*'Input sheet(dashboard)'!$D$28)</f>
        <v>1.4274853594897059E-12</v>
      </c>
      <c r="P422" s="3">
        <f t="shared" si="60"/>
        <v>0</v>
      </c>
      <c r="Q422" s="3">
        <f>IF(B422&lt;='Input sheet(dashboard)'!$D$27*12,'Input sheet(dashboard)'!$D$12/12,0)</f>
        <v>192.5</v>
      </c>
      <c r="R422" s="3">
        <f>IF(B422&lt;='Input sheet(dashboard)'!$D$27*12,('Input sheet(dashboard)'!$D$15/12)*(1+'Input sheet(dashboard)'!$E$22)^Calculations!B422,0)</f>
        <v>789.44227352741689</v>
      </c>
      <c r="S422" s="3">
        <f>IF(B422&lt;='Input sheet(dashboard)'!$D$27*12,(E422+G422+K422+L422-O422+M422+Q422+R422),0)</f>
        <v>58548.939426796678</v>
      </c>
      <c r="T422" s="3">
        <f>IF(B422&lt;='Input sheet(dashboard)'!$D$27*12,IF(D422=12,SUM(S411:S422),0),0)</f>
        <v>0</v>
      </c>
      <c r="U422" s="3">
        <f>IF(B422&lt;='Input sheet(dashboard)'!$D$27*12,IF(S422&lt;AD422,AD422-S422,0),0)</f>
        <v>83186.193133188004</v>
      </c>
      <c r="V422" s="3">
        <f>IF(B422&lt;='Input sheet(dashboard)'!$D$27*12,V421*(1+'Input sheet(dashboard)'!$E$25)+U422,0)</f>
        <v>7268012.8560065217</v>
      </c>
      <c r="W422" s="17">
        <f>IF(B422&lt;='Input sheet(dashboard)'!$D$27*12,J422-I422+V422-N422,0)</f>
        <v>55988467.461104527</v>
      </c>
      <c r="X422" s="3">
        <f>IF(B422&lt;='Input sheet(dashboard)'!$D$27*12,'Input sheet(dashboard)'!$D$17*(1+'Input sheet(dashboard)'!$E$23)^(B422-1),0)</f>
        <v>141735.13255998469</v>
      </c>
      <c r="Y422" s="3"/>
      <c r="Z422" s="18"/>
      <c r="AA422" s="18"/>
      <c r="AB422" s="3">
        <f>IF(B422=1,'Input sheet(dashboard)'!$D$18*Calculations!X422,IF(Calculations!B422=12*'Input sheet(dashboard)'!$D$27,'Input sheet(dashboard)'!$D$18*-Calculations!X422,0))</f>
        <v>0</v>
      </c>
      <c r="AC422" s="3">
        <f>IF(B422&lt;='Input sheet(dashboard)'!$D$27*12,IF(MOD(B421,'Input sheet(dashboard)'!$D$19*12),0,'Input sheet(dashboard)'!$D$20*(1+'Input sheet(dashboard)'!$E$22)^Calculations!B422),0)</f>
        <v>0</v>
      </c>
      <c r="AD422" s="17">
        <f t="shared" si="57"/>
        <v>141735.13255998469</v>
      </c>
      <c r="AE422" s="17">
        <f>IF(B422&lt;='Input sheet(dashboard)'!$D$27*12,IF(D422=12,SUM(AD411:AD422),0),0)</f>
        <v>0</v>
      </c>
      <c r="AF422" s="17">
        <f t="shared" si="58"/>
        <v>-83186.193133188004</v>
      </c>
      <c r="AG422" s="17">
        <f t="shared" si="59"/>
        <v>0</v>
      </c>
      <c r="AH422" s="3">
        <f>IF(B422&lt;='Input sheet(dashboard)'!$D$27*12,AH421*(1+'Input sheet(dashboard)'!$E$25)+AG422," ")</f>
        <v>50051965.500647157</v>
      </c>
    </row>
    <row r="423" spans="2:34">
      <c r="B423">
        <f t="shared" si="54"/>
        <v>420</v>
      </c>
      <c r="C423">
        <f t="shared" si="61"/>
        <v>35</v>
      </c>
      <c r="D423">
        <f t="shared" si="62"/>
        <v>12</v>
      </c>
      <c r="E423" s="15">
        <f>IF(C423&lt;='Input sheet(dashboard)'!$D$6, -PMT('Input sheet(dashboard)'!$E$5,'Input sheet(dashboard)'!$D$6*12,'Input sheet(dashboard)'!$D$3*'Input sheet(dashboard)'!$D$4),0)</f>
        <v>0</v>
      </c>
      <c r="F423" s="3">
        <f>I422*'Input sheet(dashboard)'!$E$5</f>
        <v>9.3613812517236729E-12</v>
      </c>
      <c r="G423" s="3">
        <f>IF(C423&lt;='Input sheet(dashboard)'!$D$6,E423*'Input sheet(dashboard)'!$D$7,0)</f>
        <v>0</v>
      </c>
      <c r="H423" s="3">
        <f t="shared" si="55"/>
        <v>-9.3613812517236729E-12</v>
      </c>
      <c r="I423" s="3">
        <f t="shared" si="56"/>
        <v>2.5792006403308961E-9</v>
      </c>
      <c r="J423" s="3">
        <f>IF(B423&lt;='Input sheet(dashboard)'!$D$27*12,'Input sheet(dashboard)'!$D$3*(1+'Input sheet(dashboard)'!$E$24)^B423,0)</f>
        <v>48918947.767954789</v>
      </c>
      <c r="K423" s="3">
        <f>IF(B423&lt;='Input sheet(dashboard)'!$D$27*12,J423*'Input sheet(dashboard)'!$E$8,0)</f>
        <v>50667.605193896292</v>
      </c>
      <c r="L423" s="3">
        <f>IF(B423&lt;='Input sheet(dashboard)'!$D$27*12,'Input sheet(dashboard)'!$D$9*(1+'Input sheet(dashboard)'!$E$22)^B423,0)</f>
        <v>7119.6155581983821</v>
      </c>
      <c r="M423" s="3">
        <f>IF(B423=1,'Input sheet(dashboard)'!$D$3*'Input sheet(dashboard)'!$D$10,0)</f>
        <v>0</v>
      </c>
      <c r="N423" s="3">
        <f>IF(B423='Input sheet(dashboard)'!$D$27*12,J423*'Input sheet(dashboard)'!$D$11,0)</f>
        <v>0</v>
      </c>
      <c r="O423" s="3">
        <f>IF(SUM(F423:F434)&gt;=150000,150000/12*'Input sheet(dashboard)'!$D$28,SUM(F423:F434)/12*'Input sheet(dashboard)'!$D$28)</f>
        <v>1.4326853869366468E-12</v>
      </c>
      <c r="P423" s="3">
        <f t="shared" si="60"/>
        <v>1.7927465519233468E-11</v>
      </c>
      <c r="Q423" s="3">
        <f>IF(B423&lt;='Input sheet(dashboard)'!$D$27*12,'Input sheet(dashboard)'!$D$12/12,0)</f>
        <v>192.5</v>
      </c>
      <c r="R423" s="3">
        <f>IF(B423&lt;='Input sheet(dashboard)'!$D$27*12,('Input sheet(dashboard)'!$D$15/12)*(1+'Input sheet(dashboard)'!$E$22)^Calculations!B423,0)</f>
        <v>791.06839535537574</v>
      </c>
      <c r="S423" s="3">
        <f>IF(B423&lt;='Input sheet(dashboard)'!$D$27*12,(E423+G423+K423+L423-O423+M423+Q423+R423),0)</f>
        <v>58770.78914745005</v>
      </c>
      <c r="T423" s="3">
        <f>IF(B423&lt;='Input sheet(dashboard)'!$D$27*12,IF(D423=12,SUM(S412:S423),0),0)</f>
        <v>690796.56626308174</v>
      </c>
      <c r="U423" s="3">
        <f>IF(B423&lt;='Input sheet(dashboard)'!$D$27*12,IF(S423&lt;AD423,AD423-S423,0),0)</f>
        <v>83541.789887075822</v>
      </c>
      <c r="V423" s="3">
        <f>IF(B423&lt;='Input sheet(dashboard)'!$D$27*12,V422*(1+'Input sheet(dashboard)'!$E$25)+U423,0)</f>
        <v>7398317.2594490359</v>
      </c>
      <c r="W423" s="17">
        <f>IF(B423&lt;='Input sheet(dashboard)'!$D$27*12,J423-I423+V423-N423,0)</f>
        <v>56317265.027403824</v>
      </c>
      <c r="X423" s="3">
        <f>IF(B423&lt;='Input sheet(dashboard)'!$D$27*12,'Input sheet(dashboard)'!$D$17*(1+'Input sheet(dashboard)'!$E$23)^(B423-1),0)</f>
        <v>142312.57903452587</v>
      </c>
      <c r="Y423" s="3"/>
      <c r="Z423" s="18"/>
      <c r="AA423" s="18"/>
      <c r="AB423" s="3">
        <f>IF(B423=1,'Input sheet(dashboard)'!$D$18*Calculations!X423,IF(Calculations!B423=12*'Input sheet(dashboard)'!$D$27,'Input sheet(dashboard)'!$D$18*-Calculations!X423,0))</f>
        <v>0</v>
      </c>
      <c r="AC423" s="3">
        <f>IF(B423&lt;='Input sheet(dashboard)'!$D$27*12,IF(MOD(B422,'Input sheet(dashboard)'!$D$19*12),0,'Input sheet(dashboard)'!$D$20*(1+'Input sheet(dashboard)'!$E$22)^Calculations!B423),0)</f>
        <v>0</v>
      </c>
      <c r="AD423" s="17">
        <f t="shared" si="57"/>
        <v>142312.57903452587</v>
      </c>
      <c r="AE423" s="17">
        <f>IF(B423&lt;='Input sheet(dashboard)'!$D$27*12,IF(D423=12,SUM(AD412:AD423),0),0)</f>
        <v>1689019.0760709925</v>
      </c>
      <c r="AF423" s="17">
        <f t="shared" si="58"/>
        <v>-83541.789887075822</v>
      </c>
      <c r="AG423" s="17">
        <f t="shared" si="59"/>
        <v>0</v>
      </c>
      <c r="AH423" s="3">
        <f>IF(B423&lt;='Input sheet(dashboard)'!$D$27*12,AH422*(1+'Input sheet(dashboard)'!$E$25)+AG423," ")</f>
        <v>50374001.353743173</v>
      </c>
    </row>
    <row r="424" spans="2:34">
      <c r="B424">
        <f t="shared" si="54"/>
        <v>421</v>
      </c>
      <c r="C424">
        <f t="shared" si="61"/>
        <v>36</v>
      </c>
      <c r="D424">
        <f t="shared" si="62"/>
        <v>1</v>
      </c>
      <c r="E424" s="15">
        <f>IF(C424&lt;='Input sheet(dashboard)'!$D$6, -PMT('Input sheet(dashboard)'!$E$5,'Input sheet(dashboard)'!$D$6*12,'Input sheet(dashboard)'!$D$3*'Input sheet(dashboard)'!$D$4),0)</f>
        <v>0</v>
      </c>
      <c r="F424" s="3">
        <f>I423*'Input sheet(dashboard)'!$E$5</f>
        <v>9.3954827849734704E-12</v>
      </c>
      <c r="G424" s="3">
        <f>IF(C424&lt;='Input sheet(dashboard)'!$D$6,E424*'Input sheet(dashboard)'!$D$7,0)</f>
        <v>0</v>
      </c>
      <c r="H424" s="3">
        <f t="shared" si="55"/>
        <v>-9.3954827849734704E-12</v>
      </c>
      <c r="I424" s="3">
        <f t="shared" si="56"/>
        <v>2.5885961231158694E-9</v>
      </c>
      <c r="J424" s="3">
        <f>IF(B424&lt;='Input sheet(dashboard)'!$D$27*12,'Input sheet(dashboard)'!$D$3*(1+'Input sheet(dashboard)'!$E$24)^B424,0)</f>
        <v>49118249.616527259</v>
      </c>
      <c r="K424" s="3">
        <f>IF(B424&lt;='Input sheet(dashboard)'!$D$27*12,J424*'Input sheet(dashboard)'!$E$8,0)</f>
        <v>50874.031289277242</v>
      </c>
      <c r="L424" s="3">
        <f>IF(B424&lt;='Input sheet(dashboard)'!$D$27*12,'Input sheet(dashboard)'!$D$9*(1+'Input sheet(dashboard)'!$E$22)^B424,0)</f>
        <v>7134.2808005524976</v>
      </c>
      <c r="M424" s="3">
        <f>IF(B424=1,'Input sheet(dashboard)'!$D$3*'Input sheet(dashboard)'!$D$10,0)</f>
        <v>0</v>
      </c>
      <c r="N424" s="3">
        <f>IF(B424='Input sheet(dashboard)'!$D$27*12,J424*'Input sheet(dashboard)'!$D$11,0)</f>
        <v>0</v>
      </c>
      <c r="O424" s="3">
        <f>IF(SUM(F424:F435)&gt;=150000,150000/12*'Input sheet(dashboard)'!$D$28,SUM(F424:F435)/12*'Input sheet(dashboard)'!$D$28)</f>
        <v>1.4379043569844823E-12</v>
      </c>
      <c r="P424" s="3">
        <f t="shared" si="60"/>
        <v>0</v>
      </c>
      <c r="Q424" s="3">
        <f>IF(B424&lt;='Input sheet(dashboard)'!$D$27*12,'Input sheet(dashboard)'!$D$12/12,0)</f>
        <v>192.5</v>
      </c>
      <c r="R424" s="3">
        <f>IF(B424&lt;='Input sheet(dashboard)'!$D$27*12,('Input sheet(dashboard)'!$D$15/12)*(1+'Input sheet(dashboard)'!$E$22)^Calculations!B424,0)</f>
        <v>792.69786672805515</v>
      </c>
      <c r="S424" s="3">
        <f>IF(B424&lt;='Input sheet(dashboard)'!$D$27*12,(E424+G424+K424+L424-O424+M424+Q424+R424),0)</f>
        <v>58993.509956557798</v>
      </c>
      <c r="T424" s="3">
        <f>IF(B424&lt;='Input sheet(dashboard)'!$D$27*12,IF(D424=12,SUM(S413:S424),0),0)</f>
        <v>0</v>
      </c>
      <c r="U424" s="3">
        <f>IF(B424&lt;='Input sheet(dashboard)'!$D$27*12,IF(S424&lt;AD424,AD424-S424,0),0)</f>
        <v>83898.868140924955</v>
      </c>
      <c r="V424" s="3">
        <f>IF(B424&lt;='Input sheet(dashboard)'!$D$27*12,V423*(1+'Input sheet(dashboard)'!$E$25)+U424,0)</f>
        <v>7529817.1236006133</v>
      </c>
      <c r="W424" s="17">
        <f>IF(B424&lt;='Input sheet(dashboard)'!$D$27*12,J424-I424+V424-N424,0)</f>
        <v>56648066.740127876</v>
      </c>
      <c r="X424" s="3">
        <f>IF(B424&lt;='Input sheet(dashboard)'!$D$27*12,'Input sheet(dashboard)'!$D$17*(1+'Input sheet(dashboard)'!$E$23)^(B424-1),0)</f>
        <v>142892.37809748275</v>
      </c>
      <c r="Y424" s="3"/>
      <c r="Z424" s="18"/>
      <c r="AA424" s="18"/>
      <c r="AB424" s="3">
        <f>IF(B424=1,'Input sheet(dashboard)'!$D$18*Calculations!X424,IF(Calculations!B424=12*'Input sheet(dashboard)'!$D$27,'Input sheet(dashboard)'!$D$18*-Calculations!X424,0))</f>
        <v>0</v>
      </c>
      <c r="AC424" s="3">
        <f>IF(B424&lt;='Input sheet(dashboard)'!$D$27*12,IF(MOD(B423,'Input sheet(dashboard)'!$D$19*12),0,'Input sheet(dashboard)'!$D$20*(1+'Input sheet(dashboard)'!$E$22)^Calculations!B424),0)</f>
        <v>0</v>
      </c>
      <c r="AD424" s="17">
        <f t="shared" si="57"/>
        <v>142892.37809748275</v>
      </c>
      <c r="AE424" s="17">
        <f>IF(B424&lt;='Input sheet(dashboard)'!$D$27*12,IF(D424=12,SUM(AD413:AD424),0),0)</f>
        <v>0</v>
      </c>
      <c r="AF424" s="17">
        <f t="shared" si="58"/>
        <v>-83898.868140924955</v>
      </c>
      <c r="AG424" s="17">
        <f t="shared" si="59"/>
        <v>0</v>
      </c>
      <c r="AH424" s="3">
        <f>IF(B424&lt;='Input sheet(dashboard)'!$D$27*12,AH423*(1+'Input sheet(dashboard)'!$E$25)+AG424," ")</f>
        <v>50698109.19521451</v>
      </c>
    </row>
    <row r="425" spans="2:34">
      <c r="B425">
        <f t="shared" si="54"/>
        <v>422</v>
      </c>
      <c r="C425">
        <f t="shared" si="61"/>
        <v>36</v>
      </c>
      <c r="D425">
        <f t="shared" si="62"/>
        <v>2</v>
      </c>
      <c r="E425" s="15">
        <f>IF(C425&lt;='Input sheet(dashboard)'!$D$6, -PMT('Input sheet(dashboard)'!$E$5,'Input sheet(dashboard)'!$D$6*12,'Input sheet(dashboard)'!$D$3*'Input sheet(dashboard)'!$D$4),0)</f>
        <v>0</v>
      </c>
      <c r="F425" s="3">
        <f>I424*'Input sheet(dashboard)'!$E$5</f>
        <v>9.4297085429010905E-12</v>
      </c>
      <c r="G425" s="3">
        <f>IF(C425&lt;='Input sheet(dashboard)'!$D$6,E425*'Input sheet(dashboard)'!$D$7,0)</f>
        <v>0</v>
      </c>
      <c r="H425" s="3">
        <f t="shared" si="55"/>
        <v>-9.4297085429010905E-12</v>
      </c>
      <c r="I425" s="3">
        <f t="shared" si="56"/>
        <v>2.5980258316587707E-9</v>
      </c>
      <c r="J425" s="3">
        <f>IF(B425&lt;='Input sheet(dashboard)'!$D$27*12,'Input sheet(dashboard)'!$D$3*(1+'Input sheet(dashboard)'!$E$24)^B425,0)</f>
        <v>49318363.445501134</v>
      </c>
      <c r="K425" s="3">
        <f>IF(B425&lt;='Input sheet(dashboard)'!$D$27*12,J425*'Input sheet(dashboard)'!$E$8,0)</f>
        <v>51081.298390122967</v>
      </c>
      <c r="L425" s="3">
        <f>IF(B425&lt;='Input sheet(dashboard)'!$D$27*12,'Input sheet(dashboard)'!$D$9*(1+'Input sheet(dashboard)'!$E$22)^B425,0)</f>
        <v>7148.9762509047159</v>
      </c>
      <c r="M425" s="3">
        <f>IF(B425=1,'Input sheet(dashboard)'!$D$3*'Input sheet(dashboard)'!$D$10,0)</f>
        <v>0</v>
      </c>
      <c r="N425" s="3">
        <f>IF(B425='Input sheet(dashboard)'!$D$27*12,J425*'Input sheet(dashboard)'!$D$11,0)</f>
        <v>0</v>
      </c>
      <c r="O425" s="3">
        <f>IF(SUM(F425:F436)&gt;=150000,150000/12*'Input sheet(dashboard)'!$D$28,SUM(F425:F436)/12*'Input sheet(dashboard)'!$D$28)</f>
        <v>1.4431423386371051E-12</v>
      </c>
      <c r="P425" s="3">
        <f t="shared" si="60"/>
        <v>0</v>
      </c>
      <c r="Q425" s="3">
        <f>IF(B425&lt;='Input sheet(dashboard)'!$D$27*12,'Input sheet(dashboard)'!$D$12/12,0)</f>
        <v>192.5</v>
      </c>
      <c r="R425" s="3">
        <f>IF(B425&lt;='Input sheet(dashboard)'!$D$27*12,('Input sheet(dashboard)'!$D$15/12)*(1+'Input sheet(dashboard)'!$E$22)^Calculations!B425,0)</f>
        <v>794.33069454496842</v>
      </c>
      <c r="S425" s="3">
        <f>IF(B425&lt;='Input sheet(dashboard)'!$D$27*12,(E425+G425+K425+L425-O425+M425+Q425+R425),0)</f>
        <v>59217.105335572647</v>
      </c>
      <c r="T425" s="3">
        <f>IF(B425&lt;='Input sheet(dashboard)'!$D$27*12,IF(D425=12,SUM(S414:S425),0),0)</f>
        <v>0</v>
      </c>
      <c r="U425" s="3">
        <f>IF(B425&lt;='Input sheet(dashboard)'!$D$27*12,IF(S425&lt;AD425,AD425-S425,0),0)</f>
        <v>84257.433998019114</v>
      </c>
      <c r="V425" s="3">
        <f>IF(B425&lt;='Input sheet(dashboard)'!$D$27*12,V424*(1+'Input sheet(dashboard)'!$E$25)+U425,0)</f>
        <v>7662521.627694699</v>
      </c>
      <c r="W425" s="17">
        <f>IF(B425&lt;='Input sheet(dashboard)'!$D$27*12,J425-I425+V425-N425,0)</f>
        <v>56980885.07319583</v>
      </c>
      <c r="X425" s="3">
        <f>IF(B425&lt;='Input sheet(dashboard)'!$D$27*12,'Input sheet(dashboard)'!$D$17*(1+'Input sheet(dashboard)'!$E$23)^(B425-1),0)</f>
        <v>143474.53933359176</v>
      </c>
      <c r="Y425" s="3"/>
      <c r="Z425" s="18"/>
      <c r="AA425" s="18"/>
      <c r="AB425" s="3">
        <f>IF(B425=1,'Input sheet(dashboard)'!$D$18*Calculations!X425,IF(Calculations!B425=12*'Input sheet(dashboard)'!$D$27,'Input sheet(dashboard)'!$D$18*-Calculations!X425,0))</f>
        <v>0</v>
      </c>
      <c r="AC425" s="3">
        <f>IF(B425&lt;='Input sheet(dashboard)'!$D$27*12,IF(MOD(B424,'Input sheet(dashboard)'!$D$19*12),0,'Input sheet(dashboard)'!$D$20*(1+'Input sheet(dashboard)'!$E$22)^Calculations!B425),0)</f>
        <v>0</v>
      </c>
      <c r="AD425" s="17">
        <f t="shared" si="57"/>
        <v>143474.53933359176</v>
      </c>
      <c r="AE425" s="17">
        <f>IF(B425&lt;='Input sheet(dashboard)'!$D$27*12,IF(D425=12,SUM(AD414:AD425),0),0)</f>
        <v>0</v>
      </c>
      <c r="AF425" s="17">
        <f t="shared" si="58"/>
        <v>-84257.433998019114</v>
      </c>
      <c r="AG425" s="17">
        <f t="shared" si="59"/>
        <v>0</v>
      </c>
      <c r="AH425" s="3">
        <f>IF(B425&lt;='Input sheet(dashboard)'!$D$27*12,AH424*(1+'Input sheet(dashboard)'!$E$25)+AG425," ")</f>
        <v>51024302.356296763</v>
      </c>
    </row>
    <row r="426" spans="2:34">
      <c r="B426">
        <f t="shared" si="54"/>
        <v>423</v>
      </c>
      <c r="C426">
        <f t="shared" si="61"/>
        <v>36</v>
      </c>
      <c r="D426">
        <f t="shared" si="62"/>
        <v>3</v>
      </c>
      <c r="E426" s="15">
        <f>IF(C426&lt;='Input sheet(dashboard)'!$D$6, -PMT('Input sheet(dashboard)'!$E$5,'Input sheet(dashboard)'!$D$6*12,'Input sheet(dashboard)'!$D$3*'Input sheet(dashboard)'!$D$4),0)</f>
        <v>0</v>
      </c>
      <c r="F426" s="3">
        <f>I425*'Input sheet(dashboard)'!$E$5</f>
        <v>9.4640589780307835E-12</v>
      </c>
      <c r="G426" s="3">
        <f>IF(C426&lt;='Input sheet(dashboard)'!$D$6,E426*'Input sheet(dashboard)'!$D$7,0)</f>
        <v>0</v>
      </c>
      <c r="H426" s="3">
        <f t="shared" si="55"/>
        <v>-9.4640589780307835E-12</v>
      </c>
      <c r="I426" s="3">
        <f t="shared" si="56"/>
        <v>2.6074898906368015E-9</v>
      </c>
      <c r="J426" s="3">
        <f>IF(B426&lt;='Input sheet(dashboard)'!$D$27*12,'Input sheet(dashboard)'!$D$3*(1+'Input sheet(dashboard)'!$E$24)^B426,0)</f>
        <v>49519292.56298507</v>
      </c>
      <c r="K426" s="3">
        <f>IF(B426&lt;='Input sheet(dashboard)'!$D$27*12,J426*'Input sheet(dashboard)'!$E$8,0)</f>
        <v>51289.409922793806</v>
      </c>
      <c r="L426" s="3">
        <f>IF(B426&lt;='Input sheet(dashboard)'!$D$27*12,'Input sheet(dashboard)'!$D$9*(1+'Input sheet(dashboard)'!$E$22)^B426,0)</f>
        <v>7163.7019714785756</v>
      </c>
      <c r="M426" s="3">
        <f>IF(B426=1,'Input sheet(dashboard)'!$D$3*'Input sheet(dashboard)'!$D$10,0)</f>
        <v>0</v>
      </c>
      <c r="N426" s="3">
        <f>IF(B426='Input sheet(dashboard)'!$D$27*12,J426*'Input sheet(dashboard)'!$D$11,0)</f>
        <v>0</v>
      </c>
      <c r="O426" s="3">
        <f>IF(SUM(F426:F437)&gt;=150000,150000/12*'Input sheet(dashboard)'!$D$28,SUM(F426:F437)/12*'Input sheet(dashboard)'!$D$28)</f>
        <v>1.4483994011497728E-12</v>
      </c>
      <c r="P426" s="3">
        <f t="shared" si="60"/>
        <v>0</v>
      </c>
      <c r="Q426" s="3">
        <f>IF(B426&lt;='Input sheet(dashboard)'!$D$27*12,'Input sheet(dashboard)'!$D$12/12,0)</f>
        <v>192.5</v>
      </c>
      <c r="R426" s="3">
        <f>IF(B426&lt;='Input sheet(dashboard)'!$D$27*12,('Input sheet(dashboard)'!$D$15/12)*(1+'Input sheet(dashboard)'!$E$22)^Calculations!B426,0)</f>
        <v>795.96688571984168</v>
      </c>
      <c r="S426" s="3">
        <f>IF(B426&lt;='Input sheet(dashboard)'!$D$27*12,(E426+G426+K426+L426-O426+M426+Q426+R426),0)</f>
        <v>59441.578779992225</v>
      </c>
      <c r="T426" s="3">
        <f>IF(B426&lt;='Input sheet(dashboard)'!$D$27*12,IF(D426=12,SUM(S415:S426),0),0)</f>
        <v>0</v>
      </c>
      <c r="U426" s="3">
        <f>IF(B426&lt;='Input sheet(dashboard)'!$D$27*12,IF(S426&lt;AD426,AD426-S426,0),0)</f>
        <v>84617.493586646553</v>
      </c>
      <c r="V426" s="3">
        <f>IF(B426&lt;='Input sheet(dashboard)'!$D$27*12,V425*(1+'Input sheet(dashboard)'!$E$25)+U426,0)</f>
        <v>7796440.0161524853</v>
      </c>
      <c r="W426" s="17">
        <f>IF(B426&lt;='Input sheet(dashboard)'!$D$27*12,J426-I426+V426-N426,0)</f>
        <v>57315732.579137556</v>
      </c>
      <c r="X426" s="3">
        <f>IF(B426&lt;='Input sheet(dashboard)'!$D$27*12,'Input sheet(dashboard)'!$D$17*(1+'Input sheet(dashboard)'!$E$23)^(B426-1),0)</f>
        <v>144059.07236663878</v>
      </c>
      <c r="Y426" s="3"/>
      <c r="Z426" s="18"/>
      <c r="AA426" s="18"/>
      <c r="AB426" s="3">
        <f>IF(B426=1,'Input sheet(dashboard)'!$D$18*Calculations!X426,IF(Calculations!B426=12*'Input sheet(dashboard)'!$D$27,'Input sheet(dashboard)'!$D$18*-Calculations!X426,0))</f>
        <v>0</v>
      </c>
      <c r="AC426" s="3">
        <f>IF(B426&lt;='Input sheet(dashboard)'!$D$27*12,IF(MOD(B425,'Input sheet(dashboard)'!$D$19*12),0,'Input sheet(dashboard)'!$D$20*(1+'Input sheet(dashboard)'!$E$22)^Calculations!B426),0)</f>
        <v>0</v>
      </c>
      <c r="AD426" s="17">
        <f t="shared" si="57"/>
        <v>144059.07236663878</v>
      </c>
      <c r="AE426" s="17">
        <f>IF(B426&lt;='Input sheet(dashboard)'!$D$27*12,IF(D426=12,SUM(AD415:AD426),0),0)</f>
        <v>0</v>
      </c>
      <c r="AF426" s="17">
        <f t="shared" si="58"/>
        <v>-84617.493586646553</v>
      </c>
      <c r="AG426" s="17">
        <f t="shared" si="59"/>
        <v>0</v>
      </c>
      <c r="AH426" s="3">
        <f>IF(B426&lt;='Input sheet(dashboard)'!$D$27*12,AH425*(1+'Input sheet(dashboard)'!$E$25)+AG426," ")</f>
        <v>51352594.253999092</v>
      </c>
    </row>
    <row r="427" spans="2:34">
      <c r="B427">
        <f t="shared" si="54"/>
        <v>424</v>
      </c>
      <c r="C427">
        <f t="shared" si="61"/>
        <v>36</v>
      </c>
      <c r="D427">
        <f t="shared" si="62"/>
        <v>4</v>
      </c>
      <c r="E427" s="15">
        <f>IF(C427&lt;='Input sheet(dashboard)'!$D$6, -PMT('Input sheet(dashboard)'!$E$5,'Input sheet(dashboard)'!$D$6*12,'Input sheet(dashboard)'!$D$3*'Input sheet(dashboard)'!$D$4),0)</f>
        <v>0</v>
      </c>
      <c r="F427" s="3">
        <f>I426*'Input sheet(dashboard)'!$E$5</f>
        <v>9.4985345445352379E-12</v>
      </c>
      <c r="G427" s="3">
        <f>IF(C427&lt;='Input sheet(dashboard)'!$D$6,E427*'Input sheet(dashboard)'!$D$7,0)</f>
        <v>0</v>
      </c>
      <c r="H427" s="3">
        <f t="shared" si="55"/>
        <v>-9.4985345445352379E-12</v>
      </c>
      <c r="I427" s="3">
        <f t="shared" si="56"/>
        <v>2.6169884251813366E-9</v>
      </c>
      <c r="J427" s="3">
        <f>IF(B427&lt;='Input sheet(dashboard)'!$D$27*12,'Input sheet(dashboard)'!$D$3*(1+'Input sheet(dashboard)'!$E$24)^B427,0)</f>
        <v>49721040.290565372</v>
      </c>
      <c r="K427" s="3">
        <f>IF(B427&lt;='Input sheet(dashboard)'!$D$27*12,J427*'Input sheet(dashboard)'!$E$8,0)</f>
        <v>51498.369327609558</v>
      </c>
      <c r="L427" s="3">
        <f>IF(B427&lt;='Input sheet(dashboard)'!$D$27*12,'Input sheet(dashboard)'!$D$9*(1+'Input sheet(dashboard)'!$E$22)^B427,0)</f>
        <v>7178.4580246257701</v>
      </c>
      <c r="M427" s="3">
        <f>IF(B427=1,'Input sheet(dashboard)'!$D$3*'Input sheet(dashboard)'!$D$10,0)</f>
        <v>0</v>
      </c>
      <c r="N427" s="3">
        <f>IF(B427='Input sheet(dashboard)'!$D$27*12,J427*'Input sheet(dashboard)'!$D$11,0)</f>
        <v>0</v>
      </c>
      <c r="O427" s="3">
        <f>IF(SUM(F427:F438)&gt;=150000,150000/12*'Input sheet(dashboard)'!$D$28,SUM(F427:F438)/12*'Input sheet(dashboard)'!$D$28)</f>
        <v>1.4536756140300248E-12</v>
      </c>
      <c r="P427" s="3">
        <f t="shared" si="60"/>
        <v>0</v>
      </c>
      <c r="Q427" s="3">
        <f>IF(B427&lt;='Input sheet(dashboard)'!$D$27*12,'Input sheet(dashboard)'!$D$12/12,0)</f>
        <v>192.5</v>
      </c>
      <c r="R427" s="3">
        <f>IF(B427&lt;='Input sheet(dashboard)'!$D$27*12,('Input sheet(dashboard)'!$D$15/12)*(1+'Input sheet(dashboard)'!$E$22)^Calculations!B427,0)</f>
        <v>797.60644718064111</v>
      </c>
      <c r="S427" s="3">
        <f>IF(B427&lt;='Input sheet(dashboard)'!$D$27*12,(E427+G427+K427+L427-O427+M427+Q427+R427),0)</f>
        <v>59666.933799415965</v>
      </c>
      <c r="T427" s="3">
        <f>IF(B427&lt;='Input sheet(dashboard)'!$D$27*12,IF(D427=12,SUM(S416:S427),0),0)</f>
        <v>0</v>
      </c>
      <c r="U427" s="3">
        <f>IF(B427&lt;='Input sheet(dashboard)'!$D$27*12,IF(S427&lt;AD427,AD427-S427,0),0)</f>
        <v>84979.053060202044</v>
      </c>
      <c r="V427" s="3">
        <f>IF(B427&lt;='Input sheet(dashboard)'!$D$27*12,V426*(1+'Input sheet(dashboard)'!$E$25)+U427,0)</f>
        <v>7931581.5990274483</v>
      </c>
      <c r="W427" s="17">
        <f>IF(B427&lt;='Input sheet(dashboard)'!$D$27*12,J427-I427+V427-N427,0)</f>
        <v>57652621.889592819</v>
      </c>
      <c r="X427" s="3">
        <f>IF(B427&lt;='Input sheet(dashboard)'!$D$27*12,'Input sheet(dashboard)'!$D$17*(1+'Input sheet(dashboard)'!$E$23)^(B427-1),0)</f>
        <v>144645.98685961802</v>
      </c>
      <c r="Y427" s="3"/>
      <c r="Z427" s="18"/>
      <c r="AA427" s="18"/>
      <c r="AB427" s="3">
        <f>IF(B427=1,'Input sheet(dashboard)'!$D$18*Calculations!X427,IF(Calculations!B427=12*'Input sheet(dashboard)'!$D$27,'Input sheet(dashboard)'!$D$18*-Calculations!X427,0))</f>
        <v>0</v>
      </c>
      <c r="AC427" s="3">
        <f>IF(B427&lt;='Input sheet(dashboard)'!$D$27*12,IF(MOD(B426,'Input sheet(dashboard)'!$D$19*12),0,'Input sheet(dashboard)'!$D$20*(1+'Input sheet(dashboard)'!$E$22)^Calculations!B427),0)</f>
        <v>0</v>
      </c>
      <c r="AD427" s="17">
        <f t="shared" si="57"/>
        <v>144645.98685961802</v>
      </c>
      <c r="AE427" s="17">
        <f>IF(B427&lt;='Input sheet(dashboard)'!$D$27*12,IF(D427=12,SUM(AD416:AD427),0),0)</f>
        <v>0</v>
      </c>
      <c r="AF427" s="17">
        <f t="shared" si="58"/>
        <v>-84979.053060202044</v>
      </c>
      <c r="AG427" s="17">
        <f t="shared" si="59"/>
        <v>0</v>
      </c>
      <c r="AH427" s="3">
        <f>IF(B427&lt;='Input sheet(dashboard)'!$D$27*12,AH426*(1+'Input sheet(dashboard)'!$E$25)+AG427," ")</f>
        <v>51682998.391656108</v>
      </c>
    </row>
    <row r="428" spans="2:34">
      <c r="B428">
        <f t="shared" si="54"/>
        <v>425</v>
      </c>
      <c r="C428">
        <f t="shared" si="61"/>
        <v>36</v>
      </c>
      <c r="D428">
        <f t="shared" si="62"/>
        <v>5</v>
      </c>
      <c r="E428" s="15">
        <f>IF(C428&lt;='Input sheet(dashboard)'!$D$6, -PMT('Input sheet(dashboard)'!$E$5,'Input sheet(dashboard)'!$D$6*12,'Input sheet(dashboard)'!$D$3*'Input sheet(dashboard)'!$D$4),0)</f>
        <v>0</v>
      </c>
      <c r="F428" s="3">
        <f>I427*'Input sheet(dashboard)'!$E$5</f>
        <v>9.5331356982416069E-12</v>
      </c>
      <c r="G428" s="3">
        <f>IF(C428&lt;='Input sheet(dashboard)'!$D$6,E428*'Input sheet(dashboard)'!$D$7,0)</f>
        <v>0</v>
      </c>
      <c r="H428" s="3">
        <f t="shared" si="55"/>
        <v>-9.5331356982416069E-12</v>
      </c>
      <c r="I428" s="3">
        <f t="shared" si="56"/>
        <v>2.626521560879578E-9</v>
      </c>
      <c r="J428" s="3">
        <f>IF(B428&lt;='Input sheet(dashboard)'!$D$27*12,'Input sheet(dashboard)'!$D$3*(1+'Input sheet(dashboard)'!$E$24)^B428,0)</f>
        <v>49923609.963360906</v>
      </c>
      <c r="K428" s="3">
        <f>IF(B428&lt;='Input sheet(dashboard)'!$D$27*12,J428*'Input sheet(dashboard)'!$E$8,0)</f>
        <v>51708.180058906284</v>
      </c>
      <c r="L428" s="3">
        <f>IF(B428&lt;='Input sheet(dashboard)'!$D$27*12,'Input sheet(dashboard)'!$D$9*(1+'Input sheet(dashboard)'!$E$22)^B428,0)</f>
        <v>7193.2444728264391</v>
      </c>
      <c r="M428" s="3">
        <f>IF(B428=1,'Input sheet(dashboard)'!$D$3*'Input sheet(dashboard)'!$D$10,0)</f>
        <v>0</v>
      </c>
      <c r="N428" s="3">
        <f>IF(B428='Input sheet(dashboard)'!$D$27*12,J428*'Input sheet(dashboard)'!$D$11,0)</f>
        <v>0</v>
      </c>
      <c r="O428" s="3">
        <f>IF(SUM(F428:F439)&gt;=150000,150000/12*'Input sheet(dashboard)'!$D$28,SUM(F428:F439)/12*'Input sheet(dashboard)'!$D$28)</f>
        <v>1.4589710470386031E-12</v>
      </c>
      <c r="P428" s="3">
        <f t="shared" si="60"/>
        <v>0</v>
      </c>
      <c r="Q428" s="3">
        <f>IF(B428&lt;='Input sheet(dashboard)'!$D$27*12,'Input sheet(dashboard)'!$D$12/12,0)</f>
        <v>192.5</v>
      </c>
      <c r="R428" s="3">
        <f>IF(B428&lt;='Input sheet(dashboard)'!$D$27*12,('Input sheet(dashboard)'!$D$15/12)*(1+'Input sheet(dashboard)'!$E$22)^Calculations!B428,0)</f>
        <v>799.24938586960434</v>
      </c>
      <c r="S428" s="3">
        <f>IF(B428&lt;='Input sheet(dashboard)'!$D$27*12,(E428+G428+K428+L428-O428+M428+Q428+R428),0)</f>
        <v>59893.173917602326</v>
      </c>
      <c r="T428" s="3">
        <f>IF(B428&lt;='Input sheet(dashboard)'!$D$27*12,IF(D428=12,SUM(S417:S428),0),0)</f>
        <v>0</v>
      </c>
      <c r="U428" s="3">
        <f>IF(B428&lt;='Input sheet(dashboard)'!$D$27*12,IF(S428&lt;AD428,AD428-S428,0),0)</f>
        <v>85342.118597289766</v>
      </c>
      <c r="V428" s="3">
        <f>IF(B428&lt;='Input sheet(dashboard)'!$D$27*12,V427*(1+'Input sheet(dashboard)'!$E$25)+U428,0)</f>
        <v>8067955.7524528299</v>
      </c>
      <c r="W428" s="17">
        <f>IF(B428&lt;='Input sheet(dashboard)'!$D$27*12,J428-I428+V428-N428,0)</f>
        <v>57991565.715813734</v>
      </c>
      <c r="X428" s="3">
        <f>IF(B428&lt;='Input sheet(dashboard)'!$D$27*12,'Input sheet(dashboard)'!$D$17*(1+'Input sheet(dashboard)'!$E$23)^(B428-1),0)</f>
        <v>145235.29251489209</v>
      </c>
      <c r="Y428" s="3"/>
      <c r="Z428" s="18"/>
      <c r="AA428" s="18"/>
      <c r="AB428" s="3">
        <f>IF(B428=1,'Input sheet(dashboard)'!$D$18*Calculations!X428,IF(Calculations!B428=12*'Input sheet(dashboard)'!$D$27,'Input sheet(dashboard)'!$D$18*-Calculations!X428,0))</f>
        <v>0</v>
      </c>
      <c r="AC428" s="3">
        <f>IF(B428&lt;='Input sheet(dashboard)'!$D$27*12,IF(MOD(B427,'Input sheet(dashboard)'!$D$19*12),0,'Input sheet(dashboard)'!$D$20*(1+'Input sheet(dashboard)'!$E$22)^Calculations!B428),0)</f>
        <v>0</v>
      </c>
      <c r="AD428" s="17">
        <f t="shared" si="57"/>
        <v>145235.29251489209</v>
      </c>
      <c r="AE428" s="17">
        <f>IF(B428&lt;='Input sheet(dashboard)'!$D$27*12,IF(D428=12,SUM(AD417:AD428),0),0)</f>
        <v>0</v>
      </c>
      <c r="AF428" s="17">
        <f t="shared" si="58"/>
        <v>-85342.118597289766</v>
      </c>
      <c r="AG428" s="17">
        <f t="shared" si="59"/>
        <v>0</v>
      </c>
      <c r="AH428" s="3">
        <f>IF(B428&lt;='Input sheet(dashboard)'!$D$27*12,AH427*(1+'Input sheet(dashboard)'!$E$25)+AG428," ")</f>
        <v>52015528.359483279</v>
      </c>
    </row>
    <row r="429" spans="2:34">
      <c r="B429">
        <f t="shared" si="54"/>
        <v>426</v>
      </c>
      <c r="C429">
        <f t="shared" si="61"/>
        <v>36</v>
      </c>
      <c r="D429">
        <f t="shared" si="62"/>
        <v>6</v>
      </c>
      <c r="E429" s="15">
        <f>IF(C429&lt;='Input sheet(dashboard)'!$D$6, -PMT('Input sheet(dashboard)'!$E$5,'Input sheet(dashboard)'!$D$6*12,'Input sheet(dashboard)'!$D$3*'Input sheet(dashboard)'!$D$4),0)</f>
        <v>0</v>
      </c>
      <c r="F429" s="3">
        <f>I428*'Input sheet(dashboard)'!$E$5</f>
        <v>9.5678628966375234E-12</v>
      </c>
      <c r="G429" s="3">
        <f>IF(C429&lt;='Input sheet(dashboard)'!$D$6,E429*'Input sheet(dashboard)'!$D$7,0)</f>
        <v>0</v>
      </c>
      <c r="H429" s="3">
        <f t="shared" si="55"/>
        <v>-9.5678628966375234E-12</v>
      </c>
      <c r="I429" s="3">
        <f t="shared" si="56"/>
        <v>2.6360894237762156E-9</v>
      </c>
      <c r="J429" s="3">
        <f>IF(B429&lt;='Input sheet(dashboard)'!$D$27*12,'Input sheet(dashboard)'!$D$3*(1+'Input sheet(dashboard)'!$E$24)^B429,0)</f>
        <v>50127004.930078216</v>
      </c>
      <c r="K429" s="3">
        <f>IF(B429&lt;='Input sheet(dashboard)'!$D$27*12,J429*'Input sheet(dashboard)'!$E$8,0)</f>
        <v>51918.845585093441</v>
      </c>
      <c r="L429" s="3">
        <f>IF(B429&lt;='Input sheet(dashboard)'!$D$27*12,'Input sheet(dashboard)'!$D$9*(1+'Input sheet(dashboard)'!$E$22)^B429,0)</f>
        <v>7208.061378689411</v>
      </c>
      <c r="M429" s="3">
        <f>IF(B429=1,'Input sheet(dashboard)'!$D$3*'Input sheet(dashboard)'!$D$10,0)</f>
        <v>0</v>
      </c>
      <c r="N429" s="3">
        <f>IF(B429='Input sheet(dashboard)'!$D$27*12,J429*'Input sheet(dashboard)'!$D$11,0)</f>
        <v>0</v>
      </c>
      <c r="O429" s="3">
        <f>IF(SUM(F429:F440)&gt;=150000,150000/12*'Input sheet(dashboard)'!$D$28,SUM(F429:F440)/12*'Input sheet(dashboard)'!$D$28)</f>
        <v>1.4642857701903731E-12</v>
      </c>
      <c r="P429" s="3">
        <f t="shared" si="60"/>
        <v>0</v>
      </c>
      <c r="Q429" s="3">
        <f>IF(B429&lt;='Input sheet(dashboard)'!$D$27*12,'Input sheet(dashboard)'!$D$12/12,0)</f>
        <v>192.5</v>
      </c>
      <c r="R429" s="3">
        <f>IF(B429&lt;='Input sheet(dashboard)'!$D$27*12,('Input sheet(dashboard)'!$D$15/12)*(1+'Input sheet(dashboard)'!$E$22)^Calculations!B429,0)</f>
        <v>800.89570874326785</v>
      </c>
      <c r="S429" s="3">
        <f>IF(B429&lt;='Input sheet(dashboard)'!$D$27*12,(E429+G429+K429+L429-O429+M429+Q429+R429),0)</f>
        <v>60120.302672526115</v>
      </c>
      <c r="T429" s="3">
        <f>IF(B429&lt;='Input sheet(dashboard)'!$D$27*12,IF(D429=12,SUM(S418:S429),0),0)</f>
        <v>0</v>
      </c>
      <c r="U429" s="3">
        <f>IF(B429&lt;='Input sheet(dashboard)'!$D$27*12,IF(S429&lt;AD429,AD429-S429,0),0)</f>
        <v>85706.696401826033</v>
      </c>
      <c r="V429" s="3">
        <f>IF(B429&lt;='Input sheet(dashboard)'!$D$27*12,V428*(1+'Input sheet(dashboard)'!$E$25)+U429,0)</f>
        <v>8205571.9190921132</v>
      </c>
      <c r="W429" s="17">
        <f>IF(B429&lt;='Input sheet(dashboard)'!$D$27*12,J429-I429+V429-N429,0)</f>
        <v>58332576.849170327</v>
      </c>
      <c r="X429" s="3">
        <f>IF(B429&lt;='Input sheet(dashboard)'!$D$27*12,'Input sheet(dashboard)'!$D$17*(1+'Input sheet(dashboard)'!$E$23)^(B429-1),0)</f>
        <v>145826.99907435215</v>
      </c>
      <c r="Y429" s="3"/>
      <c r="Z429" s="18"/>
      <c r="AA429" s="18"/>
      <c r="AB429" s="3">
        <f>IF(B429=1,'Input sheet(dashboard)'!$D$18*Calculations!X429,IF(Calculations!B429=12*'Input sheet(dashboard)'!$D$27,'Input sheet(dashboard)'!$D$18*-Calculations!X429,0))</f>
        <v>0</v>
      </c>
      <c r="AC429" s="3">
        <f>IF(B429&lt;='Input sheet(dashboard)'!$D$27*12,IF(MOD(B428,'Input sheet(dashboard)'!$D$19*12),0,'Input sheet(dashboard)'!$D$20*(1+'Input sheet(dashboard)'!$E$22)^Calculations!B429),0)</f>
        <v>0</v>
      </c>
      <c r="AD429" s="17">
        <f t="shared" si="57"/>
        <v>145826.99907435215</v>
      </c>
      <c r="AE429" s="17">
        <f>IF(B429&lt;='Input sheet(dashboard)'!$D$27*12,IF(D429=12,SUM(AD418:AD429),0),0)</f>
        <v>0</v>
      </c>
      <c r="AF429" s="17">
        <f t="shared" si="58"/>
        <v>-85706.696401826033</v>
      </c>
      <c r="AG429" s="17">
        <f t="shared" si="59"/>
        <v>0</v>
      </c>
      <c r="AH429" s="3">
        <f>IF(B429&lt;='Input sheet(dashboard)'!$D$27*12,AH428*(1+'Input sheet(dashboard)'!$E$25)+AG429," ")</f>
        <v>52350197.835135929</v>
      </c>
    </row>
    <row r="430" spans="2:34">
      <c r="B430">
        <f t="shared" si="54"/>
        <v>427</v>
      </c>
      <c r="C430">
        <f t="shared" si="61"/>
        <v>36</v>
      </c>
      <c r="D430">
        <f t="shared" si="62"/>
        <v>7</v>
      </c>
      <c r="E430" s="15">
        <f>IF(C430&lt;='Input sheet(dashboard)'!$D$6, -PMT('Input sheet(dashboard)'!$E$5,'Input sheet(dashboard)'!$D$6*12,'Input sheet(dashboard)'!$D$3*'Input sheet(dashboard)'!$D$4),0)</f>
        <v>0</v>
      </c>
      <c r="F430" s="3">
        <f>I429*'Input sheet(dashboard)'!$E$5</f>
        <v>9.6027165988771481E-12</v>
      </c>
      <c r="G430" s="3">
        <f>IF(C430&lt;='Input sheet(dashboard)'!$D$6,E430*'Input sheet(dashboard)'!$D$7,0)</f>
        <v>0</v>
      </c>
      <c r="H430" s="3">
        <f t="shared" si="55"/>
        <v>-9.6027165988771481E-12</v>
      </c>
      <c r="I430" s="3">
        <f t="shared" si="56"/>
        <v>2.6456921403750927E-9</v>
      </c>
      <c r="J430" s="3">
        <f>IF(B430&lt;='Input sheet(dashboard)'!$D$27*12,'Input sheet(dashboard)'!$D$3*(1+'Input sheet(dashboard)'!$E$24)^B430,0)</f>
        <v>50331228.553066917</v>
      </c>
      <c r="K430" s="3">
        <f>IF(B430&lt;='Input sheet(dashboard)'!$D$27*12,J430*'Input sheet(dashboard)'!$E$8,0)</f>
        <v>52130.369388711246</v>
      </c>
      <c r="L430" s="3">
        <f>IF(B430&lt;='Input sheet(dashboard)'!$D$27*12,'Input sheet(dashboard)'!$D$9*(1+'Input sheet(dashboard)'!$E$22)^B430,0)</f>
        <v>7222.9088049524889</v>
      </c>
      <c r="M430" s="3">
        <f>IF(B430=1,'Input sheet(dashboard)'!$D$3*'Input sheet(dashboard)'!$D$10,0)</f>
        <v>0</v>
      </c>
      <c r="N430" s="3">
        <f>IF(B430='Input sheet(dashboard)'!$D$27*12,J430*'Input sheet(dashboard)'!$D$11,0)</f>
        <v>0</v>
      </c>
      <c r="O430" s="3">
        <f>IF(SUM(F430:F441)&gt;=150000,150000/12*'Input sheet(dashboard)'!$D$28,SUM(F430:F441)/12*'Input sheet(dashboard)'!$D$28)</f>
        <v>1.4696198537552482E-12</v>
      </c>
      <c r="P430" s="3">
        <f t="shared" si="60"/>
        <v>0</v>
      </c>
      <c r="Q430" s="3">
        <f>IF(B430&lt;='Input sheet(dashboard)'!$D$27*12,'Input sheet(dashboard)'!$D$12/12,0)</f>
        <v>192.5</v>
      </c>
      <c r="R430" s="3">
        <f>IF(B430&lt;='Input sheet(dashboard)'!$D$27*12,('Input sheet(dashboard)'!$D$15/12)*(1+'Input sheet(dashboard)'!$E$22)^Calculations!B430,0)</f>
        <v>802.54542277249868</v>
      </c>
      <c r="S430" s="3">
        <f>IF(B430&lt;='Input sheet(dashboard)'!$D$27*12,(E430+G430+K430+L430-O430+M430+Q430+R430),0)</f>
        <v>60348.323616436232</v>
      </c>
      <c r="T430" s="3">
        <f>IF(B430&lt;='Input sheet(dashboard)'!$D$27*12,IF(D430=12,SUM(S419:S430),0),0)</f>
        <v>0</v>
      </c>
      <c r="U430" s="3">
        <f>IF(B430&lt;='Input sheet(dashboard)'!$D$27*12,IF(S430&lt;AD430,AD430-S430,0),0)</f>
        <v>86072.792703142812</v>
      </c>
      <c r="V430" s="3">
        <f>IF(B430&lt;='Input sheet(dashboard)'!$D$27*12,V429*(1+'Input sheet(dashboard)'!$E$25)+U430,0)</f>
        <v>8344439.6085924925</v>
      </c>
      <c r="W430" s="17">
        <f>IF(B430&lt;='Input sheet(dashboard)'!$D$27*12,J430-I430+V430-N430,0)</f>
        <v>58675668.161659412</v>
      </c>
      <c r="X430" s="3">
        <f>IF(B430&lt;='Input sheet(dashboard)'!$D$27*12,'Input sheet(dashboard)'!$D$17*(1+'Input sheet(dashboard)'!$E$23)^(B430-1),0)</f>
        <v>146421.11631957904</v>
      </c>
      <c r="Y430" s="3"/>
      <c r="Z430" s="18"/>
      <c r="AA430" s="18"/>
      <c r="AB430" s="3">
        <f>IF(B430=1,'Input sheet(dashboard)'!$D$18*Calculations!X430,IF(Calculations!B430=12*'Input sheet(dashboard)'!$D$27,'Input sheet(dashboard)'!$D$18*-Calculations!X430,0))</f>
        <v>0</v>
      </c>
      <c r="AC430" s="3">
        <f>IF(B430&lt;='Input sheet(dashboard)'!$D$27*12,IF(MOD(B429,'Input sheet(dashboard)'!$D$19*12),0,'Input sheet(dashboard)'!$D$20*(1+'Input sheet(dashboard)'!$E$22)^Calculations!B430),0)</f>
        <v>0</v>
      </c>
      <c r="AD430" s="17">
        <f t="shared" si="57"/>
        <v>146421.11631957904</v>
      </c>
      <c r="AE430" s="17">
        <f>IF(B430&lt;='Input sheet(dashboard)'!$D$27*12,IF(D430=12,SUM(AD419:AD430),0),0)</f>
        <v>0</v>
      </c>
      <c r="AF430" s="17">
        <f t="shared" si="58"/>
        <v>-86072.792703142812</v>
      </c>
      <c r="AG430" s="17">
        <f t="shared" si="59"/>
        <v>0</v>
      </c>
      <c r="AH430" s="3">
        <f>IF(B430&lt;='Input sheet(dashboard)'!$D$27*12,AH429*(1+'Input sheet(dashboard)'!$E$25)+AG430," ")</f>
        <v>52687020.584271833</v>
      </c>
    </row>
    <row r="431" spans="2:34">
      <c r="B431">
        <f t="shared" si="54"/>
        <v>428</v>
      </c>
      <c r="C431">
        <f t="shared" si="61"/>
        <v>36</v>
      </c>
      <c r="D431">
        <f t="shared" si="62"/>
        <v>8</v>
      </c>
      <c r="E431" s="15">
        <f>IF(C431&lt;='Input sheet(dashboard)'!$D$6, -PMT('Input sheet(dashboard)'!$E$5,'Input sheet(dashboard)'!$D$6*12,'Input sheet(dashboard)'!$D$3*'Input sheet(dashboard)'!$D$4),0)</f>
        <v>0</v>
      </c>
      <c r="F431" s="3">
        <f>I430*'Input sheet(dashboard)'!$E$5</f>
        <v>9.6376972657872481E-12</v>
      </c>
      <c r="G431" s="3">
        <f>IF(C431&lt;='Input sheet(dashboard)'!$D$6,E431*'Input sheet(dashboard)'!$D$7,0)</f>
        <v>0</v>
      </c>
      <c r="H431" s="3">
        <f t="shared" si="55"/>
        <v>-9.6376972657872481E-12</v>
      </c>
      <c r="I431" s="3">
        <f t="shared" si="56"/>
        <v>2.6553298376408799E-9</v>
      </c>
      <c r="J431" s="3">
        <f>IF(B431&lt;='Input sheet(dashboard)'!$D$27*12,'Input sheet(dashboard)'!$D$3*(1+'Input sheet(dashboard)'!$E$24)^B431,0)</f>
        <v>50536284.208375193</v>
      </c>
      <c r="K431" s="3">
        <f>IF(B431&lt;='Input sheet(dashboard)'!$D$27*12,J431*'Input sheet(dashboard)'!$E$8,0)</f>
        <v>52342.754966488152</v>
      </c>
      <c r="L431" s="3">
        <f>IF(B431&lt;='Input sheet(dashboard)'!$D$27*12,'Input sheet(dashboard)'!$D$9*(1+'Input sheet(dashboard)'!$E$22)^B431,0)</f>
        <v>7237.7868144826962</v>
      </c>
      <c r="M431" s="3">
        <f>IF(B431=1,'Input sheet(dashboard)'!$D$3*'Input sheet(dashboard)'!$D$10,0)</f>
        <v>0</v>
      </c>
      <c r="N431" s="3">
        <f>IF(B431='Input sheet(dashboard)'!$D$27*12,J431*'Input sheet(dashboard)'!$D$11,0)</f>
        <v>0</v>
      </c>
      <c r="O431" s="3">
        <f>IF(SUM(F431:F442)&gt;=150000,150000/12*'Input sheet(dashboard)'!$D$28,SUM(F431:F442)/12*'Input sheet(dashboard)'!$D$28)</f>
        <v>1.4749733682591225E-12</v>
      </c>
      <c r="P431" s="3">
        <f t="shared" si="60"/>
        <v>0</v>
      </c>
      <c r="Q431" s="3">
        <f>IF(B431&lt;='Input sheet(dashboard)'!$D$27*12,'Input sheet(dashboard)'!$D$12/12,0)</f>
        <v>192.5</v>
      </c>
      <c r="R431" s="3">
        <f>IF(B431&lt;='Input sheet(dashboard)'!$D$27*12,('Input sheet(dashboard)'!$D$15/12)*(1+'Input sheet(dashboard)'!$E$22)^Calculations!B431,0)</f>
        <v>804.19853494252175</v>
      </c>
      <c r="S431" s="3">
        <f>IF(B431&lt;='Input sheet(dashboard)'!$D$27*12,(E431+G431+K431+L431-O431+M431+Q431+R431),0)</f>
        <v>60577.240315913368</v>
      </c>
      <c r="T431" s="3">
        <f>IF(B431&lt;='Input sheet(dashboard)'!$D$27*12,IF(D431=12,SUM(S420:S431),0),0)</f>
        <v>0</v>
      </c>
      <c r="U431" s="3">
        <f>IF(B431&lt;='Input sheet(dashboard)'!$D$27*12,IF(S431&lt;AD431,AD431-S431,0),0)</f>
        <v>86440.413756091613</v>
      </c>
      <c r="V431" s="3">
        <f>IF(B431&lt;='Input sheet(dashboard)'!$D$27*12,V430*(1+'Input sheet(dashboard)'!$E$25)+U431,0)</f>
        <v>8484568.3980413731</v>
      </c>
      <c r="W431" s="17">
        <f>IF(B431&lt;='Input sheet(dashboard)'!$D$27*12,J431-I431+V431-N431,0)</f>
        <v>59020852.606416568</v>
      </c>
      <c r="X431" s="3">
        <f>IF(B431&lt;='Input sheet(dashboard)'!$D$27*12,'Input sheet(dashboard)'!$D$17*(1+'Input sheet(dashboard)'!$E$23)^(B431-1),0)</f>
        <v>147017.65407200498</v>
      </c>
      <c r="Y431" s="3"/>
      <c r="Z431" s="18"/>
      <c r="AA431" s="18"/>
      <c r="AB431" s="3">
        <f>IF(B431=1,'Input sheet(dashboard)'!$D$18*Calculations!X431,IF(Calculations!B431=12*'Input sheet(dashboard)'!$D$27,'Input sheet(dashboard)'!$D$18*-Calculations!X431,0))</f>
        <v>0</v>
      </c>
      <c r="AC431" s="3">
        <f>IF(B431&lt;='Input sheet(dashboard)'!$D$27*12,IF(MOD(B430,'Input sheet(dashboard)'!$D$19*12),0,'Input sheet(dashboard)'!$D$20*(1+'Input sheet(dashboard)'!$E$22)^Calculations!B431),0)</f>
        <v>0</v>
      </c>
      <c r="AD431" s="17">
        <f t="shared" si="57"/>
        <v>147017.65407200498</v>
      </c>
      <c r="AE431" s="17">
        <f>IF(B431&lt;='Input sheet(dashboard)'!$D$27*12,IF(D431=12,SUM(AD420:AD431),0),0)</f>
        <v>0</v>
      </c>
      <c r="AF431" s="17">
        <f t="shared" si="58"/>
        <v>-86440.413756091613</v>
      </c>
      <c r="AG431" s="17">
        <f t="shared" si="59"/>
        <v>0</v>
      </c>
      <c r="AH431" s="3">
        <f>IF(B431&lt;='Input sheet(dashboard)'!$D$27*12,AH430*(1+'Input sheet(dashboard)'!$E$25)+AG431," ")</f>
        <v>53026010.461117409</v>
      </c>
    </row>
    <row r="432" spans="2:34">
      <c r="B432">
        <f t="shared" si="54"/>
        <v>429</v>
      </c>
      <c r="C432">
        <f t="shared" si="61"/>
        <v>36</v>
      </c>
      <c r="D432">
        <f t="shared" si="62"/>
        <v>9</v>
      </c>
      <c r="E432" s="15">
        <f>IF(C432&lt;='Input sheet(dashboard)'!$D$6, -PMT('Input sheet(dashboard)'!$E$5,'Input sheet(dashboard)'!$D$6*12,'Input sheet(dashboard)'!$D$3*'Input sheet(dashboard)'!$D$4),0)</f>
        <v>0</v>
      </c>
      <c r="F432" s="3">
        <f>I431*'Input sheet(dashboard)'!$E$5</f>
        <v>9.6728053598732791E-12</v>
      </c>
      <c r="G432" s="3">
        <f>IF(C432&lt;='Input sheet(dashboard)'!$D$6,E432*'Input sheet(dashboard)'!$D$7,0)</f>
        <v>0</v>
      </c>
      <c r="H432" s="3">
        <f t="shared" si="55"/>
        <v>-9.6728053598732791E-12</v>
      </c>
      <c r="I432" s="3">
        <f t="shared" si="56"/>
        <v>2.6650026430007532E-9</v>
      </c>
      <c r="J432" s="3">
        <f>IF(B432&lt;='Input sheet(dashboard)'!$D$27*12,'Input sheet(dashboard)'!$D$3*(1+'Input sheet(dashboard)'!$E$24)^B432,0)</f>
        <v>50742175.285805762</v>
      </c>
      <c r="K432" s="3">
        <f>IF(B432&lt;='Input sheet(dashboard)'!$D$27*12,J432*'Input sheet(dashboard)'!$E$8,0)</f>
        <v>52556.005829398819</v>
      </c>
      <c r="L432" s="3">
        <f>IF(B432&lt;='Input sheet(dashboard)'!$D$27*12,'Input sheet(dashboard)'!$D$9*(1+'Input sheet(dashboard)'!$E$22)^B432,0)</f>
        <v>7252.695470276557</v>
      </c>
      <c r="M432" s="3">
        <f>IF(B432=1,'Input sheet(dashboard)'!$D$3*'Input sheet(dashboard)'!$D$10,0)</f>
        <v>0</v>
      </c>
      <c r="N432" s="3">
        <f>IF(B432='Input sheet(dashboard)'!$D$27*12,J432*'Input sheet(dashboard)'!$D$11,0)</f>
        <v>0</v>
      </c>
      <c r="O432" s="3">
        <f>IF(SUM(F432:F443)&gt;=150000,150000/12*'Input sheet(dashboard)'!$D$28,SUM(F432:F443)/12*'Input sheet(dashboard)'!$D$28)</f>
        <v>1.4803463844847988E-12</v>
      </c>
      <c r="P432" s="3">
        <f t="shared" si="60"/>
        <v>0</v>
      </c>
      <c r="Q432" s="3">
        <f>IF(B432&lt;='Input sheet(dashboard)'!$D$27*12,'Input sheet(dashboard)'!$D$12/12,0)</f>
        <v>192.5</v>
      </c>
      <c r="R432" s="3">
        <f>IF(B432&lt;='Input sheet(dashboard)'!$D$27*12,('Input sheet(dashboard)'!$D$15/12)*(1+'Input sheet(dashboard)'!$E$22)^Calculations!B432,0)</f>
        <v>805.85505225295071</v>
      </c>
      <c r="S432" s="3">
        <f>IF(B432&lt;='Input sheet(dashboard)'!$D$27*12,(E432+G432+K432+L432-O432+M432+Q432+R432),0)</f>
        <v>60807.056351928324</v>
      </c>
      <c r="T432" s="3">
        <f>IF(B432&lt;='Input sheet(dashboard)'!$D$27*12,IF(D432=12,SUM(S421:S432),0),0)</f>
        <v>0</v>
      </c>
      <c r="U432" s="3">
        <f>IF(B432&lt;='Input sheet(dashboard)'!$D$27*12,IF(S432&lt;AD432,AD432-S432,0),0)</f>
        <v>86809.56584114756</v>
      </c>
      <c r="V432" s="3">
        <f>IF(B432&lt;='Input sheet(dashboard)'!$D$27*12,V431*(1+'Input sheet(dashboard)'!$E$25)+U432,0)</f>
        <v>8625967.9324259032</v>
      </c>
      <c r="W432" s="17">
        <f>IF(B432&lt;='Input sheet(dashboard)'!$D$27*12,J432-I432+V432-N432,0)</f>
        <v>59368143.218231663</v>
      </c>
      <c r="X432" s="3">
        <f>IF(B432&lt;='Input sheet(dashboard)'!$D$27*12,'Input sheet(dashboard)'!$D$17*(1+'Input sheet(dashboard)'!$E$23)^(B432-1),0)</f>
        <v>147616.62219307589</v>
      </c>
      <c r="Y432" s="3"/>
      <c r="Z432" s="18"/>
      <c r="AA432" s="18"/>
      <c r="AB432" s="3">
        <f>IF(B432=1,'Input sheet(dashboard)'!$D$18*Calculations!X432,IF(Calculations!B432=12*'Input sheet(dashboard)'!$D$27,'Input sheet(dashboard)'!$D$18*-Calculations!X432,0))</f>
        <v>0</v>
      </c>
      <c r="AC432" s="3">
        <f>IF(B432&lt;='Input sheet(dashboard)'!$D$27*12,IF(MOD(B431,'Input sheet(dashboard)'!$D$19*12),0,'Input sheet(dashboard)'!$D$20*(1+'Input sheet(dashboard)'!$E$22)^Calculations!B432),0)</f>
        <v>0</v>
      </c>
      <c r="AD432" s="17">
        <f t="shared" si="57"/>
        <v>147616.62219307589</v>
      </c>
      <c r="AE432" s="17">
        <f>IF(B432&lt;='Input sheet(dashboard)'!$D$27*12,IF(D432=12,SUM(AD421:AD432),0),0)</f>
        <v>0</v>
      </c>
      <c r="AF432" s="17">
        <f t="shared" si="58"/>
        <v>-86809.56584114756</v>
      </c>
      <c r="AG432" s="17">
        <f t="shared" si="59"/>
        <v>0</v>
      </c>
      <c r="AH432" s="3">
        <f>IF(B432&lt;='Input sheet(dashboard)'!$D$27*12,AH431*(1+'Input sheet(dashboard)'!$E$25)+AG432," ")</f>
        <v>53367181.409037597</v>
      </c>
    </row>
    <row r="433" spans="2:34">
      <c r="B433">
        <f t="shared" si="54"/>
        <v>430</v>
      </c>
      <c r="C433">
        <f t="shared" si="61"/>
        <v>36</v>
      </c>
      <c r="D433">
        <f t="shared" si="62"/>
        <v>10</v>
      </c>
      <c r="E433" s="15">
        <f>IF(C433&lt;='Input sheet(dashboard)'!$D$6, -PMT('Input sheet(dashboard)'!$E$5,'Input sheet(dashboard)'!$D$6*12,'Input sheet(dashboard)'!$D$3*'Input sheet(dashboard)'!$D$4),0)</f>
        <v>0</v>
      </c>
      <c r="F433" s="3">
        <f>I432*'Input sheet(dashboard)'!$E$5</f>
        <v>9.7080413453255118E-12</v>
      </c>
      <c r="G433" s="3">
        <f>IF(C433&lt;='Input sheet(dashboard)'!$D$6,E433*'Input sheet(dashboard)'!$D$7,0)</f>
        <v>0</v>
      </c>
      <c r="H433" s="3">
        <f t="shared" si="55"/>
        <v>-9.7080413453255118E-12</v>
      </c>
      <c r="I433" s="3">
        <f t="shared" si="56"/>
        <v>2.6747106843460788E-9</v>
      </c>
      <c r="J433" s="3">
        <f>IF(B433&lt;='Input sheet(dashboard)'!$D$27*12,'Input sheet(dashboard)'!$D$3*(1+'Input sheet(dashboard)'!$E$24)^B433,0)</f>
        <v>50948905.188971706</v>
      </c>
      <c r="K433" s="3">
        <f>IF(B433&lt;='Input sheet(dashboard)'!$D$27*12,J433*'Input sheet(dashboard)'!$E$8,0)</f>
        <v>52770.125502721923</v>
      </c>
      <c r="L433" s="3">
        <f>IF(B433&lt;='Input sheet(dashboard)'!$D$27*12,'Input sheet(dashboard)'!$D$9*(1+'Input sheet(dashboard)'!$E$22)^B433,0)</f>
        <v>7267.6348354603579</v>
      </c>
      <c r="M433" s="3">
        <f>IF(B433=1,'Input sheet(dashboard)'!$D$3*'Input sheet(dashboard)'!$D$10,0)</f>
        <v>0</v>
      </c>
      <c r="N433" s="3">
        <f>IF(B433='Input sheet(dashboard)'!$D$27*12,J433*'Input sheet(dashboard)'!$D$11,0)</f>
        <v>0</v>
      </c>
      <c r="O433" s="3">
        <f>IF(SUM(F433:F444)&gt;=150000,150000/12*'Input sheet(dashboard)'!$D$28,SUM(F433:F444)/12*'Input sheet(dashboard)'!$D$28)</f>
        <v>1.4857389734729282E-12</v>
      </c>
      <c r="P433" s="3">
        <f t="shared" si="60"/>
        <v>0</v>
      </c>
      <c r="Q433" s="3">
        <f>IF(B433&lt;='Input sheet(dashboard)'!$D$27*12,'Input sheet(dashboard)'!$D$12/12,0)</f>
        <v>192.5</v>
      </c>
      <c r="R433" s="3">
        <f>IF(B433&lt;='Input sheet(dashboard)'!$D$27*12,('Input sheet(dashboard)'!$D$15/12)*(1+'Input sheet(dashboard)'!$E$22)^Calculations!B433,0)</f>
        <v>807.51498171781748</v>
      </c>
      <c r="S433" s="3">
        <f>IF(B433&lt;='Input sheet(dashboard)'!$D$27*12,(E433+G433+K433+L433-O433+M433+Q433+R433),0)</f>
        <v>61037.775319900102</v>
      </c>
      <c r="T433" s="3">
        <f>IF(B433&lt;='Input sheet(dashboard)'!$D$27*12,IF(D433=12,SUM(S422:S433),0),0)</f>
        <v>0</v>
      </c>
      <c r="U433" s="3">
        <f>IF(B433&lt;='Input sheet(dashboard)'!$D$27*12,IF(S433&lt;AD433,AD433-S433,0),0)</f>
        <v>87180.255264514475</v>
      </c>
      <c r="V433" s="3">
        <f>IF(B433&lt;='Input sheet(dashboard)'!$D$27*12,V432*(1+'Input sheet(dashboard)'!$E$25)+U433,0)</f>
        <v>8768647.9250955712</v>
      </c>
      <c r="W433" s="17">
        <f>IF(B433&lt;='Input sheet(dashboard)'!$D$27*12,J433-I433+V433-N433,0)</f>
        <v>59717553.114067279</v>
      </c>
      <c r="X433" s="3">
        <f>IF(B433&lt;='Input sheet(dashboard)'!$D$27*12,'Input sheet(dashboard)'!$D$17*(1+'Input sheet(dashboard)'!$E$23)^(B433-1),0)</f>
        <v>148218.03058441458</v>
      </c>
      <c r="Y433" s="3"/>
      <c r="Z433" s="18"/>
      <c r="AA433" s="18"/>
      <c r="AB433" s="3">
        <f>IF(B433=1,'Input sheet(dashboard)'!$D$18*Calculations!X433,IF(Calculations!B433=12*'Input sheet(dashboard)'!$D$27,'Input sheet(dashboard)'!$D$18*-Calculations!X433,0))</f>
        <v>0</v>
      </c>
      <c r="AC433" s="3">
        <f>IF(B433&lt;='Input sheet(dashboard)'!$D$27*12,IF(MOD(B432,'Input sheet(dashboard)'!$D$19*12),0,'Input sheet(dashboard)'!$D$20*(1+'Input sheet(dashboard)'!$E$22)^Calculations!B433),0)</f>
        <v>0</v>
      </c>
      <c r="AD433" s="17">
        <f t="shared" si="57"/>
        <v>148218.03058441458</v>
      </c>
      <c r="AE433" s="17">
        <f>IF(B433&lt;='Input sheet(dashboard)'!$D$27*12,IF(D433=12,SUM(AD422:AD433),0),0)</f>
        <v>0</v>
      </c>
      <c r="AF433" s="17">
        <f t="shared" si="58"/>
        <v>-87180.255264514475</v>
      </c>
      <c r="AG433" s="17">
        <f t="shared" si="59"/>
        <v>0</v>
      </c>
      <c r="AH433" s="3">
        <f>IF(B433&lt;='Input sheet(dashboard)'!$D$27*12,AH432*(1+'Input sheet(dashboard)'!$E$25)+AG433," ")</f>
        <v>53710547.461109363</v>
      </c>
    </row>
    <row r="434" spans="2:34">
      <c r="B434">
        <f t="shared" si="54"/>
        <v>431</v>
      </c>
      <c r="C434">
        <f t="shared" si="61"/>
        <v>36</v>
      </c>
      <c r="D434">
        <f t="shared" si="62"/>
        <v>11</v>
      </c>
      <c r="E434" s="15">
        <f>IF(C434&lt;='Input sheet(dashboard)'!$D$6, -PMT('Input sheet(dashboard)'!$E$5,'Input sheet(dashboard)'!$D$6*12,'Input sheet(dashboard)'!$D$3*'Input sheet(dashboard)'!$D$4),0)</f>
        <v>0</v>
      </c>
      <c r="F434" s="3">
        <f>I433*'Input sheet(dashboard)'!$E$5</f>
        <v>9.7434056880251615E-12</v>
      </c>
      <c r="G434" s="3">
        <f>IF(C434&lt;='Input sheet(dashboard)'!$D$6,E434*'Input sheet(dashboard)'!$D$7,0)</f>
        <v>0</v>
      </c>
      <c r="H434" s="3">
        <f t="shared" si="55"/>
        <v>-9.7434056880251615E-12</v>
      </c>
      <c r="I434" s="3">
        <f t="shared" si="56"/>
        <v>2.6844540900341038E-9</v>
      </c>
      <c r="J434" s="3">
        <f>IF(B434&lt;='Input sheet(dashboard)'!$D$27*12,'Input sheet(dashboard)'!$D$3*(1+'Input sheet(dashboard)'!$E$24)^B434,0)</f>
        <v>51156477.335352957</v>
      </c>
      <c r="K434" s="3">
        <f>IF(B434&lt;='Input sheet(dashboard)'!$D$27*12,J434*'Input sheet(dashboard)'!$E$8,0)</f>
        <v>52985.117526098686</v>
      </c>
      <c r="L434" s="3">
        <f>IF(B434&lt;='Input sheet(dashboard)'!$D$27*12,'Input sheet(dashboard)'!$D$9*(1+'Input sheet(dashboard)'!$E$22)^B434,0)</f>
        <v>7282.6049732904112</v>
      </c>
      <c r="M434" s="3">
        <f>IF(B434=1,'Input sheet(dashboard)'!$D$3*'Input sheet(dashboard)'!$D$10,0)</f>
        <v>0</v>
      </c>
      <c r="N434" s="3">
        <f>IF(B434='Input sheet(dashboard)'!$D$27*12,J434*'Input sheet(dashboard)'!$D$11,0)</f>
        <v>0</v>
      </c>
      <c r="O434" s="3">
        <f>IF(SUM(F434:F445)&gt;=150000,150000/12*'Input sheet(dashboard)'!$D$28,SUM(F434:F445)/12*'Input sheet(dashboard)'!$D$28)</f>
        <v>1.491151206522947E-12</v>
      </c>
      <c r="P434" s="3">
        <f t="shared" si="60"/>
        <v>0</v>
      </c>
      <c r="Q434" s="3">
        <f>IF(B434&lt;='Input sheet(dashboard)'!$D$27*12,'Input sheet(dashboard)'!$D$12/12,0)</f>
        <v>192.5</v>
      </c>
      <c r="R434" s="3">
        <f>IF(B434&lt;='Input sheet(dashboard)'!$D$27*12,('Input sheet(dashboard)'!$D$15/12)*(1+'Input sheet(dashboard)'!$E$22)^Calculations!B434,0)</f>
        <v>809.17833036560125</v>
      </c>
      <c r="S434" s="3">
        <f>IF(B434&lt;='Input sheet(dashboard)'!$D$27*12,(E434+G434+K434+L434-O434+M434+Q434+R434),0)</f>
        <v>61269.400829754704</v>
      </c>
      <c r="T434" s="3">
        <f>IF(B434&lt;='Input sheet(dashboard)'!$D$27*12,IF(D434=12,SUM(S423:S434),0),0)</f>
        <v>0</v>
      </c>
      <c r="U434" s="3">
        <f>IF(B434&lt;='Input sheet(dashboard)'!$D$27*12,IF(S434&lt;AD434,AD434-S434,0),0)</f>
        <v>87552.488358229341</v>
      </c>
      <c r="V434" s="3">
        <f>IF(B434&lt;='Input sheet(dashboard)'!$D$27*12,V433*(1+'Input sheet(dashboard)'!$E$25)+U434,0)</f>
        <v>8912618.1582278851</v>
      </c>
      <c r="W434" s="17">
        <f>IF(B434&lt;='Input sheet(dashboard)'!$D$27*12,J434-I434+V434-N434,0)</f>
        <v>60069095.493580841</v>
      </c>
      <c r="X434" s="3">
        <f>IF(B434&lt;='Input sheet(dashboard)'!$D$27*12,'Input sheet(dashboard)'!$D$17*(1+'Input sheet(dashboard)'!$E$23)^(B434-1),0)</f>
        <v>148821.88918798405</v>
      </c>
      <c r="Y434" s="3"/>
      <c r="Z434" s="18"/>
      <c r="AA434" s="18"/>
      <c r="AB434" s="3">
        <f>IF(B434=1,'Input sheet(dashboard)'!$D$18*Calculations!X434,IF(Calculations!B434=12*'Input sheet(dashboard)'!$D$27,'Input sheet(dashboard)'!$D$18*-Calculations!X434,0))</f>
        <v>0</v>
      </c>
      <c r="AC434" s="3">
        <f>IF(B434&lt;='Input sheet(dashboard)'!$D$27*12,IF(MOD(B433,'Input sheet(dashboard)'!$D$19*12),0,'Input sheet(dashboard)'!$D$20*(1+'Input sheet(dashboard)'!$E$22)^Calculations!B434),0)</f>
        <v>0</v>
      </c>
      <c r="AD434" s="17">
        <f t="shared" si="57"/>
        <v>148821.88918798405</v>
      </c>
      <c r="AE434" s="17">
        <f>IF(B434&lt;='Input sheet(dashboard)'!$D$27*12,IF(D434=12,SUM(AD423:AD434),0),0)</f>
        <v>0</v>
      </c>
      <c r="AF434" s="17">
        <f t="shared" si="58"/>
        <v>-87552.488358229341</v>
      </c>
      <c r="AG434" s="17">
        <f t="shared" si="59"/>
        <v>0</v>
      </c>
      <c r="AH434" s="3">
        <f>IF(B434&lt;='Input sheet(dashboard)'!$D$27*12,AH433*(1+'Input sheet(dashboard)'!$E$25)+AG434," ")</f>
        <v>54056122.740698911</v>
      </c>
    </row>
    <row r="435" spans="2:34">
      <c r="B435">
        <f t="shared" si="54"/>
        <v>432</v>
      </c>
      <c r="C435">
        <f t="shared" si="61"/>
        <v>36</v>
      </c>
      <c r="D435">
        <f t="shared" si="62"/>
        <v>12</v>
      </c>
      <c r="E435" s="15">
        <f>IF(C435&lt;='Input sheet(dashboard)'!$D$6, -PMT('Input sheet(dashboard)'!$E$5,'Input sheet(dashboard)'!$D$6*12,'Input sheet(dashboard)'!$D$3*'Input sheet(dashboard)'!$D$4),0)</f>
        <v>0</v>
      </c>
      <c r="F435" s="3">
        <f>I434*'Input sheet(dashboard)'!$E$5</f>
        <v>9.7788988555505483E-12</v>
      </c>
      <c r="G435" s="3">
        <f>IF(C435&lt;='Input sheet(dashboard)'!$D$6,E435*'Input sheet(dashboard)'!$D$7,0)</f>
        <v>0</v>
      </c>
      <c r="H435" s="3">
        <f t="shared" si="55"/>
        <v>-9.7788988555505483E-12</v>
      </c>
      <c r="I435" s="3">
        <f t="shared" si="56"/>
        <v>2.6942329888896544E-9</v>
      </c>
      <c r="J435" s="3">
        <f>IF(B435&lt;='Input sheet(dashboard)'!$D$27*12,'Input sheet(dashboard)'!$D$3*(1+'Input sheet(dashboard)'!$E$24)^B435,0)</f>
        <v>51364895.156352594</v>
      </c>
      <c r="K435" s="3">
        <f>IF(B435&lt;='Input sheet(dashboard)'!$D$27*12,J435*'Input sheet(dashboard)'!$E$8,0)</f>
        <v>53200.98545359118</v>
      </c>
      <c r="L435" s="3">
        <f>IF(B435&lt;='Input sheet(dashboard)'!$D$27*12,'Input sheet(dashboard)'!$D$9*(1+'Input sheet(dashboard)'!$E$22)^B435,0)</f>
        <v>7297.6059471533317</v>
      </c>
      <c r="M435" s="3">
        <f>IF(B435=1,'Input sheet(dashboard)'!$D$3*'Input sheet(dashboard)'!$D$10,0)</f>
        <v>0</v>
      </c>
      <c r="N435" s="3">
        <f>IF(B435='Input sheet(dashboard)'!$D$27*12,J435*'Input sheet(dashboard)'!$D$11,0)</f>
        <v>0</v>
      </c>
      <c r="O435" s="3">
        <f>IF(SUM(F435:F446)&gt;=150000,150000/12*'Input sheet(dashboard)'!$D$28,SUM(F435:F446)/12*'Input sheet(dashboard)'!$D$28)</f>
        <v>1.496583155194021E-12</v>
      </c>
      <c r="P435" s="3">
        <f t="shared" si="60"/>
        <v>1.8727030481391281E-11</v>
      </c>
      <c r="Q435" s="3">
        <f>IF(B435&lt;='Input sheet(dashboard)'!$D$27*12,'Input sheet(dashboard)'!$D$12/12,0)</f>
        <v>192.5</v>
      </c>
      <c r="R435" s="3">
        <f>IF(B435&lt;='Input sheet(dashboard)'!$D$27*12,('Input sheet(dashboard)'!$D$15/12)*(1+'Input sheet(dashboard)'!$E$22)^Calculations!B435,0)</f>
        <v>810.84510523925906</v>
      </c>
      <c r="S435" s="3">
        <f>IF(B435&lt;='Input sheet(dashboard)'!$D$27*12,(E435+G435+K435+L435-O435+M435+Q435+R435),0)</f>
        <v>61501.936505983766</v>
      </c>
      <c r="T435" s="3">
        <f>IF(B435&lt;='Input sheet(dashboard)'!$D$27*12,IF(D435=12,SUM(S424:S435),0),0)</f>
        <v>722874.33740158356</v>
      </c>
      <c r="U435" s="3">
        <f>IF(B435&lt;='Input sheet(dashboard)'!$D$27*12,IF(S435&lt;AD435,AD435-S435,0),0)</f>
        <v>87926.271480268566</v>
      </c>
      <c r="V435" s="3">
        <f>IF(B435&lt;='Input sheet(dashboard)'!$D$27*12,V434*(1+'Input sheet(dashboard)'!$E$25)+U435,0)</f>
        <v>9057888.4832971543</v>
      </c>
      <c r="W435" s="17">
        <f>IF(B435&lt;='Input sheet(dashboard)'!$D$27*12,J435-I435+V435-N435,0)</f>
        <v>60422783.639649749</v>
      </c>
      <c r="X435" s="3">
        <f>IF(B435&lt;='Input sheet(dashboard)'!$D$27*12,'Input sheet(dashboard)'!$D$17*(1+'Input sheet(dashboard)'!$E$23)^(B435-1),0)</f>
        <v>149428.20798625232</v>
      </c>
      <c r="Y435" s="3"/>
      <c r="Z435" s="18"/>
      <c r="AA435" s="18"/>
      <c r="AB435" s="3">
        <f>IF(B435=1,'Input sheet(dashboard)'!$D$18*Calculations!X435,IF(Calculations!B435=12*'Input sheet(dashboard)'!$D$27,'Input sheet(dashboard)'!$D$18*-Calculations!X435,0))</f>
        <v>0</v>
      </c>
      <c r="AC435" s="3">
        <f>IF(B435&lt;='Input sheet(dashboard)'!$D$27*12,IF(MOD(B434,'Input sheet(dashboard)'!$D$19*12),0,'Input sheet(dashboard)'!$D$20*(1+'Input sheet(dashboard)'!$E$22)^Calculations!B435),0)</f>
        <v>0</v>
      </c>
      <c r="AD435" s="17">
        <f t="shared" si="57"/>
        <v>149428.20798625232</v>
      </c>
      <c r="AE435" s="17">
        <f>IF(B435&lt;='Input sheet(dashboard)'!$D$27*12,IF(D435=12,SUM(AD424:AD435),0),0)</f>
        <v>1753657.7885898864</v>
      </c>
      <c r="AF435" s="17">
        <f t="shared" si="58"/>
        <v>-87926.271480268566</v>
      </c>
      <c r="AG435" s="17">
        <f t="shared" si="59"/>
        <v>0</v>
      </c>
      <c r="AH435" s="3">
        <f>IF(B435&lt;='Input sheet(dashboard)'!$D$27*12,AH434*(1+'Input sheet(dashboard)'!$E$25)+AG435," ")</f>
        <v>54403921.462042607</v>
      </c>
    </row>
    <row r="436" spans="2:34">
      <c r="B436">
        <f t="shared" si="54"/>
        <v>433</v>
      </c>
      <c r="C436">
        <f t="shared" si="61"/>
        <v>37</v>
      </c>
      <c r="D436">
        <f t="shared" si="62"/>
        <v>1</v>
      </c>
      <c r="E436" s="15">
        <f>IF(C436&lt;='Input sheet(dashboard)'!$D$6, -PMT('Input sheet(dashboard)'!$E$5,'Input sheet(dashboard)'!$D$6*12,'Input sheet(dashboard)'!$D$3*'Input sheet(dashboard)'!$D$4),0)</f>
        <v>0</v>
      </c>
      <c r="F436" s="3">
        <f>I435*'Input sheet(dashboard)'!$E$5</f>
        <v>9.8145213171832866E-12</v>
      </c>
      <c r="G436" s="3">
        <f>IF(C436&lt;='Input sheet(dashboard)'!$D$6,E436*'Input sheet(dashboard)'!$D$7,0)</f>
        <v>0</v>
      </c>
      <c r="H436" s="3">
        <f t="shared" si="55"/>
        <v>-9.8145213171832866E-12</v>
      </c>
      <c r="I436" s="3">
        <f t="shared" si="56"/>
        <v>2.7040475102068376E-9</v>
      </c>
      <c r="J436" s="3">
        <f>IF(B436&lt;='Input sheet(dashboard)'!$D$27*12,'Input sheet(dashboard)'!$D$3*(1+'Input sheet(dashboard)'!$E$24)^B436,0)</f>
        <v>51574162.097353682</v>
      </c>
      <c r="K436" s="3">
        <f>IF(B436&lt;='Input sheet(dashboard)'!$D$27*12,J436*'Input sheet(dashboard)'!$E$8,0)</f>
        <v>53417.732853741167</v>
      </c>
      <c r="L436" s="3">
        <f>IF(B436&lt;='Input sheet(dashboard)'!$D$27*12,'Input sheet(dashboard)'!$D$9*(1+'Input sheet(dashboard)'!$E$22)^B436,0)</f>
        <v>7312.6378205662977</v>
      </c>
      <c r="M436" s="3">
        <f>IF(B436=1,'Input sheet(dashboard)'!$D$3*'Input sheet(dashboard)'!$D$10,0)</f>
        <v>0</v>
      </c>
      <c r="N436" s="3">
        <f>IF(B436='Input sheet(dashboard)'!$D$27*12,J436*'Input sheet(dashboard)'!$D$11,0)</f>
        <v>0</v>
      </c>
      <c r="O436" s="3">
        <f>IF(SUM(F436:F447)&gt;=150000,150000/12*'Input sheet(dashboard)'!$D$28,SUM(F436:F447)/12*'Input sheet(dashboard)'!$D$28)</f>
        <v>1.5020348913059905E-12</v>
      </c>
      <c r="P436" s="3">
        <f t="shared" si="60"/>
        <v>0</v>
      </c>
      <c r="Q436" s="3">
        <f>IF(B436&lt;='Input sheet(dashboard)'!$D$27*12,'Input sheet(dashboard)'!$D$12/12,0)</f>
        <v>192.5</v>
      </c>
      <c r="R436" s="3">
        <f>IF(B436&lt;='Input sheet(dashboard)'!$D$27*12,('Input sheet(dashboard)'!$D$15/12)*(1+'Input sheet(dashboard)'!$E$22)^Calculations!B436,0)</f>
        <v>812.51531339625535</v>
      </c>
      <c r="S436" s="3">
        <f>IF(B436&lt;='Input sheet(dashboard)'!$D$27*12,(E436+G436+K436+L436-O436+M436+Q436+R436),0)</f>
        <v>61735.385987703718</v>
      </c>
      <c r="T436" s="3">
        <f>IF(B436&lt;='Input sheet(dashboard)'!$D$27*12,IF(D436=12,SUM(S425:S436),0),0)</f>
        <v>0</v>
      </c>
      <c r="U436" s="3">
        <f>IF(B436&lt;='Input sheet(dashboard)'!$D$27*12,IF(S436&lt;AD436,AD436-S436,0),0)</f>
        <v>88301.611014653376</v>
      </c>
      <c r="V436" s="3">
        <f>IF(B436&lt;='Input sheet(dashboard)'!$D$27*12,V435*(1+'Input sheet(dashboard)'!$E$25)+U436,0)</f>
        <v>9204468.8215463944</v>
      </c>
      <c r="W436" s="17">
        <f>IF(B436&lt;='Input sheet(dashboard)'!$D$27*12,J436-I436+V436-N436,0)</f>
        <v>60778630.918900073</v>
      </c>
      <c r="X436" s="3">
        <f>IF(B436&lt;='Input sheet(dashboard)'!$D$27*12,'Input sheet(dashboard)'!$D$17*(1+'Input sheet(dashboard)'!$E$23)^(B436-1),0)</f>
        <v>150036.99700235709</v>
      </c>
      <c r="Y436" s="3"/>
      <c r="Z436" s="18"/>
      <c r="AA436" s="18"/>
      <c r="AB436" s="3">
        <f>IF(B436=1,'Input sheet(dashboard)'!$D$18*Calculations!X436,IF(Calculations!B436=12*'Input sheet(dashboard)'!$D$27,'Input sheet(dashboard)'!$D$18*-Calculations!X436,0))</f>
        <v>0</v>
      </c>
      <c r="AC436" s="3">
        <f>IF(B436&lt;='Input sheet(dashboard)'!$D$27*12,IF(MOD(B435,'Input sheet(dashboard)'!$D$19*12),0,'Input sheet(dashboard)'!$D$20*(1+'Input sheet(dashboard)'!$E$22)^Calculations!B436),0)</f>
        <v>0</v>
      </c>
      <c r="AD436" s="17">
        <f t="shared" si="57"/>
        <v>150036.99700235709</v>
      </c>
      <c r="AE436" s="17">
        <f>IF(B436&lt;='Input sheet(dashboard)'!$D$27*12,IF(D436=12,SUM(AD425:AD436),0),0)</f>
        <v>0</v>
      </c>
      <c r="AF436" s="17">
        <f t="shared" si="58"/>
        <v>-88301.611014653376</v>
      </c>
      <c r="AG436" s="17">
        <f t="shared" si="59"/>
        <v>0</v>
      </c>
      <c r="AH436" s="3">
        <f>IF(B436&lt;='Input sheet(dashboard)'!$D$27*12,AH435*(1+'Input sheet(dashboard)'!$E$25)+AG436," ")</f>
        <v>54753957.930831648</v>
      </c>
    </row>
    <row r="437" spans="2:34">
      <c r="B437">
        <f t="shared" si="54"/>
        <v>434</v>
      </c>
      <c r="C437">
        <f t="shared" si="61"/>
        <v>37</v>
      </c>
      <c r="D437">
        <f t="shared" si="62"/>
        <v>2</v>
      </c>
      <c r="E437" s="15">
        <f>IF(C437&lt;='Input sheet(dashboard)'!$D$6, -PMT('Input sheet(dashboard)'!$E$5,'Input sheet(dashboard)'!$D$6*12,'Input sheet(dashboard)'!$D$3*'Input sheet(dashboard)'!$D$4),0)</f>
        <v>0</v>
      </c>
      <c r="F437" s="3">
        <f>I436*'Input sheet(dashboard)'!$E$5</f>
        <v>9.8502735439144805E-12</v>
      </c>
      <c r="G437" s="3">
        <f>IF(C437&lt;='Input sheet(dashboard)'!$D$6,E437*'Input sheet(dashboard)'!$D$7,0)</f>
        <v>0</v>
      </c>
      <c r="H437" s="3">
        <f t="shared" si="55"/>
        <v>-9.8502735439144805E-12</v>
      </c>
      <c r="I437" s="3">
        <f t="shared" si="56"/>
        <v>2.713897783750752E-9</v>
      </c>
      <c r="J437" s="3">
        <f>IF(B437&lt;='Input sheet(dashboard)'!$D$27*12,'Input sheet(dashboard)'!$D$3*(1+'Input sheet(dashboard)'!$E$24)^B437,0)</f>
        <v>51784281.617776252</v>
      </c>
      <c r="K437" s="3">
        <f>IF(B437&lt;='Input sheet(dashboard)'!$D$27*12,J437*'Input sheet(dashboard)'!$E$8,0)</f>
        <v>53635.363309629174</v>
      </c>
      <c r="L437" s="3">
        <f>IF(B437&lt;='Input sheet(dashboard)'!$D$27*12,'Input sheet(dashboard)'!$D$9*(1+'Input sheet(dashboard)'!$E$22)^B437,0)</f>
        <v>7327.7006571773245</v>
      </c>
      <c r="M437" s="3">
        <f>IF(B437=1,'Input sheet(dashboard)'!$D$3*'Input sheet(dashboard)'!$D$10,0)</f>
        <v>0</v>
      </c>
      <c r="N437" s="3">
        <f>IF(B437='Input sheet(dashboard)'!$D$27*12,J437*'Input sheet(dashboard)'!$D$11,0)</f>
        <v>0</v>
      </c>
      <c r="O437" s="3">
        <f>IF(SUM(F437:F448)&gt;=150000,150000/12*'Input sheet(dashboard)'!$D$28,SUM(F437:F448)/12*'Input sheet(dashboard)'!$D$28)</f>
        <v>1.5075064869403201E-12</v>
      </c>
      <c r="P437" s="3">
        <f t="shared" si="60"/>
        <v>0</v>
      </c>
      <c r="Q437" s="3">
        <f>IF(B437&lt;='Input sheet(dashboard)'!$D$27*12,'Input sheet(dashboard)'!$D$12/12,0)</f>
        <v>192.5</v>
      </c>
      <c r="R437" s="3">
        <f>IF(B437&lt;='Input sheet(dashboard)'!$D$27*12,('Input sheet(dashboard)'!$D$15/12)*(1+'Input sheet(dashboard)'!$E$22)^Calculations!B437,0)</f>
        <v>814.18896190859152</v>
      </c>
      <c r="S437" s="3">
        <f>IF(B437&lt;='Input sheet(dashboard)'!$D$27*12,(E437+G437+K437+L437-O437+M437+Q437+R437),0)</f>
        <v>61969.75292871509</v>
      </c>
      <c r="T437" s="3">
        <f>IF(B437&lt;='Input sheet(dashboard)'!$D$27*12,IF(D437=12,SUM(S426:S437),0),0)</f>
        <v>0</v>
      </c>
      <c r="U437" s="3">
        <f>IF(B437&lt;='Input sheet(dashboard)'!$D$27*12,IF(S437&lt;AD437,AD437-S437,0),0)</f>
        <v>88678.513371556444</v>
      </c>
      <c r="V437" s="3">
        <f>IF(B437&lt;='Input sheet(dashboard)'!$D$27*12,V436*(1+'Input sheet(dashboard)'!$E$25)+U437,0)</f>
        <v>9352369.1644623689</v>
      </c>
      <c r="W437" s="17">
        <f>IF(B437&lt;='Input sheet(dashboard)'!$D$27*12,J437-I437+V437-N437,0)</f>
        <v>61136650.782238618</v>
      </c>
      <c r="X437" s="3">
        <f>IF(B437&lt;='Input sheet(dashboard)'!$D$27*12,'Input sheet(dashboard)'!$D$17*(1+'Input sheet(dashboard)'!$E$23)^(B437-1),0)</f>
        <v>150648.26630027153</v>
      </c>
      <c r="Y437" s="3"/>
      <c r="Z437" s="18"/>
      <c r="AA437" s="18"/>
      <c r="AB437" s="3">
        <f>IF(B437=1,'Input sheet(dashboard)'!$D$18*Calculations!X437,IF(Calculations!B437=12*'Input sheet(dashboard)'!$D$27,'Input sheet(dashboard)'!$D$18*-Calculations!X437,0))</f>
        <v>0</v>
      </c>
      <c r="AC437" s="3">
        <f>IF(B437&lt;='Input sheet(dashboard)'!$D$27*12,IF(MOD(B436,'Input sheet(dashboard)'!$D$19*12),0,'Input sheet(dashboard)'!$D$20*(1+'Input sheet(dashboard)'!$E$22)^Calculations!B437),0)</f>
        <v>0</v>
      </c>
      <c r="AD437" s="17">
        <f t="shared" si="57"/>
        <v>150648.26630027153</v>
      </c>
      <c r="AE437" s="17">
        <f>IF(B437&lt;='Input sheet(dashboard)'!$D$27*12,IF(D437=12,SUM(AD426:AD437),0),0)</f>
        <v>0</v>
      </c>
      <c r="AF437" s="17">
        <f t="shared" si="58"/>
        <v>-88678.513371556444</v>
      </c>
      <c r="AG437" s="17">
        <f t="shared" si="59"/>
        <v>0</v>
      </c>
      <c r="AH437" s="3">
        <f>IF(B437&lt;='Input sheet(dashboard)'!$D$27*12,AH436*(1+'Input sheet(dashboard)'!$E$25)+AG437," ")</f>
        <v>55106246.544800483</v>
      </c>
    </row>
    <row r="438" spans="2:34">
      <c r="B438">
        <f t="shared" si="54"/>
        <v>435</v>
      </c>
      <c r="C438">
        <f t="shared" si="61"/>
        <v>37</v>
      </c>
      <c r="D438">
        <f t="shared" si="62"/>
        <v>3</v>
      </c>
      <c r="E438" s="15">
        <f>IF(C438&lt;='Input sheet(dashboard)'!$D$6, -PMT('Input sheet(dashboard)'!$E$5,'Input sheet(dashboard)'!$D$6*12,'Input sheet(dashboard)'!$D$3*'Input sheet(dashboard)'!$D$4),0)</f>
        <v>0</v>
      </c>
      <c r="F438" s="3">
        <f>I437*'Input sheet(dashboard)'!$E$5</f>
        <v>9.8861560084509554E-12</v>
      </c>
      <c r="G438" s="3">
        <f>IF(C438&lt;='Input sheet(dashboard)'!$D$6,E438*'Input sheet(dashboard)'!$D$7,0)</f>
        <v>0</v>
      </c>
      <c r="H438" s="3">
        <f t="shared" si="55"/>
        <v>-9.8861560084509554E-12</v>
      </c>
      <c r="I438" s="3">
        <f t="shared" si="56"/>
        <v>2.7237839397592028E-9</v>
      </c>
      <c r="J438" s="3">
        <f>IF(B438&lt;='Input sheet(dashboard)'!$D$27*12,'Input sheet(dashboard)'!$D$3*(1+'Input sheet(dashboard)'!$E$24)^B438,0)</f>
        <v>51995257.191134393</v>
      </c>
      <c r="K438" s="3">
        <f>IF(B438&lt;='Input sheet(dashboard)'!$D$27*12,J438*'Input sheet(dashboard)'!$E$8,0)</f>
        <v>53853.880418933571</v>
      </c>
      <c r="L438" s="3">
        <f>IF(B438&lt;='Input sheet(dashboard)'!$D$27*12,'Input sheet(dashboard)'!$D$9*(1+'Input sheet(dashboard)'!$E$22)^B438,0)</f>
        <v>7342.7945207655275</v>
      </c>
      <c r="M438" s="3">
        <f>IF(B438=1,'Input sheet(dashboard)'!$D$3*'Input sheet(dashboard)'!$D$10,0)</f>
        <v>0</v>
      </c>
      <c r="N438" s="3">
        <f>IF(B438='Input sheet(dashboard)'!$D$27*12,J438*'Input sheet(dashboard)'!$D$11,0)</f>
        <v>0</v>
      </c>
      <c r="O438" s="3">
        <f>IF(SUM(F438:F449)&gt;=150000,150000/12*'Input sheet(dashboard)'!$D$28,SUM(F438:F449)/12*'Input sheet(dashboard)'!$D$28)</f>
        <v>1.5129980144410524E-12</v>
      </c>
      <c r="P438" s="3">
        <f t="shared" si="60"/>
        <v>0</v>
      </c>
      <c r="Q438" s="3">
        <f>IF(B438&lt;='Input sheet(dashboard)'!$D$27*12,'Input sheet(dashboard)'!$D$12/12,0)</f>
        <v>192.5</v>
      </c>
      <c r="R438" s="3">
        <f>IF(B438&lt;='Input sheet(dashboard)'!$D$27*12,('Input sheet(dashboard)'!$D$15/12)*(1+'Input sheet(dashboard)'!$E$22)^Calculations!B438,0)</f>
        <v>815.86605786283633</v>
      </c>
      <c r="S438" s="3">
        <f>IF(B438&lt;='Input sheet(dashboard)'!$D$27*12,(E438+G438+K438+L438-O438+M438+Q438+R438),0)</f>
        <v>62205.040997561933</v>
      </c>
      <c r="T438" s="3">
        <f>IF(B438&lt;='Input sheet(dashboard)'!$D$27*12,IF(D438=12,SUM(S427:S438),0),0)</f>
        <v>0</v>
      </c>
      <c r="U438" s="3">
        <f>IF(B438&lt;='Input sheet(dashboard)'!$D$27*12,IF(S438&lt;AD438,AD438-S438,0),0)</f>
        <v>89056.984987408941</v>
      </c>
      <c r="V438" s="3">
        <f>IF(B438&lt;='Input sheet(dashboard)'!$D$27*12,V437*(1+'Input sheet(dashboard)'!$E$25)+U438,0)</f>
        <v>9501599.5742537975</v>
      </c>
      <c r="W438" s="17">
        <f>IF(B438&lt;='Input sheet(dashboard)'!$D$27*12,J438-I438+V438-N438,0)</f>
        <v>61496856.765388191</v>
      </c>
      <c r="X438" s="3">
        <f>IF(B438&lt;='Input sheet(dashboard)'!$D$27*12,'Input sheet(dashboard)'!$D$17*(1+'Input sheet(dashboard)'!$E$23)^(B438-1),0)</f>
        <v>151262.02598497088</v>
      </c>
      <c r="Y438" s="3"/>
      <c r="Z438" s="18"/>
      <c r="AA438" s="18"/>
      <c r="AB438" s="3">
        <f>IF(B438=1,'Input sheet(dashboard)'!$D$18*Calculations!X438,IF(Calculations!B438=12*'Input sheet(dashboard)'!$D$27,'Input sheet(dashboard)'!$D$18*-Calculations!X438,0))</f>
        <v>0</v>
      </c>
      <c r="AC438" s="3">
        <f>IF(B438&lt;='Input sheet(dashboard)'!$D$27*12,IF(MOD(B437,'Input sheet(dashboard)'!$D$19*12),0,'Input sheet(dashboard)'!$D$20*(1+'Input sheet(dashboard)'!$E$22)^Calculations!B438),0)</f>
        <v>0</v>
      </c>
      <c r="AD438" s="17">
        <f t="shared" si="57"/>
        <v>151262.02598497088</v>
      </c>
      <c r="AE438" s="17">
        <f>IF(B438&lt;='Input sheet(dashboard)'!$D$27*12,IF(D438=12,SUM(AD427:AD438),0),0)</f>
        <v>0</v>
      </c>
      <c r="AF438" s="17">
        <f t="shared" si="58"/>
        <v>-89056.984987408941</v>
      </c>
      <c r="AG438" s="17">
        <f t="shared" si="59"/>
        <v>0</v>
      </c>
      <c r="AH438" s="3">
        <f>IF(B438&lt;='Input sheet(dashboard)'!$D$27*12,AH437*(1+'Input sheet(dashboard)'!$E$25)+AG438," ")</f>
        <v>55460801.794319004</v>
      </c>
    </row>
    <row r="439" spans="2:34">
      <c r="B439">
        <f t="shared" si="54"/>
        <v>436</v>
      </c>
      <c r="C439">
        <f t="shared" si="61"/>
        <v>37</v>
      </c>
      <c r="D439">
        <f t="shared" si="62"/>
        <v>4</v>
      </c>
      <c r="E439" s="15">
        <f>IF(C439&lt;='Input sheet(dashboard)'!$D$6, -PMT('Input sheet(dashboard)'!$E$5,'Input sheet(dashboard)'!$D$6*12,'Input sheet(dashboard)'!$D$3*'Input sheet(dashboard)'!$D$4),0)</f>
        <v>0</v>
      </c>
      <c r="F439" s="3">
        <f>I438*'Input sheet(dashboard)'!$E$5</f>
        <v>9.9221691852215103E-12</v>
      </c>
      <c r="G439" s="3">
        <f>IF(C439&lt;='Input sheet(dashboard)'!$D$6,E439*'Input sheet(dashboard)'!$D$7,0)</f>
        <v>0</v>
      </c>
      <c r="H439" s="3">
        <f t="shared" si="55"/>
        <v>-9.9221691852215103E-12</v>
      </c>
      <c r="I439" s="3">
        <f t="shared" si="56"/>
        <v>2.7337061089444244E-9</v>
      </c>
      <c r="J439" s="3">
        <f>IF(B439&lt;='Input sheet(dashboard)'!$D$27*12,'Input sheet(dashboard)'!$D$3*(1+'Input sheet(dashboard)'!$E$24)^B439,0)</f>
        <v>52207092.305093698</v>
      </c>
      <c r="K439" s="3">
        <f>IF(B439&lt;='Input sheet(dashboard)'!$D$27*12,J439*'Input sheet(dashboard)'!$E$8,0)</f>
        <v>54073.287793990094</v>
      </c>
      <c r="L439" s="3">
        <f>IF(B439&lt;='Input sheet(dashboard)'!$D$27*12,'Input sheet(dashboard)'!$D$9*(1+'Input sheet(dashboard)'!$E$22)^B439,0)</f>
        <v>7357.9194752414051</v>
      </c>
      <c r="M439" s="3">
        <f>IF(B439=1,'Input sheet(dashboard)'!$D$3*'Input sheet(dashboard)'!$D$10,0)</f>
        <v>0</v>
      </c>
      <c r="N439" s="3">
        <f>IF(B439='Input sheet(dashboard)'!$D$27*12,J439*'Input sheet(dashboard)'!$D$11,0)</f>
        <v>0</v>
      </c>
      <c r="O439" s="3">
        <f>IF(SUM(F439:F450)&gt;=150000,150000/12*'Input sheet(dashboard)'!$D$28,SUM(F439:F450)/12*'Input sheet(dashboard)'!$D$28)</f>
        <v>1.5185095464157641E-12</v>
      </c>
      <c r="P439" s="3">
        <f t="shared" si="60"/>
        <v>0</v>
      </c>
      <c r="Q439" s="3">
        <f>IF(B439&lt;='Input sheet(dashboard)'!$D$27*12,'Input sheet(dashboard)'!$D$12/12,0)</f>
        <v>192.5</v>
      </c>
      <c r="R439" s="3">
        <f>IF(B439&lt;='Input sheet(dashboard)'!$D$27*12,('Input sheet(dashboard)'!$D$15/12)*(1+'Input sheet(dashboard)'!$E$22)^Calculations!B439,0)</f>
        <v>817.54660836015614</v>
      </c>
      <c r="S439" s="3">
        <f>IF(B439&lt;='Input sheet(dashboard)'!$D$27*12,(E439+G439+K439+L439-O439+M439+Q439+R439),0)</f>
        <v>62441.253877591655</v>
      </c>
      <c r="T439" s="3">
        <f>IF(B439&lt;='Input sheet(dashboard)'!$D$27*12,IF(D439=12,SUM(S428:S439),0),0)</f>
        <v>0</v>
      </c>
      <c r="U439" s="3">
        <f>IF(B439&lt;='Input sheet(dashboard)'!$D$27*12,IF(S439&lt;AD439,AD439-S439,0),0)</f>
        <v>89437.032325007458</v>
      </c>
      <c r="V439" s="3">
        <f>IF(B439&lt;='Input sheet(dashboard)'!$D$27*12,V438*(1+'Input sheet(dashboard)'!$E$25)+U439,0)</f>
        <v>9652170.1843327489</v>
      </c>
      <c r="W439" s="17">
        <f>IF(B439&lt;='Input sheet(dashboard)'!$D$27*12,J439-I439+V439-N439,0)</f>
        <v>61859262.489426449</v>
      </c>
      <c r="X439" s="3">
        <f>IF(B439&lt;='Input sheet(dashboard)'!$D$27*12,'Input sheet(dashboard)'!$D$17*(1+'Input sheet(dashboard)'!$E$23)^(B439-1),0)</f>
        <v>151878.28620259912</v>
      </c>
      <c r="Y439" s="3"/>
      <c r="Z439" s="18"/>
      <c r="AA439" s="18"/>
      <c r="AB439" s="3">
        <f>IF(B439=1,'Input sheet(dashboard)'!$D$18*Calculations!X439,IF(Calculations!B439=12*'Input sheet(dashboard)'!$D$27,'Input sheet(dashboard)'!$D$18*-Calculations!X439,0))</f>
        <v>0</v>
      </c>
      <c r="AC439" s="3">
        <f>IF(B439&lt;='Input sheet(dashboard)'!$D$27*12,IF(MOD(B438,'Input sheet(dashboard)'!$D$19*12),0,'Input sheet(dashboard)'!$D$20*(1+'Input sheet(dashboard)'!$E$22)^Calculations!B439),0)</f>
        <v>0</v>
      </c>
      <c r="AD439" s="17">
        <f t="shared" si="57"/>
        <v>151878.28620259912</v>
      </c>
      <c r="AE439" s="17">
        <f>IF(B439&lt;='Input sheet(dashboard)'!$D$27*12,IF(D439=12,SUM(AD428:AD439),0),0)</f>
        <v>0</v>
      </c>
      <c r="AF439" s="17">
        <f t="shared" si="58"/>
        <v>-89437.032325007458</v>
      </c>
      <c r="AG439" s="17">
        <f t="shared" si="59"/>
        <v>0</v>
      </c>
      <c r="AH439" s="3">
        <f>IF(B439&lt;='Input sheet(dashboard)'!$D$27*12,AH438*(1+'Input sheet(dashboard)'!$E$25)+AG439," ")</f>
        <v>55817638.262988582</v>
      </c>
    </row>
    <row r="440" spans="2:34">
      <c r="B440">
        <f t="shared" si="54"/>
        <v>437</v>
      </c>
      <c r="C440">
        <f t="shared" si="61"/>
        <v>37</v>
      </c>
      <c r="D440">
        <f t="shared" si="62"/>
        <v>5</v>
      </c>
      <c r="E440" s="15">
        <f>IF(C440&lt;='Input sheet(dashboard)'!$D$6, -PMT('Input sheet(dashboard)'!$E$5,'Input sheet(dashboard)'!$D$6*12,'Input sheet(dashboard)'!$D$3*'Input sheet(dashboard)'!$D$4),0)</f>
        <v>0</v>
      </c>
      <c r="F440" s="3">
        <f>I439*'Input sheet(dashboard)'!$E$5</f>
        <v>9.9583135503831844E-12</v>
      </c>
      <c r="G440" s="3">
        <f>IF(C440&lt;='Input sheet(dashboard)'!$D$6,E440*'Input sheet(dashboard)'!$D$7,0)</f>
        <v>0</v>
      </c>
      <c r="H440" s="3">
        <f t="shared" si="55"/>
        <v>-9.9583135503831844E-12</v>
      </c>
      <c r="I440" s="3">
        <f t="shared" si="56"/>
        <v>2.7436644224948076E-9</v>
      </c>
      <c r="J440" s="3">
        <f>IF(B440&lt;='Input sheet(dashboard)'!$D$27*12,'Input sheet(dashboard)'!$D$3*(1+'Input sheet(dashboard)'!$E$24)^B440,0)</f>
        <v>52419790.461529002</v>
      </c>
      <c r="K440" s="3">
        <f>IF(B440&lt;='Input sheet(dashboard)'!$D$27*12,J440*'Input sheet(dashboard)'!$E$8,0)</f>
        <v>54293.58906185165</v>
      </c>
      <c r="L440" s="3">
        <f>IF(B440&lt;='Input sheet(dashboard)'!$D$27*12,'Input sheet(dashboard)'!$D$9*(1+'Input sheet(dashboard)'!$E$22)^B440,0)</f>
        <v>7373.0755846470875</v>
      </c>
      <c r="M440" s="3">
        <f>IF(B440=1,'Input sheet(dashboard)'!$D$3*'Input sheet(dashboard)'!$D$10,0)</f>
        <v>0</v>
      </c>
      <c r="N440" s="3">
        <f>IF(B440='Input sheet(dashboard)'!$D$27*12,J440*'Input sheet(dashboard)'!$D$11,0)</f>
        <v>0</v>
      </c>
      <c r="O440" s="3">
        <f>IF(SUM(F440:F451)&gt;=150000,150000/12*'Input sheet(dashboard)'!$D$28,SUM(F440:F451)/12*'Input sheet(dashboard)'!$D$28)</f>
        <v>1.5240411557365253E-12</v>
      </c>
      <c r="P440" s="3">
        <f t="shared" si="60"/>
        <v>0</v>
      </c>
      <c r="Q440" s="3">
        <f>IF(B440&lt;='Input sheet(dashboard)'!$D$27*12,'Input sheet(dashboard)'!$D$12/12,0)</f>
        <v>192.5</v>
      </c>
      <c r="R440" s="3">
        <f>IF(B440&lt;='Input sheet(dashboard)'!$D$27*12,('Input sheet(dashboard)'!$D$15/12)*(1+'Input sheet(dashboard)'!$E$22)^Calculations!B440,0)</f>
        <v>819.23062051634292</v>
      </c>
      <c r="S440" s="3">
        <f>IF(B440&lt;='Input sheet(dashboard)'!$D$27*12,(E440+G440+K440+L440-O440+M440+Q440+R440),0)</f>
        <v>62678.395267015076</v>
      </c>
      <c r="T440" s="3">
        <f>IF(B440&lt;='Input sheet(dashboard)'!$D$27*12,IF(D440=12,SUM(S429:S440),0),0)</f>
        <v>0</v>
      </c>
      <c r="U440" s="3">
        <f>IF(B440&lt;='Input sheet(dashboard)'!$D$27*12,IF(S440&lt;AD440,AD440-S440,0),0)</f>
        <v>89818.661873621793</v>
      </c>
      <c r="V440" s="3">
        <f>IF(B440&lt;='Input sheet(dashboard)'!$D$27*12,V439*(1+'Input sheet(dashboard)'!$E$25)+U440,0)</f>
        <v>9804091.1997992452</v>
      </c>
      <c r="W440" s="17">
        <f>IF(B440&lt;='Input sheet(dashboard)'!$D$27*12,J440-I440+V440-N440,0)</f>
        <v>62223881.661328249</v>
      </c>
      <c r="X440" s="3">
        <f>IF(B440&lt;='Input sheet(dashboard)'!$D$27*12,'Input sheet(dashboard)'!$D$17*(1+'Input sheet(dashboard)'!$E$23)^(B440-1),0)</f>
        <v>152497.05714063687</v>
      </c>
      <c r="Y440" s="3"/>
      <c r="Z440" s="18"/>
      <c r="AA440" s="18"/>
      <c r="AB440" s="3">
        <f>IF(B440=1,'Input sheet(dashboard)'!$D$18*Calculations!X440,IF(Calculations!B440=12*'Input sheet(dashboard)'!$D$27,'Input sheet(dashboard)'!$D$18*-Calculations!X440,0))</f>
        <v>0</v>
      </c>
      <c r="AC440" s="3">
        <f>IF(B440&lt;='Input sheet(dashboard)'!$D$27*12,IF(MOD(B439,'Input sheet(dashboard)'!$D$19*12),0,'Input sheet(dashboard)'!$D$20*(1+'Input sheet(dashboard)'!$E$22)^Calculations!B440),0)</f>
        <v>0</v>
      </c>
      <c r="AD440" s="17">
        <f t="shared" si="57"/>
        <v>152497.05714063687</v>
      </c>
      <c r="AE440" s="17">
        <f>IF(B440&lt;='Input sheet(dashboard)'!$D$27*12,IF(D440=12,SUM(AD429:AD440),0),0)</f>
        <v>0</v>
      </c>
      <c r="AF440" s="17">
        <f t="shared" si="58"/>
        <v>-89818.661873621793</v>
      </c>
      <c r="AG440" s="17">
        <f t="shared" si="59"/>
        <v>0</v>
      </c>
      <c r="AH440" s="3">
        <f>IF(B440&lt;='Input sheet(dashboard)'!$D$27*12,AH439*(1+'Input sheet(dashboard)'!$E$25)+AG440," ")</f>
        <v>56176770.628241934</v>
      </c>
    </row>
    <row r="441" spans="2:34">
      <c r="B441">
        <f t="shared" si="54"/>
        <v>438</v>
      </c>
      <c r="C441">
        <f t="shared" si="61"/>
        <v>37</v>
      </c>
      <c r="D441">
        <f t="shared" si="62"/>
        <v>6</v>
      </c>
      <c r="E441" s="15">
        <f>IF(C441&lt;='Input sheet(dashboard)'!$D$6, -PMT('Input sheet(dashboard)'!$E$5,'Input sheet(dashboard)'!$D$6*12,'Input sheet(dashboard)'!$D$3*'Input sheet(dashboard)'!$D$4),0)</f>
        <v>0</v>
      </c>
      <c r="F441" s="3">
        <f>I440*'Input sheet(dashboard)'!$E$5</f>
        <v>9.9945895818275584E-12</v>
      </c>
      <c r="G441" s="3">
        <f>IF(C441&lt;='Input sheet(dashboard)'!$D$6,E441*'Input sheet(dashboard)'!$D$7,0)</f>
        <v>0</v>
      </c>
      <c r="H441" s="3">
        <f t="shared" si="55"/>
        <v>-9.9945895818275584E-12</v>
      </c>
      <c r="I441" s="3">
        <f t="shared" si="56"/>
        <v>2.753659012076635E-9</v>
      </c>
      <c r="J441" s="3">
        <f>IF(B441&lt;='Input sheet(dashboard)'!$D$27*12,'Input sheet(dashboard)'!$D$3*(1+'Input sheet(dashboard)'!$E$24)^B441,0)</f>
        <v>52633355.176582195</v>
      </c>
      <c r="K441" s="3">
        <f>IF(B441&lt;='Input sheet(dashboard)'!$D$27*12,J441*'Input sheet(dashboard)'!$E$8,0)</f>
        <v>54514.787864348182</v>
      </c>
      <c r="L441" s="3">
        <f>IF(B441&lt;='Input sheet(dashboard)'!$D$27*12,'Input sheet(dashboard)'!$D$9*(1+'Input sheet(dashboard)'!$E$22)^B441,0)</f>
        <v>7388.2629131566364</v>
      </c>
      <c r="M441" s="3">
        <f>IF(B441=1,'Input sheet(dashboard)'!$D$3*'Input sheet(dashboard)'!$D$10,0)</f>
        <v>0</v>
      </c>
      <c r="N441" s="3">
        <f>IF(B441='Input sheet(dashboard)'!$D$27*12,J441*'Input sheet(dashboard)'!$D$11,0)</f>
        <v>0</v>
      </c>
      <c r="O441" s="3">
        <f>IF(SUM(F441:F452)&gt;=150000,150000/12*'Input sheet(dashboard)'!$D$28,SUM(F441:F452)/12*'Input sheet(dashboard)'!$D$28)</f>
        <v>1.5295929155408638E-12</v>
      </c>
      <c r="P441" s="3">
        <f t="shared" si="60"/>
        <v>0</v>
      </c>
      <c r="Q441" s="3">
        <f>IF(B441&lt;='Input sheet(dashboard)'!$D$27*12,'Input sheet(dashboard)'!$D$12/12,0)</f>
        <v>192.5</v>
      </c>
      <c r="R441" s="3">
        <f>IF(B441&lt;='Input sheet(dashboard)'!$D$27*12,('Input sheet(dashboard)'!$D$15/12)*(1+'Input sheet(dashboard)'!$E$22)^Calculations!B441,0)</f>
        <v>820.91810146184844</v>
      </c>
      <c r="S441" s="3">
        <f>IF(B441&lt;='Input sheet(dashboard)'!$D$27*12,(E441+G441+K441+L441-O441+M441+Q441+R441),0)</f>
        <v>62916.468878966669</v>
      </c>
      <c r="T441" s="3">
        <f>IF(B441&lt;='Input sheet(dashboard)'!$D$27*12,IF(D441=12,SUM(S430:S441),0),0)</f>
        <v>0</v>
      </c>
      <c r="U441" s="3">
        <f>IF(B441&lt;='Input sheet(dashboard)'!$D$27*12,IF(S441&lt;AD441,AD441-S441,0),0)</f>
        <v>90201.880149103235</v>
      </c>
      <c r="V441" s="3">
        <f>IF(B441&lt;='Input sheet(dashboard)'!$D$27*12,V440*(1+'Input sheet(dashboard)'!$E$25)+U441,0)</f>
        <v>9957372.8979290761</v>
      </c>
      <c r="W441" s="17">
        <f>IF(B441&lt;='Input sheet(dashboard)'!$D$27*12,J441-I441+V441-N441,0)</f>
        <v>62590728.074511275</v>
      </c>
      <c r="X441" s="3">
        <f>IF(B441&lt;='Input sheet(dashboard)'!$D$27*12,'Input sheet(dashboard)'!$D$17*(1+'Input sheet(dashboard)'!$E$23)^(B441-1),0)</f>
        <v>153118.3490280699</v>
      </c>
      <c r="Y441" s="3"/>
      <c r="Z441" s="18"/>
      <c r="AA441" s="18"/>
      <c r="AB441" s="3">
        <f>IF(B441=1,'Input sheet(dashboard)'!$D$18*Calculations!X441,IF(Calculations!B441=12*'Input sheet(dashboard)'!$D$27,'Input sheet(dashboard)'!$D$18*-Calculations!X441,0))</f>
        <v>0</v>
      </c>
      <c r="AC441" s="3">
        <f>IF(B441&lt;='Input sheet(dashboard)'!$D$27*12,IF(MOD(B440,'Input sheet(dashboard)'!$D$19*12),0,'Input sheet(dashboard)'!$D$20*(1+'Input sheet(dashboard)'!$E$22)^Calculations!B441),0)</f>
        <v>0</v>
      </c>
      <c r="AD441" s="17">
        <f t="shared" si="57"/>
        <v>153118.3490280699</v>
      </c>
      <c r="AE441" s="17">
        <f>IF(B441&lt;='Input sheet(dashboard)'!$D$27*12,IF(D441=12,SUM(AD430:AD441),0),0)</f>
        <v>0</v>
      </c>
      <c r="AF441" s="17">
        <f t="shared" si="58"/>
        <v>-90201.880149103235</v>
      </c>
      <c r="AG441" s="17">
        <f t="shared" si="59"/>
        <v>0</v>
      </c>
      <c r="AH441" s="3">
        <f>IF(B441&lt;='Input sheet(dashboard)'!$D$27*12,AH440*(1+'Input sheet(dashboard)'!$E$25)+AG441," ")</f>
        <v>56538213.661946796</v>
      </c>
    </row>
    <row r="442" spans="2:34">
      <c r="B442">
        <f t="shared" si="54"/>
        <v>439</v>
      </c>
      <c r="C442">
        <f t="shared" si="61"/>
        <v>37</v>
      </c>
      <c r="D442">
        <f t="shared" si="62"/>
        <v>7</v>
      </c>
      <c r="E442" s="15">
        <f>IF(C442&lt;='Input sheet(dashboard)'!$D$6, -PMT('Input sheet(dashboard)'!$E$5,'Input sheet(dashboard)'!$D$6*12,'Input sheet(dashboard)'!$D$3*'Input sheet(dashboard)'!$D$4),0)</f>
        <v>0</v>
      </c>
      <c r="F442" s="3">
        <f>I441*'Input sheet(dashboard)'!$E$5</f>
        <v>1.0030997759187071E-11</v>
      </c>
      <c r="G442" s="3">
        <f>IF(C442&lt;='Input sheet(dashboard)'!$D$6,E442*'Input sheet(dashboard)'!$D$7,0)</f>
        <v>0</v>
      </c>
      <c r="H442" s="3">
        <f t="shared" si="55"/>
        <v>-1.0030997759187071E-11</v>
      </c>
      <c r="I442" s="3">
        <f t="shared" si="56"/>
        <v>2.7636900098358219E-9</v>
      </c>
      <c r="J442" s="3">
        <f>IF(B442&lt;='Input sheet(dashboard)'!$D$27*12,'Input sheet(dashboard)'!$D$3*(1+'Input sheet(dashboard)'!$E$24)^B442,0)</f>
        <v>52847789.980720311</v>
      </c>
      <c r="K442" s="3">
        <f>IF(B442&lt;='Input sheet(dashboard)'!$D$27*12,J442*'Input sheet(dashboard)'!$E$8,0)</f>
        <v>54736.88785814686</v>
      </c>
      <c r="L442" s="3">
        <f>IF(B442&lt;='Input sheet(dashboard)'!$D$27*12,'Input sheet(dashboard)'!$D$9*(1+'Input sheet(dashboard)'!$E$22)^B442,0)</f>
        <v>7403.4815250762922</v>
      </c>
      <c r="M442" s="3">
        <f>IF(B442=1,'Input sheet(dashboard)'!$D$3*'Input sheet(dashboard)'!$D$10,0)</f>
        <v>0</v>
      </c>
      <c r="N442" s="3">
        <f>IF(B442='Input sheet(dashboard)'!$D$27*12,J442*'Input sheet(dashboard)'!$D$11,0)</f>
        <v>0</v>
      </c>
      <c r="O442" s="3">
        <f>IF(SUM(F442:F453)&gt;=150000,150000/12*'Input sheet(dashboard)'!$D$28,SUM(F442:F453)/12*'Input sheet(dashboard)'!$D$28)</f>
        <v>1.5351648992327325E-12</v>
      </c>
      <c r="P442" s="3">
        <f t="shared" si="60"/>
        <v>0</v>
      </c>
      <c r="Q442" s="3">
        <f>IF(B442&lt;='Input sheet(dashboard)'!$D$27*12,'Input sheet(dashboard)'!$D$12/12,0)</f>
        <v>192.5</v>
      </c>
      <c r="R442" s="3">
        <f>IF(B442&lt;='Input sheet(dashboard)'!$D$27*12,('Input sheet(dashboard)'!$D$15/12)*(1+'Input sheet(dashboard)'!$E$22)^Calculations!B442,0)</f>
        <v>822.60905834181017</v>
      </c>
      <c r="S442" s="3">
        <f>IF(B442&lt;='Input sheet(dashboard)'!$D$27*12,(E442+G442+K442+L442-O442+M442+Q442+R442),0)</f>
        <v>63155.478441564963</v>
      </c>
      <c r="T442" s="3">
        <f>IF(B442&lt;='Input sheet(dashboard)'!$D$27*12,IF(D442=12,SUM(S431:S442),0),0)</f>
        <v>0</v>
      </c>
      <c r="U442" s="3">
        <f>IF(B442&lt;='Input sheet(dashboard)'!$D$27*12,IF(S442&lt;AD442,AD442-S442,0),0)</f>
        <v>90586.69369399322</v>
      </c>
      <c r="V442" s="3">
        <f>IF(B442&lt;='Input sheet(dashboard)'!$D$27*12,V441*(1+'Input sheet(dashboard)'!$E$25)+U442,0)</f>
        <v>10112025.628664877</v>
      </c>
      <c r="W442" s="17">
        <f>IF(B442&lt;='Input sheet(dashboard)'!$D$27*12,J442-I442+V442-N442,0)</f>
        <v>62959815.609385192</v>
      </c>
      <c r="X442" s="3">
        <f>IF(B442&lt;='Input sheet(dashboard)'!$D$27*12,'Input sheet(dashboard)'!$D$17*(1+'Input sheet(dashboard)'!$E$23)^(B442-1),0)</f>
        <v>153742.17213555818</v>
      </c>
      <c r="Y442" s="3"/>
      <c r="Z442" s="18"/>
      <c r="AA442" s="18"/>
      <c r="AB442" s="3">
        <f>IF(B442=1,'Input sheet(dashboard)'!$D$18*Calculations!X442,IF(Calculations!B442=12*'Input sheet(dashboard)'!$D$27,'Input sheet(dashboard)'!$D$18*-Calculations!X442,0))</f>
        <v>0</v>
      </c>
      <c r="AC442" s="3">
        <f>IF(B442&lt;='Input sheet(dashboard)'!$D$27*12,IF(MOD(B441,'Input sheet(dashboard)'!$D$19*12),0,'Input sheet(dashboard)'!$D$20*(1+'Input sheet(dashboard)'!$E$22)^Calculations!B442),0)</f>
        <v>0</v>
      </c>
      <c r="AD442" s="17">
        <f t="shared" si="57"/>
        <v>153742.17213555818</v>
      </c>
      <c r="AE442" s="17">
        <f>IF(B442&lt;='Input sheet(dashboard)'!$D$27*12,IF(D442=12,SUM(AD431:AD442),0),0)</f>
        <v>0</v>
      </c>
      <c r="AF442" s="17">
        <f t="shared" si="58"/>
        <v>-90586.69369399322</v>
      </c>
      <c r="AG442" s="17">
        <f t="shared" si="59"/>
        <v>0</v>
      </c>
      <c r="AH442" s="3">
        <f>IF(B442&lt;='Input sheet(dashboard)'!$D$27*12,AH441*(1+'Input sheet(dashboard)'!$E$25)+AG442," ")</f>
        <v>56901982.231013566</v>
      </c>
    </row>
    <row r="443" spans="2:34">
      <c r="B443">
        <f t="shared" si="54"/>
        <v>440</v>
      </c>
      <c r="C443">
        <f t="shared" si="61"/>
        <v>37</v>
      </c>
      <c r="D443">
        <f t="shared" si="62"/>
        <v>8</v>
      </c>
      <c r="E443" s="15">
        <f>IF(C443&lt;='Input sheet(dashboard)'!$D$6, -PMT('Input sheet(dashboard)'!$E$5,'Input sheet(dashboard)'!$D$6*12,'Input sheet(dashboard)'!$D$3*'Input sheet(dashboard)'!$D$4),0)</f>
        <v>0</v>
      </c>
      <c r="F443" s="3">
        <f>I442*'Input sheet(dashboard)'!$E$5</f>
        <v>1.0067538563841358E-11</v>
      </c>
      <c r="G443" s="3">
        <f>IF(C443&lt;='Input sheet(dashboard)'!$D$6,E443*'Input sheet(dashboard)'!$D$7,0)</f>
        <v>0</v>
      </c>
      <c r="H443" s="3">
        <f t="shared" si="55"/>
        <v>-1.0067538563841358E-11</v>
      </c>
      <c r="I443" s="3">
        <f t="shared" si="56"/>
        <v>2.7737575483996634E-9</v>
      </c>
      <c r="J443" s="3">
        <f>IF(B443&lt;='Input sheet(dashboard)'!$D$27*12,'Input sheet(dashboard)'!$D$3*(1+'Input sheet(dashboard)'!$E$24)^B443,0)</f>
        <v>53063098.418794028</v>
      </c>
      <c r="K443" s="3">
        <f>IF(B443&lt;='Input sheet(dashboard)'!$D$27*12,J443*'Input sheet(dashboard)'!$E$8,0)</f>
        <v>54959.892714812639</v>
      </c>
      <c r="L443" s="3">
        <f>IF(B443&lt;='Input sheet(dashboard)'!$D$27*12,'Input sheet(dashboard)'!$D$9*(1+'Input sheet(dashboard)'!$E$22)^B443,0)</f>
        <v>7418.731484844754</v>
      </c>
      <c r="M443" s="3">
        <f>IF(B443=1,'Input sheet(dashboard)'!$D$3*'Input sheet(dashboard)'!$D$10,0)</f>
        <v>0</v>
      </c>
      <c r="N443" s="3">
        <f>IF(B443='Input sheet(dashboard)'!$D$27*12,J443*'Input sheet(dashboard)'!$D$11,0)</f>
        <v>0</v>
      </c>
      <c r="O443" s="3">
        <f>IF(SUM(F443:F454)&gt;=150000,150000/12*'Input sheet(dashboard)'!$D$28,SUM(F443:F454)/12*'Input sheet(dashboard)'!$D$28)</f>
        <v>1.5407571804834794E-12</v>
      </c>
      <c r="P443" s="3">
        <f t="shared" si="60"/>
        <v>0</v>
      </c>
      <c r="Q443" s="3">
        <f>IF(B443&lt;='Input sheet(dashboard)'!$D$27*12,'Input sheet(dashboard)'!$D$12/12,0)</f>
        <v>192.5</v>
      </c>
      <c r="R443" s="3">
        <f>IF(B443&lt;='Input sheet(dashboard)'!$D$27*12,('Input sheet(dashboard)'!$D$15/12)*(1+'Input sheet(dashboard)'!$E$22)^Calculations!B443,0)</f>
        <v>824.30349831608373</v>
      </c>
      <c r="S443" s="3">
        <f>IF(B443&lt;='Input sheet(dashboard)'!$D$27*12,(E443+G443+K443+L443-O443+M443+Q443+R443),0)</f>
        <v>63395.427697973479</v>
      </c>
      <c r="T443" s="3">
        <f>IF(B443&lt;='Input sheet(dashboard)'!$D$27*12,IF(D443=12,SUM(S432:S443),0),0)</f>
        <v>0</v>
      </c>
      <c r="U443" s="3">
        <f>IF(B443&lt;='Input sheet(dashboard)'!$D$27*12,IF(S443&lt;AD443,AD443-S443,0),0)</f>
        <v>90973.109077631903</v>
      </c>
      <c r="V443" s="3">
        <f>IF(B443&lt;='Input sheet(dashboard)'!$D$27*12,V442*(1+'Input sheet(dashboard)'!$E$25)+U443,0)</f>
        <v>10268059.815110466</v>
      </c>
      <c r="W443" s="17">
        <f>IF(B443&lt;='Input sheet(dashboard)'!$D$27*12,J443-I443+V443-N443,0)</f>
        <v>63331158.233904496</v>
      </c>
      <c r="X443" s="3">
        <f>IF(B443&lt;='Input sheet(dashboard)'!$D$27*12,'Input sheet(dashboard)'!$D$17*(1+'Input sheet(dashboard)'!$E$23)^(B443-1),0)</f>
        <v>154368.53677560537</v>
      </c>
      <c r="Y443" s="3"/>
      <c r="Z443" s="18"/>
      <c r="AA443" s="18"/>
      <c r="AB443" s="3">
        <f>IF(B443=1,'Input sheet(dashboard)'!$D$18*Calculations!X443,IF(Calculations!B443=12*'Input sheet(dashboard)'!$D$27,'Input sheet(dashboard)'!$D$18*-Calculations!X443,0))</f>
        <v>0</v>
      </c>
      <c r="AC443" s="3">
        <f>IF(B443&lt;='Input sheet(dashboard)'!$D$27*12,IF(MOD(B442,'Input sheet(dashboard)'!$D$19*12),0,'Input sheet(dashboard)'!$D$20*(1+'Input sheet(dashboard)'!$E$22)^Calculations!B443),0)</f>
        <v>0</v>
      </c>
      <c r="AD443" s="17">
        <f t="shared" si="57"/>
        <v>154368.53677560537</v>
      </c>
      <c r="AE443" s="17">
        <f>IF(B443&lt;='Input sheet(dashboard)'!$D$27*12,IF(D443=12,SUM(AD432:AD443),0),0)</f>
        <v>0</v>
      </c>
      <c r="AF443" s="17">
        <f t="shared" si="58"/>
        <v>-90973.109077631903</v>
      </c>
      <c r="AG443" s="17">
        <f t="shared" si="59"/>
        <v>0</v>
      </c>
      <c r="AH443" s="3">
        <f>IF(B443&lt;='Input sheet(dashboard)'!$D$27*12,AH442*(1+'Input sheet(dashboard)'!$E$25)+AG443," ")</f>
        <v>57268091.298006788</v>
      </c>
    </row>
    <row r="444" spans="2:34">
      <c r="B444">
        <f t="shared" si="54"/>
        <v>441</v>
      </c>
      <c r="C444">
        <f t="shared" si="61"/>
        <v>37</v>
      </c>
      <c r="D444">
        <f t="shared" si="62"/>
        <v>9</v>
      </c>
      <c r="E444" s="15">
        <f>IF(C444&lt;='Input sheet(dashboard)'!$D$6, -PMT('Input sheet(dashboard)'!$E$5,'Input sheet(dashboard)'!$D$6*12,'Input sheet(dashboard)'!$D$3*'Input sheet(dashboard)'!$D$4),0)</f>
        <v>0</v>
      </c>
      <c r="F444" s="3">
        <f>I443*'Input sheet(dashboard)'!$E$5</f>
        <v>1.0104212478923628E-11</v>
      </c>
      <c r="G444" s="3">
        <f>IF(C444&lt;='Input sheet(dashboard)'!$D$6,E444*'Input sheet(dashboard)'!$D$7,0)</f>
        <v>0</v>
      </c>
      <c r="H444" s="3">
        <f t="shared" si="55"/>
        <v>-1.0104212478923628E-11</v>
      </c>
      <c r="I444" s="3">
        <f t="shared" si="56"/>
        <v>2.7838617608785869E-9</v>
      </c>
      <c r="J444" s="3">
        <f>IF(B444&lt;='Input sheet(dashboard)'!$D$27*12,'Input sheet(dashboard)'!$D$3*(1+'Input sheet(dashboard)'!$E$24)^B444,0)</f>
        <v>53279284.050096117</v>
      </c>
      <c r="K444" s="3">
        <f>IF(B444&lt;='Input sheet(dashboard)'!$D$27*12,J444*'Input sheet(dashboard)'!$E$8,0)</f>
        <v>55183.80612086883</v>
      </c>
      <c r="L444" s="3">
        <f>IF(B444&lt;='Input sheet(dashboard)'!$D$27*12,'Input sheet(dashboard)'!$D$9*(1+'Input sheet(dashboard)'!$E$22)^B444,0)</f>
        <v>7434.0128570334628</v>
      </c>
      <c r="M444" s="3">
        <f>IF(B444=1,'Input sheet(dashboard)'!$D$3*'Input sheet(dashboard)'!$D$10,0)</f>
        <v>0</v>
      </c>
      <c r="N444" s="3">
        <f>IF(B444='Input sheet(dashboard)'!$D$27*12,J444*'Input sheet(dashboard)'!$D$11,0)</f>
        <v>0</v>
      </c>
      <c r="O444" s="3">
        <f>IF(SUM(F444:F455)&gt;=150000,150000/12*'Input sheet(dashboard)'!$D$28,SUM(F444:F455)/12*'Input sheet(dashboard)'!$D$28)</f>
        <v>1.5463698332328213E-12</v>
      </c>
      <c r="P444" s="3">
        <f t="shared" si="60"/>
        <v>0</v>
      </c>
      <c r="Q444" s="3">
        <f>IF(B444&lt;='Input sheet(dashboard)'!$D$27*12,'Input sheet(dashboard)'!$D$12/12,0)</f>
        <v>192.5</v>
      </c>
      <c r="R444" s="3">
        <f>IF(B444&lt;='Input sheet(dashboard)'!$D$27*12,('Input sheet(dashboard)'!$D$15/12)*(1+'Input sheet(dashboard)'!$E$22)^Calculations!B444,0)</f>
        <v>826.00142855927356</v>
      </c>
      <c r="S444" s="3">
        <f>IF(B444&lt;='Input sheet(dashboard)'!$D$27*12,(E444+G444+K444+L444-O444+M444+Q444+R444),0)</f>
        <v>63636.320406461571</v>
      </c>
      <c r="T444" s="3">
        <f>IF(B444&lt;='Input sheet(dashboard)'!$D$27*12,IF(D444=12,SUM(S433:S444),0),0)</f>
        <v>0</v>
      </c>
      <c r="U444" s="3">
        <f>IF(B444&lt;='Input sheet(dashboard)'!$D$27*12,IF(S444&lt;AD444,AD444-S444,0),0)</f>
        <v>91361.132896268362</v>
      </c>
      <c r="V444" s="3">
        <f>IF(B444&lt;='Input sheet(dashboard)'!$D$27*12,V443*(1+'Input sheet(dashboard)'!$E$25)+U444,0)</f>
        <v>10425485.95402847</v>
      </c>
      <c r="W444" s="17">
        <f>IF(B444&lt;='Input sheet(dashboard)'!$D$27*12,J444-I444+V444-N444,0)</f>
        <v>63704770.004124589</v>
      </c>
      <c r="X444" s="3">
        <f>IF(B444&lt;='Input sheet(dashboard)'!$D$27*12,'Input sheet(dashboard)'!$D$17*(1+'Input sheet(dashboard)'!$E$23)^(B444-1),0)</f>
        <v>154997.45330272993</v>
      </c>
      <c r="Y444" s="3"/>
      <c r="Z444" s="18"/>
      <c r="AA444" s="18"/>
      <c r="AB444" s="3">
        <f>IF(B444=1,'Input sheet(dashboard)'!$D$18*Calculations!X444,IF(Calculations!B444=12*'Input sheet(dashboard)'!$D$27,'Input sheet(dashboard)'!$D$18*-Calculations!X444,0))</f>
        <v>0</v>
      </c>
      <c r="AC444" s="3">
        <f>IF(B444&lt;='Input sheet(dashboard)'!$D$27*12,IF(MOD(B443,'Input sheet(dashboard)'!$D$19*12),0,'Input sheet(dashboard)'!$D$20*(1+'Input sheet(dashboard)'!$E$22)^Calculations!B444),0)</f>
        <v>0</v>
      </c>
      <c r="AD444" s="17">
        <f t="shared" si="57"/>
        <v>154997.45330272993</v>
      </c>
      <c r="AE444" s="17">
        <f>IF(B444&lt;='Input sheet(dashboard)'!$D$27*12,IF(D444=12,SUM(AD433:AD444),0),0)</f>
        <v>0</v>
      </c>
      <c r="AF444" s="17">
        <f t="shared" si="58"/>
        <v>-91361.132896268362</v>
      </c>
      <c r="AG444" s="17">
        <f t="shared" si="59"/>
        <v>0</v>
      </c>
      <c r="AH444" s="3">
        <f>IF(B444&lt;='Input sheet(dashboard)'!$D$27*12,AH443*(1+'Input sheet(dashboard)'!$E$25)+AG444," ")</f>
        <v>57636555.921760589</v>
      </c>
    </row>
    <row r="445" spans="2:34">
      <c r="B445">
        <f t="shared" si="54"/>
        <v>442</v>
      </c>
      <c r="C445">
        <f t="shared" si="61"/>
        <v>37</v>
      </c>
      <c r="D445">
        <f t="shared" si="62"/>
        <v>10</v>
      </c>
      <c r="E445" s="15">
        <f>IF(C445&lt;='Input sheet(dashboard)'!$D$6, -PMT('Input sheet(dashboard)'!$E$5,'Input sheet(dashboard)'!$D$6*12,'Input sheet(dashboard)'!$D$3*'Input sheet(dashboard)'!$D$4),0)</f>
        <v>0</v>
      </c>
      <c r="F445" s="3">
        <f>I444*'Input sheet(dashboard)'!$E$5</f>
        <v>1.014101998932703E-11</v>
      </c>
      <c r="G445" s="3">
        <f>IF(C445&lt;='Input sheet(dashboard)'!$D$6,E445*'Input sheet(dashboard)'!$D$7,0)</f>
        <v>0</v>
      </c>
      <c r="H445" s="3">
        <f t="shared" si="55"/>
        <v>-1.014101998932703E-11</v>
      </c>
      <c r="I445" s="3">
        <f t="shared" si="56"/>
        <v>2.7940027808679139E-9</v>
      </c>
      <c r="J445" s="3">
        <f>IF(B445&lt;='Input sheet(dashboard)'!$D$27*12,'Input sheet(dashboard)'!$D$3*(1+'Input sheet(dashboard)'!$E$24)^B445,0)</f>
        <v>53496350.448420361</v>
      </c>
      <c r="K445" s="3">
        <f>IF(B445&lt;='Input sheet(dashboard)'!$D$27*12,J445*'Input sheet(dashboard)'!$E$8,0)</f>
        <v>55408.631777858092</v>
      </c>
      <c r="L445" s="3">
        <f>IF(B445&lt;='Input sheet(dashboard)'!$D$27*12,'Input sheet(dashboard)'!$D$9*(1+'Input sheet(dashboard)'!$E$22)^B445,0)</f>
        <v>7449.3257063468564</v>
      </c>
      <c r="M445" s="3">
        <f>IF(B445=1,'Input sheet(dashboard)'!$D$3*'Input sheet(dashboard)'!$D$10,0)</f>
        <v>0</v>
      </c>
      <c r="N445" s="3">
        <f>IF(B445='Input sheet(dashboard)'!$D$27*12,J445*'Input sheet(dashboard)'!$D$11,0)</f>
        <v>0</v>
      </c>
      <c r="O445" s="3">
        <f>IF(SUM(F445:F456)&gt;=150000,150000/12*'Input sheet(dashboard)'!$D$28,SUM(F445:F456)/12*'Input sheet(dashboard)'!$D$28)</f>
        <v>1.5520029316898209E-12</v>
      </c>
      <c r="P445" s="3">
        <f t="shared" si="60"/>
        <v>0</v>
      </c>
      <c r="Q445" s="3">
        <f>IF(B445&lt;='Input sheet(dashboard)'!$D$27*12,'Input sheet(dashboard)'!$D$12/12,0)</f>
        <v>192.5</v>
      </c>
      <c r="R445" s="3">
        <f>IF(B445&lt;='Input sheet(dashboard)'!$D$27*12,('Input sheet(dashboard)'!$D$15/12)*(1+'Input sheet(dashboard)'!$E$22)^Calculations!B445,0)</f>
        <v>827.70285626076179</v>
      </c>
      <c r="S445" s="3">
        <f>IF(B445&lt;='Input sheet(dashboard)'!$D$27*12,(E445+G445+K445+L445-O445+M445+Q445+R445),0)</f>
        <v>63878.160340465707</v>
      </c>
      <c r="T445" s="3">
        <f>IF(B445&lt;='Input sheet(dashboard)'!$D$27*12,IF(D445=12,SUM(S434:S445),0),0)</f>
        <v>0</v>
      </c>
      <c r="U445" s="3">
        <f>IF(B445&lt;='Input sheet(dashboard)'!$D$27*12,IF(S445&lt;AD445,AD445-S445,0),0)</f>
        <v>91750.771773169792</v>
      </c>
      <c r="V445" s="3">
        <f>IF(B445&lt;='Input sheet(dashboard)'!$D$27*12,V444*(1+'Input sheet(dashboard)'!$E$25)+U445,0)</f>
        <v>10584314.616341278</v>
      </c>
      <c r="W445" s="17">
        <f>IF(B445&lt;='Input sheet(dashboard)'!$D$27*12,J445-I445+V445-N445,0)</f>
        <v>64080665.064761639</v>
      </c>
      <c r="X445" s="3">
        <f>IF(B445&lt;='Input sheet(dashboard)'!$D$27*12,'Input sheet(dashboard)'!$D$17*(1+'Input sheet(dashboard)'!$E$23)^(B445-1),0)</f>
        <v>155628.9321136355</v>
      </c>
      <c r="Y445" s="3"/>
      <c r="Z445" s="18"/>
      <c r="AA445" s="18"/>
      <c r="AB445" s="3">
        <f>IF(B445=1,'Input sheet(dashboard)'!$D$18*Calculations!X445,IF(Calculations!B445=12*'Input sheet(dashboard)'!$D$27,'Input sheet(dashboard)'!$D$18*-Calculations!X445,0))</f>
        <v>0</v>
      </c>
      <c r="AC445" s="3">
        <f>IF(B445&lt;='Input sheet(dashboard)'!$D$27*12,IF(MOD(B444,'Input sheet(dashboard)'!$D$19*12),0,'Input sheet(dashboard)'!$D$20*(1+'Input sheet(dashboard)'!$E$22)^Calculations!B445),0)</f>
        <v>0</v>
      </c>
      <c r="AD445" s="17">
        <f t="shared" si="57"/>
        <v>155628.9321136355</v>
      </c>
      <c r="AE445" s="17">
        <f>IF(B445&lt;='Input sheet(dashboard)'!$D$27*12,IF(D445=12,SUM(AD434:AD445),0),0)</f>
        <v>0</v>
      </c>
      <c r="AF445" s="17">
        <f t="shared" si="58"/>
        <v>-91750.771773169792</v>
      </c>
      <c r="AG445" s="17">
        <f t="shared" si="59"/>
        <v>0</v>
      </c>
      <c r="AH445" s="3">
        <f>IF(B445&lt;='Input sheet(dashboard)'!$D$27*12,AH444*(1+'Input sheet(dashboard)'!$E$25)+AG445," ")</f>
        <v>58007391.257998094</v>
      </c>
    </row>
    <row r="446" spans="2:34">
      <c r="B446">
        <f t="shared" si="54"/>
        <v>443</v>
      </c>
      <c r="C446">
        <f t="shared" si="61"/>
        <v>37</v>
      </c>
      <c r="D446">
        <f t="shared" si="62"/>
        <v>11</v>
      </c>
      <c r="E446" s="15">
        <f>IF(C446&lt;='Input sheet(dashboard)'!$D$6, -PMT('Input sheet(dashboard)'!$E$5,'Input sheet(dashboard)'!$D$6*12,'Input sheet(dashboard)'!$D$3*'Input sheet(dashboard)'!$D$4),0)</f>
        <v>0</v>
      </c>
      <c r="F446" s="3">
        <f>I445*'Input sheet(dashboard)'!$E$5</f>
        <v>1.0177961581711084E-11</v>
      </c>
      <c r="G446" s="3">
        <f>IF(C446&lt;='Input sheet(dashboard)'!$D$6,E446*'Input sheet(dashboard)'!$D$7,0)</f>
        <v>0</v>
      </c>
      <c r="H446" s="3">
        <f t="shared" si="55"/>
        <v>-1.0177961581711084E-11</v>
      </c>
      <c r="I446" s="3">
        <f t="shared" si="56"/>
        <v>2.8041807424496252E-9</v>
      </c>
      <c r="J446" s="3">
        <f>IF(B446&lt;='Input sheet(dashboard)'!$D$27*12,'Input sheet(dashboard)'!$D$3*(1+'Input sheet(dashboard)'!$E$24)^B446,0)</f>
        <v>53714301.202120662</v>
      </c>
      <c r="K446" s="3">
        <f>IF(B446&lt;='Input sheet(dashboard)'!$D$27*12,J446*'Input sheet(dashboard)'!$E$8,0)</f>
        <v>55634.373402403682</v>
      </c>
      <c r="L446" s="3">
        <f>IF(B446&lt;='Input sheet(dashboard)'!$D$27*12,'Input sheet(dashboard)'!$D$9*(1+'Input sheet(dashboard)'!$E$22)^B446,0)</f>
        <v>7464.6700976226612</v>
      </c>
      <c r="M446" s="3">
        <f>IF(B446=1,'Input sheet(dashboard)'!$D$3*'Input sheet(dashboard)'!$D$10,0)</f>
        <v>0</v>
      </c>
      <c r="N446" s="3">
        <f>IF(B446='Input sheet(dashboard)'!$D$27*12,J446*'Input sheet(dashboard)'!$D$11,0)</f>
        <v>0</v>
      </c>
      <c r="O446" s="3">
        <f>IF(SUM(F446:F457)&gt;=150000,150000/12*'Input sheet(dashboard)'!$D$28,SUM(F446:F457)/12*'Input sheet(dashboard)'!$D$28)</f>
        <v>1.5576565503338709E-12</v>
      </c>
      <c r="P446" s="3">
        <f t="shared" si="60"/>
        <v>0</v>
      </c>
      <c r="Q446" s="3">
        <f>IF(B446&lt;='Input sheet(dashboard)'!$D$27*12,'Input sheet(dashboard)'!$D$12/12,0)</f>
        <v>192.5</v>
      </c>
      <c r="R446" s="3">
        <f>IF(B446&lt;='Input sheet(dashboard)'!$D$27*12,('Input sheet(dashboard)'!$D$15/12)*(1+'Input sheet(dashboard)'!$E$22)^Calculations!B446,0)</f>
        <v>829.40778862474008</v>
      </c>
      <c r="S446" s="3">
        <f>IF(B446&lt;='Input sheet(dashboard)'!$D$27*12,(E446+G446+K446+L446-O446+M446+Q446+R446),0)</f>
        <v>64120.951288651086</v>
      </c>
      <c r="T446" s="3">
        <f>IF(B446&lt;='Input sheet(dashboard)'!$D$27*12,IF(D446=12,SUM(S435:S446),0),0)</f>
        <v>0</v>
      </c>
      <c r="U446" s="3">
        <f>IF(B446&lt;='Input sheet(dashboard)'!$D$27*12,IF(S446&lt;AD446,AD446-S446,0),0)</f>
        <v>92142.032358732336</v>
      </c>
      <c r="V446" s="3">
        <f>IF(B446&lt;='Input sheet(dashboard)'!$D$27*12,V445*(1+'Input sheet(dashboard)'!$E$25)+U446,0)</f>
        <v>10744556.447635299</v>
      </c>
      <c r="W446" s="17">
        <f>IF(B446&lt;='Input sheet(dashboard)'!$D$27*12,J446-I446+V446-N446,0)</f>
        <v>64458857.649755962</v>
      </c>
      <c r="X446" s="3">
        <f>IF(B446&lt;='Input sheet(dashboard)'!$D$27*12,'Input sheet(dashboard)'!$D$17*(1+'Input sheet(dashboard)'!$E$23)^(B446-1),0)</f>
        <v>156262.98364738343</v>
      </c>
      <c r="Y446" s="3"/>
      <c r="Z446" s="18"/>
      <c r="AA446" s="18"/>
      <c r="AB446" s="3">
        <f>IF(B446=1,'Input sheet(dashboard)'!$D$18*Calculations!X446,IF(Calculations!B446=12*'Input sheet(dashboard)'!$D$27,'Input sheet(dashboard)'!$D$18*-Calculations!X446,0))</f>
        <v>0</v>
      </c>
      <c r="AC446" s="3">
        <f>IF(B446&lt;='Input sheet(dashboard)'!$D$27*12,IF(MOD(B445,'Input sheet(dashboard)'!$D$19*12),0,'Input sheet(dashboard)'!$D$20*(1+'Input sheet(dashboard)'!$E$22)^Calculations!B446),0)</f>
        <v>0</v>
      </c>
      <c r="AD446" s="17">
        <f t="shared" si="57"/>
        <v>156262.98364738343</v>
      </c>
      <c r="AE446" s="17">
        <f>IF(B446&lt;='Input sheet(dashboard)'!$D$27*12,IF(D446=12,SUM(AD435:AD446),0),0)</f>
        <v>0</v>
      </c>
      <c r="AF446" s="17">
        <f t="shared" si="58"/>
        <v>-92142.032358732336</v>
      </c>
      <c r="AG446" s="17">
        <f t="shared" si="59"/>
        <v>0</v>
      </c>
      <c r="AH446" s="3">
        <f>IF(B446&lt;='Input sheet(dashboard)'!$D$27*12,AH445*(1+'Input sheet(dashboard)'!$E$25)+AG446," ")</f>
        <v>58380612.559954807</v>
      </c>
    </row>
    <row r="447" spans="2:34">
      <c r="B447">
        <f t="shared" si="54"/>
        <v>444</v>
      </c>
      <c r="C447">
        <f t="shared" si="61"/>
        <v>37</v>
      </c>
      <c r="D447">
        <f t="shared" si="62"/>
        <v>12</v>
      </c>
      <c r="E447" s="15">
        <f>IF(C447&lt;='Input sheet(dashboard)'!$D$6, -PMT('Input sheet(dashboard)'!$E$5,'Input sheet(dashboard)'!$D$6*12,'Input sheet(dashboard)'!$D$3*'Input sheet(dashboard)'!$D$4),0)</f>
        <v>0</v>
      </c>
      <c r="F447" s="3">
        <f>I446*'Input sheet(dashboard)'!$E$5</f>
        <v>1.0215037744508105E-11</v>
      </c>
      <c r="G447" s="3">
        <f>IF(C447&lt;='Input sheet(dashboard)'!$D$6,E447*'Input sheet(dashboard)'!$D$7,0)</f>
        <v>0</v>
      </c>
      <c r="H447" s="3">
        <f t="shared" si="55"/>
        <v>-1.0215037744508105E-11</v>
      </c>
      <c r="I447" s="3">
        <f t="shared" si="56"/>
        <v>2.8143957801941334E-9</v>
      </c>
      <c r="J447" s="3">
        <f>IF(B447&lt;='Input sheet(dashboard)'!$D$27*12,'Input sheet(dashboard)'!$D$3*(1+'Input sheet(dashboard)'!$E$24)^B447,0)</f>
        <v>53933139.914170265</v>
      </c>
      <c r="K447" s="3">
        <f>IF(B447&lt;='Input sheet(dashboard)'!$D$27*12,J447*'Input sheet(dashboard)'!$E$8,0)</f>
        <v>55861.03472627078</v>
      </c>
      <c r="L447" s="3">
        <f>IF(B447&lt;='Input sheet(dashboard)'!$D$27*12,'Input sheet(dashboard)'!$D$9*(1+'Input sheet(dashboard)'!$E$22)^B447,0)</f>
        <v>7480.0460958321564</v>
      </c>
      <c r="M447" s="3">
        <f>IF(B447=1,'Input sheet(dashboard)'!$D$3*'Input sheet(dashboard)'!$D$10,0)</f>
        <v>0</v>
      </c>
      <c r="N447" s="3">
        <f>IF(B447='Input sheet(dashboard)'!$D$27*12,J447*'Input sheet(dashboard)'!$D$11,0)</f>
        <v>0</v>
      </c>
      <c r="O447" s="3">
        <f>IF(SUM(F447:F458)&gt;=150000,150000/12*'Input sheet(dashboard)'!$D$28,SUM(F447:F458)/12*'Input sheet(dashboard)'!$D$28)</f>
        <v>1.5633307639156746E-12</v>
      </c>
      <c r="P447" s="3">
        <f t="shared" si="60"/>
        <v>1.9562256040861334E-11</v>
      </c>
      <c r="Q447" s="3">
        <f>IF(B447&lt;='Input sheet(dashboard)'!$D$27*12,'Input sheet(dashboard)'!$D$12/12,0)</f>
        <v>192.5</v>
      </c>
      <c r="R447" s="3">
        <f>IF(B447&lt;='Input sheet(dashboard)'!$D$27*12,('Input sheet(dashboard)'!$D$15/12)*(1+'Input sheet(dashboard)'!$E$22)^Calculations!B447,0)</f>
        <v>831.11623287023951</v>
      </c>
      <c r="S447" s="3">
        <f>IF(B447&lt;='Input sheet(dashboard)'!$D$27*12,(E447+G447+K447+L447-O447+M447+Q447+R447),0)</f>
        <v>64364.697054973178</v>
      </c>
      <c r="T447" s="3">
        <f>IF(B447&lt;='Input sheet(dashboard)'!$D$27*12,IF(D447=12,SUM(S436:S447),0),0)</f>
        <v>756497.33316764422</v>
      </c>
      <c r="U447" s="3">
        <f>IF(B447&lt;='Input sheet(dashboard)'!$D$27*12,IF(S447&lt;AD447,AD447-S447,0),0)</f>
        <v>92534.92133059194</v>
      </c>
      <c r="V447" s="3">
        <f>IF(B447&lt;='Input sheet(dashboard)'!$D$27*12,V446*(1+'Input sheet(dashboard)'!$E$25)+U447,0)</f>
        <v>10906222.168668607</v>
      </c>
      <c r="W447" s="17">
        <f>IF(B447&lt;='Input sheet(dashboard)'!$D$27*12,J447-I447+V447-N447,0)</f>
        <v>64839362.082838871</v>
      </c>
      <c r="X447" s="3">
        <f>IF(B447&lt;='Input sheet(dashboard)'!$D$27*12,'Input sheet(dashboard)'!$D$17*(1+'Input sheet(dashboard)'!$E$23)^(B447-1),0)</f>
        <v>156899.61838556512</v>
      </c>
      <c r="Y447" s="3"/>
      <c r="Z447" s="18"/>
      <c r="AA447" s="18"/>
      <c r="AB447" s="3">
        <f>IF(B447=1,'Input sheet(dashboard)'!$D$18*Calculations!X447,IF(Calculations!B447=12*'Input sheet(dashboard)'!$D$27,'Input sheet(dashboard)'!$D$18*-Calculations!X447,0))</f>
        <v>0</v>
      </c>
      <c r="AC447" s="3">
        <f>IF(B447&lt;='Input sheet(dashboard)'!$D$27*12,IF(MOD(B446,'Input sheet(dashboard)'!$D$19*12),0,'Input sheet(dashboard)'!$D$20*(1+'Input sheet(dashboard)'!$E$22)^Calculations!B447),0)</f>
        <v>0</v>
      </c>
      <c r="AD447" s="17">
        <f t="shared" si="57"/>
        <v>156899.61838556512</v>
      </c>
      <c r="AE447" s="17">
        <f>IF(B447&lt;='Input sheet(dashboard)'!$D$27*12,IF(D447=12,SUM(AD436:AD447),0),0)</f>
        <v>1841340.678019383</v>
      </c>
      <c r="AF447" s="17">
        <f t="shared" si="58"/>
        <v>-92534.92133059194</v>
      </c>
      <c r="AG447" s="17">
        <f t="shared" si="59"/>
        <v>0</v>
      </c>
      <c r="AH447" s="3">
        <f>IF(B447&lt;='Input sheet(dashboard)'!$D$27*12,AH446*(1+'Input sheet(dashboard)'!$E$25)+AG447," ")</f>
        <v>58756235.179006003</v>
      </c>
    </row>
    <row r="448" spans="2:34">
      <c r="B448">
        <f t="shared" si="54"/>
        <v>445</v>
      </c>
      <c r="C448">
        <f t="shared" si="61"/>
        <v>38</v>
      </c>
      <c r="D448">
        <f t="shared" si="62"/>
        <v>1</v>
      </c>
      <c r="E448" s="15">
        <f>IF(C448&lt;='Input sheet(dashboard)'!$D$6, -PMT('Input sheet(dashboard)'!$E$5,'Input sheet(dashboard)'!$D$6*12,'Input sheet(dashboard)'!$D$3*'Input sheet(dashboard)'!$D$4),0)</f>
        <v>0</v>
      </c>
      <c r="F448" s="3">
        <f>I447*'Input sheet(dashboard)'!$E$5</f>
        <v>1.0252248967929664E-11</v>
      </c>
      <c r="G448" s="3">
        <f>IF(C448&lt;='Input sheet(dashboard)'!$D$6,E448*'Input sheet(dashboard)'!$D$7,0)</f>
        <v>0</v>
      </c>
      <c r="H448" s="3">
        <f t="shared" si="55"/>
        <v>-1.0252248967929664E-11</v>
      </c>
      <c r="I448" s="3">
        <f t="shared" si="56"/>
        <v>2.824648029162063E-9</v>
      </c>
      <c r="J448" s="3">
        <f>IF(B448&lt;='Input sheet(dashboard)'!$D$27*12,'Input sheet(dashboard)'!$D$3*(1+'Input sheet(dashboard)'!$E$24)^B448,0)</f>
        <v>54152870.202221438</v>
      </c>
      <c r="K448" s="3">
        <f>IF(B448&lt;='Input sheet(dashboard)'!$D$27*12,J448*'Input sheet(dashboard)'!$E$8,0)</f>
        <v>56088.619496428306</v>
      </c>
      <c r="L448" s="3">
        <f>IF(B448&lt;='Input sheet(dashboard)'!$D$27*12,'Input sheet(dashboard)'!$D$9*(1+'Input sheet(dashboard)'!$E$22)^B448,0)</f>
        <v>7495.4537660804444</v>
      </c>
      <c r="M448" s="3">
        <f>IF(B448=1,'Input sheet(dashboard)'!$D$3*'Input sheet(dashboard)'!$D$10,0)</f>
        <v>0</v>
      </c>
      <c r="N448" s="3">
        <f>IF(B448='Input sheet(dashboard)'!$D$27*12,J448*'Input sheet(dashboard)'!$D$11,0)</f>
        <v>0</v>
      </c>
      <c r="O448" s="3">
        <f>IF(SUM(F448:F459)&gt;=150000,150000/12*'Input sheet(dashboard)'!$D$28,SUM(F448:F459)/12*'Input sheet(dashboard)'!$D$28)</f>
        <v>1.5690256474582379E-12</v>
      </c>
      <c r="P448" s="3">
        <f t="shared" si="60"/>
        <v>0</v>
      </c>
      <c r="Q448" s="3">
        <f>IF(B448&lt;='Input sheet(dashboard)'!$D$27*12,'Input sheet(dashboard)'!$D$12/12,0)</f>
        <v>192.5</v>
      </c>
      <c r="R448" s="3">
        <f>IF(B448&lt;='Input sheet(dashboard)'!$D$27*12,('Input sheet(dashboard)'!$D$15/12)*(1+'Input sheet(dashboard)'!$E$22)^Calculations!B448,0)</f>
        <v>832.8281962311604</v>
      </c>
      <c r="S448" s="3">
        <f>IF(B448&lt;='Input sheet(dashboard)'!$D$27*12,(E448+G448+K448+L448-O448+M448+Q448+R448),0)</f>
        <v>64609.401458739907</v>
      </c>
      <c r="T448" s="3">
        <f>IF(B448&lt;='Input sheet(dashboard)'!$D$27*12,IF(D448=12,SUM(S437:S448),0),0)</f>
        <v>0</v>
      </c>
      <c r="U448" s="3">
        <f>IF(B448&lt;='Input sheet(dashboard)'!$D$27*12,IF(S448&lt;AD448,AD448-S448,0),0)</f>
        <v>92929.445393735165</v>
      </c>
      <c r="V448" s="3">
        <f>IF(B448&lt;='Input sheet(dashboard)'!$D$27*12,V447*(1+'Input sheet(dashboard)'!$E$25)+U448,0)</f>
        <v>11069322.575881943</v>
      </c>
      <c r="W448" s="17">
        <f>IF(B448&lt;='Input sheet(dashboard)'!$D$27*12,J448-I448+V448-N448,0)</f>
        <v>65222192.778103381</v>
      </c>
      <c r="X448" s="3">
        <f>IF(B448&lt;='Input sheet(dashboard)'!$D$27*12,'Input sheet(dashboard)'!$D$17*(1+'Input sheet(dashboard)'!$E$23)^(B448-1),0)</f>
        <v>157538.84685247508</v>
      </c>
      <c r="Y448" s="3"/>
      <c r="Z448" s="18"/>
      <c r="AA448" s="18"/>
      <c r="AB448" s="3">
        <f>IF(B448=1,'Input sheet(dashboard)'!$D$18*Calculations!X448,IF(Calculations!B448=12*'Input sheet(dashboard)'!$D$27,'Input sheet(dashboard)'!$D$18*-Calculations!X448,0))</f>
        <v>0</v>
      </c>
      <c r="AC448" s="3">
        <f>IF(B448&lt;='Input sheet(dashboard)'!$D$27*12,IF(MOD(B447,'Input sheet(dashboard)'!$D$19*12),0,'Input sheet(dashboard)'!$D$20*(1+'Input sheet(dashboard)'!$E$22)^Calculations!B448),0)</f>
        <v>0</v>
      </c>
      <c r="AD448" s="17">
        <f t="shared" si="57"/>
        <v>157538.84685247508</v>
      </c>
      <c r="AE448" s="17">
        <f>IF(B448&lt;='Input sheet(dashboard)'!$D$27*12,IF(D448=12,SUM(AD437:AD448),0),0)</f>
        <v>0</v>
      </c>
      <c r="AF448" s="17">
        <f t="shared" si="58"/>
        <v>-92929.445393735165</v>
      </c>
      <c r="AG448" s="17">
        <f t="shared" si="59"/>
        <v>0</v>
      </c>
      <c r="AH448" s="3">
        <f>IF(B448&lt;='Input sheet(dashboard)'!$D$27*12,AH447*(1+'Input sheet(dashboard)'!$E$25)+AG448," ")</f>
        <v>59134274.56529817</v>
      </c>
    </row>
    <row r="449" spans="2:34">
      <c r="B449">
        <f t="shared" si="54"/>
        <v>446</v>
      </c>
      <c r="C449">
        <f t="shared" si="61"/>
        <v>38</v>
      </c>
      <c r="D449">
        <f t="shared" si="62"/>
        <v>2</v>
      </c>
      <c r="E449" s="15">
        <f>IF(C449&lt;='Input sheet(dashboard)'!$D$6, -PMT('Input sheet(dashboard)'!$E$5,'Input sheet(dashboard)'!$D$6*12,'Input sheet(dashboard)'!$D$3*'Input sheet(dashboard)'!$D$4),0)</f>
        <v>0</v>
      </c>
      <c r="F449" s="3">
        <f>I448*'Input sheet(dashboard)'!$E$5</f>
        <v>1.0289595743973068E-11</v>
      </c>
      <c r="G449" s="3">
        <f>IF(C449&lt;='Input sheet(dashboard)'!$D$6,E449*'Input sheet(dashboard)'!$D$7,0)</f>
        <v>0</v>
      </c>
      <c r="H449" s="3">
        <f t="shared" si="55"/>
        <v>-1.0289595743973068E-11</v>
      </c>
      <c r="I449" s="3">
        <f t="shared" si="56"/>
        <v>2.8349376249060362E-9</v>
      </c>
      <c r="J449" s="3">
        <f>IF(B449&lt;='Input sheet(dashboard)'!$D$27*12,'Input sheet(dashboard)'!$D$3*(1+'Input sheet(dashboard)'!$E$24)^B449,0)</f>
        <v>54373495.698665127</v>
      </c>
      <c r="K449" s="3">
        <f>IF(B449&lt;='Input sheet(dashboard)'!$D$27*12,J449*'Input sheet(dashboard)'!$E$8,0)</f>
        <v>56317.131475110698</v>
      </c>
      <c r="L449" s="3">
        <f>IF(B449&lt;='Input sheet(dashboard)'!$D$27*12,'Input sheet(dashboard)'!$D$9*(1+'Input sheet(dashboard)'!$E$22)^B449,0)</f>
        <v>7510.8931736067461</v>
      </c>
      <c r="M449" s="3">
        <f>IF(B449=1,'Input sheet(dashboard)'!$D$3*'Input sheet(dashboard)'!$D$10,0)</f>
        <v>0</v>
      </c>
      <c r="N449" s="3">
        <f>IF(B449='Input sheet(dashboard)'!$D$27*12,J449*'Input sheet(dashboard)'!$D$11,0)</f>
        <v>0</v>
      </c>
      <c r="O449" s="3">
        <f>IF(SUM(F449:F460)&gt;=150000,150000/12*'Input sheet(dashboard)'!$D$28,SUM(F449:F460)/12*'Input sheet(dashboard)'!$D$28)</f>
        <v>1.5747412762578587E-12</v>
      </c>
      <c r="P449" s="3">
        <f t="shared" si="60"/>
        <v>0</v>
      </c>
      <c r="Q449" s="3">
        <f>IF(B449&lt;='Input sheet(dashboard)'!$D$27*12,'Input sheet(dashboard)'!$D$12/12,0)</f>
        <v>192.5</v>
      </c>
      <c r="R449" s="3">
        <f>IF(B449&lt;='Input sheet(dashboard)'!$D$27*12,('Input sheet(dashboard)'!$D$15/12)*(1+'Input sheet(dashboard)'!$E$22)^Calculations!B449,0)</f>
        <v>834.54368595630513</v>
      </c>
      <c r="S449" s="3">
        <f>IF(B449&lt;='Input sheet(dashboard)'!$D$27*12,(E449+G449+K449+L449-O449+M449+Q449+R449),0)</f>
        <v>64855.06833467375</v>
      </c>
      <c r="T449" s="3">
        <f>IF(B449&lt;='Input sheet(dashboard)'!$D$27*12,IF(D449=12,SUM(S438:S449),0),0)</f>
        <v>0</v>
      </c>
      <c r="U449" s="3">
        <f>IF(B449&lt;='Input sheet(dashboard)'!$D$27*12,IF(S449&lt;AD449,AD449-S449,0),0)</f>
        <v>93325.611280611585</v>
      </c>
      <c r="V449" s="3">
        <f>IF(B449&lt;='Input sheet(dashboard)'!$D$27*12,V448*(1+'Input sheet(dashboard)'!$E$25)+U449,0)</f>
        <v>11233868.541913118</v>
      </c>
      <c r="W449" s="17">
        <f>IF(B449&lt;='Input sheet(dashboard)'!$D$27*12,J449-I449+V449-N449,0)</f>
        <v>65607364.240578249</v>
      </c>
      <c r="X449" s="3">
        <f>IF(B449&lt;='Input sheet(dashboard)'!$D$27*12,'Input sheet(dashboard)'!$D$17*(1+'Input sheet(dashboard)'!$E$23)^(B449-1),0)</f>
        <v>158180.67961528533</v>
      </c>
      <c r="Y449" s="3"/>
      <c r="Z449" s="18"/>
      <c r="AA449" s="18"/>
      <c r="AB449" s="3">
        <f>IF(B449=1,'Input sheet(dashboard)'!$D$18*Calculations!X449,IF(Calculations!B449=12*'Input sheet(dashboard)'!$D$27,'Input sheet(dashboard)'!$D$18*-Calculations!X449,0))</f>
        <v>0</v>
      </c>
      <c r="AC449" s="3">
        <f>IF(B449&lt;='Input sheet(dashboard)'!$D$27*12,IF(MOD(B448,'Input sheet(dashboard)'!$D$19*12),0,'Input sheet(dashboard)'!$D$20*(1+'Input sheet(dashboard)'!$E$22)^Calculations!B449),0)</f>
        <v>0</v>
      </c>
      <c r="AD449" s="17">
        <f t="shared" si="57"/>
        <v>158180.67961528533</v>
      </c>
      <c r="AE449" s="17">
        <f>IF(B449&lt;='Input sheet(dashboard)'!$D$27*12,IF(D449=12,SUM(AD438:AD449),0),0)</f>
        <v>0</v>
      </c>
      <c r="AF449" s="17">
        <f t="shared" si="58"/>
        <v>-93325.611280611585</v>
      </c>
      <c r="AG449" s="17">
        <f t="shared" si="59"/>
        <v>0</v>
      </c>
      <c r="AH449" s="3">
        <f>IF(B449&lt;='Input sheet(dashboard)'!$D$27*12,AH448*(1+'Input sheet(dashboard)'!$E$25)+AG449," ")</f>
        <v>59514746.268384509</v>
      </c>
    </row>
    <row r="450" spans="2:34">
      <c r="B450">
        <f t="shared" si="54"/>
        <v>447</v>
      </c>
      <c r="C450">
        <f t="shared" si="61"/>
        <v>38</v>
      </c>
      <c r="D450">
        <f t="shared" si="62"/>
        <v>3</v>
      </c>
      <c r="E450" s="15">
        <f>IF(C450&lt;='Input sheet(dashboard)'!$D$6, -PMT('Input sheet(dashboard)'!$E$5,'Input sheet(dashboard)'!$D$6*12,'Input sheet(dashboard)'!$D$3*'Input sheet(dashboard)'!$D$4),0)</f>
        <v>0</v>
      </c>
      <c r="F450" s="3">
        <f>I449*'Input sheet(dashboard)'!$E$5</f>
        <v>1.0327078566427872E-11</v>
      </c>
      <c r="G450" s="3">
        <f>IF(C450&lt;='Input sheet(dashboard)'!$D$6,E450*'Input sheet(dashboard)'!$D$7,0)</f>
        <v>0</v>
      </c>
      <c r="H450" s="3">
        <f t="shared" si="55"/>
        <v>-1.0327078566427872E-11</v>
      </c>
      <c r="I450" s="3">
        <f t="shared" si="56"/>
        <v>2.8452647034724641E-9</v>
      </c>
      <c r="J450" s="3">
        <f>IF(B450&lt;='Input sheet(dashboard)'!$D$27*12,'Input sheet(dashboard)'!$D$3*(1+'Input sheet(dashboard)'!$E$24)^B450,0)</f>
        <v>54595020.050691158</v>
      </c>
      <c r="K450" s="3">
        <f>IF(B450&lt;='Input sheet(dashboard)'!$D$27*12,J450*'Input sheet(dashboard)'!$E$8,0)</f>
        <v>56546.5744398803</v>
      </c>
      <c r="L450" s="3">
        <f>IF(B450&lt;='Input sheet(dashboard)'!$D$27*12,'Input sheet(dashboard)'!$D$9*(1+'Input sheet(dashboard)'!$E$22)^B450,0)</f>
        <v>7526.3643837846575</v>
      </c>
      <c r="M450" s="3">
        <f>IF(B450=1,'Input sheet(dashboard)'!$D$3*'Input sheet(dashboard)'!$D$10,0)</f>
        <v>0</v>
      </c>
      <c r="N450" s="3">
        <f>IF(B450='Input sheet(dashboard)'!$D$27*12,J450*'Input sheet(dashboard)'!$D$11,0)</f>
        <v>0</v>
      </c>
      <c r="O450" s="3">
        <f>IF(SUM(F450:F461)&gt;=150000,150000/12*'Input sheet(dashboard)'!$D$28,SUM(F450:F461)/12*'Input sheet(dashboard)'!$D$28)</f>
        <v>1.5804777258851243E-12</v>
      </c>
      <c r="P450" s="3">
        <f t="shared" si="60"/>
        <v>0</v>
      </c>
      <c r="Q450" s="3">
        <f>IF(B450&lt;='Input sheet(dashboard)'!$D$27*12,'Input sheet(dashboard)'!$D$12/12,0)</f>
        <v>192.5</v>
      </c>
      <c r="R450" s="3">
        <f>IF(B450&lt;='Input sheet(dashboard)'!$D$27*12,('Input sheet(dashboard)'!$D$15/12)*(1+'Input sheet(dashboard)'!$E$22)^Calculations!B450,0)</f>
        <v>836.26270930940632</v>
      </c>
      <c r="S450" s="3">
        <f>IF(B450&lt;='Input sheet(dashboard)'!$D$27*12,(E450+G450+K450+L450-O450+M450+Q450+R450),0)</f>
        <v>65101.701532974359</v>
      </c>
      <c r="T450" s="3">
        <f>IF(B450&lt;='Input sheet(dashboard)'!$D$27*12,IF(D450=12,SUM(S439:S450),0),0)</f>
        <v>0</v>
      </c>
      <c r="U450" s="3">
        <f>IF(B450&lt;='Input sheet(dashboard)'!$D$27*12,IF(S450&lt;AD450,AD450-S450,0),0)</f>
        <v>93723.425751245246</v>
      </c>
      <c r="V450" s="3">
        <f>IF(B450&lt;='Input sheet(dashboard)'!$D$27*12,V449*(1+'Input sheet(dashboard)'!$E$25)+U450,0)</f>
        <v>11399871.016114851</v>
      </c>
      <c r="W450" s="17">
        <f>IF(B450&lt;='Input sheet(dashboard)'!$D$27*12,J450-I450+V450-N450,0)</f>
        <v>65994891.066806011</v>
      </c>
      <c r="X450" s="3">
        <f>IF(B450&lt;='Input sheet(dashboard)'!$D$27*12,'Input sheet(dashboard)'!$D$17*(1+'Input sheet(dashboard)'!$E$23)^(B450-1),0)</f>
        <v>158825.1272842196</v>
      </c>
      <c r="Y450" s="3"/>
      <c r="Z450" s="18"/>
      <c r="AA450" s="18"/>
      <c r="AB450" s="3">
        <f>IF(B450=1,'Input sheet(dashboard)'!$D$18*Calculations!X450,IF(Calculations!B450=12*'Input sheet(dashboard)'!$D$27,'Input sheet(dashboard)'!$D$18*-Calculations!X450,0))</f>
        <v>0</v>
      </c>
      <c r="AC450" s="3">
        <f>IF(B450&lt;='Input sheet(dashboard)'!$D$27*12,IF(MOD(B449,'Input sheet(dashboard)'!$D$19*12),0,'Input sheet(dashboard)'!$D$20*(1+'Input sheet(dashboard)'!$E$22)^Calculations!B450),0)</f>
        <v>0</v>
      </c>
      <c r="AD450" s="17">
        <f t="shared" si="57"/>
        <v>158825.1272842196</v>
      </c>
      <c r="AE450" s="17">
        <f>IF(B450&lt;='Input sheet(dashboard)'!$D$27*12,IF(D450=12,SUM(AD439:AD450),0),0)</f>
        <v>0</v>
      </c>
      <c r="AF450" s="17">
        <f t="shared" si="58"/>
        <v>-93723.425751245246</v>
      </c>
      <c r="AG450" s="17">
        <f t="shared" si="59"/>
        <v>0</v>
      </c>
      <c r="AH450" s="3">
        <f>IF(B450&lt;='Input sheet(dashboard)'!$D$27*12,AH449*(1+'Input sheet(dashboard)'!$E$25)+AG450," ")</f>
        <v>59897665.937864512</v>
      </c>
    </row>
    <row r="451" spans="2:34">
      <c r="B451">
        <f t="shared" si="54"/>
        <v>448</v>
      </c>
      <c r="C451">
        <f t="shared" si="61"/>
        <v>38</v>
      </c>
      <c r="D451">
        <f t="shared" si="62"/>
        <v>4</v>
      </c>
      <c r="E451" s="15">
        <f>IF(C451&lt;='Input sheet(dashboard)'!$D$6, -PMT('Input sheet(dashboard)'!$E$5,'Input sheet(dashboard)'!$D$6*12,'Input sheet(dashboard)'!$D$3*'Input sheet(dashboard)'!$D$4),0)</f>
        <v>0</v>
      </c>
      <c r="F451" s="3">
        <f>I450*'Input sheet(dashboard)'!$E$5</f>
        <v>1.0364697930882392E-11</v>
      </c>
      <c r="G451" s="3">
        <f>IF(C451&lt;='Input sheet(dashboard)'!$D$6,E451*'Input sheet(dashboard)'!$D$7,0)</f>
        <v>0</v>
      </c>
      <c r="H451" s="3">
        <f t="shared" si="55"/>
        <v>-1.0364697930882392E-11</v>
      </c>
      <c r="I451" s="3">
        <f t="shared" si="56"/>
        <v>2.8556294014033465E-9</v>
      </c>
      <c r="J451" s="3">
        <f>IF(B451&lt;='Input sheet(dashboard)'!$D$27*12,'Input sheet(dashboard)'!$D$3*(1+'Input sheet(dashboard)'!$E$24)^B451,0)</f>
        <v>54817446.920348451</v>
      </c>
      <c r="K451" s="3">
        <f>IF(B451&lt;='Input sheet(dashboard)'!$D$27*12,J451*'Input sheet(dashboard)'!$E$8,0)</f>
        <v>56776.952183689667</v>
      </c>
      <c r="L451" s="3">
        <f>IF(B451&lt;='Input sheet(dashboard)'!$D$27*12,'Input sheet(dashboard)'!$D$9*(1+'Input sheet(dashboard)'!$E$22)^B451,0)</f>
        <v>7541.8674621224291</v>
      </c>
      <c r="M451" s="3">
        <f>IF(B451=1,'Input sheet(dashboard)'!$D$3*'Input sheet(dashboard)'!$D$10,0)</f>
        <v>0</v>
      </c>
      <c r="N451" s="3">
        <f>IF(B451='Input sheet(dashboard)'!$D$27*12,J451*'Input sheet(dashboard)'!$D$11,0)</f>
        <v>0</v>
      </c>
      <c r="O451" s="3">
        <f>IF(SUM(F451:F462)&gt;=150000,150000/12*'Input sheet(dashboard)'!$D$28,SUM(F451:F462)/12*'Input sheet(dashboard)'!$D$28)</f>
        <v>1.5862350721859076E-12</v>
      </c>
      <c r="P451" s="3">
        <f t="shared" si="60"/>
        <v>0</v>
      </c>
      <c r="Q451" s="3">
        <f>IF(B451&lt;='Input sheet(dashboard)'!$D$27*12,'Input sheet(dashboard)'!$D$12/12,0)</f>
        <v>192.5</v>
      </c>
      <c r="R451" s="3">
        <f>IF(B451&lt;='Input sheet(dashboard)'!$D$27*12,('Input sheet(dashboard)'!$D$15/12)*(1+'Input sheet(dashboard)'!$E$22)^Calculations!B451,0)</f>
        <v>837.98527356915872</v>
      </c>
      <c r="S451" s="3">
        <f>IF(B451&lt;='Input sheet(dashboard)'!$D$27*12,(E451+G451+K451+L451-O451+M451+Q451+R451),0)</f>
        <v>65349.304919381255</v>
      </c>
      <c r="T451" s="3">
        <f>IF(B451&lt;='Input sheet(dashboard)'!$D$27*12,IF(D451=12,SUM(S440:S451),0),0)</f>
        <v>0</v>
      </c>
      <c r="U451" s="3">
        <f>IF(B451&lt;='Input sheet(dashboard)'!$D$27*12,IF(S451&lt;AD451,AD451-S451,0),0)</f>
        <v>94122.895593347988</v>
      </c>
      <c r="V451" s="3">
        <f>IF(B451&lt;='Input sheet(dashboard)'!$D$27*12,V450*(1+'Input sheet(dashboard)'!$E$25)+U451,0)</f>
        <v>11567341.025076039</v>
      </c>
      <c r="W451" s="17">
        <f>IF(B451&lt;='Input sheet(dashboard)'!$D$27*12,J451-I451+V451-N451,0)</f>
        <v>66384787.94542449</v>
      </c>
      <c r="X451" s="3">
        <f>IF(B451&lt;='Input sheet(dashboard)'!$D$27*12,'Input sheet(dashboard)'!$D$17*(1+'Input sheet(dashboard)'!$E$23)^(B451-1),0)</f>
        <v>159472.20051272924</v>
      </c>
      <c r="Y451" s="3"/>
      <c r="Z451" s="18"/>
      <c r="AA451" s="18"/>
      <c r="AB451" s="3">
        <f>IF(B451=1,'Input sheet(dashboard)'!$D$18*Calculations!X451,IF(Calculations!B451=12*'Input sheet(dashboard)'!$D$27,'Input sheet(dashboard)'!$D$18*-Calculations!X451,0))</f>
        <v>0</v>
      </c>
      <c r="AC451" s="3">
        <f>IF(B451&lt;='Input sheet(dashboard)'!$D$27*12,IF(MOD(B450,'Input sheet(dashboard)'!$D$19*12),0,'Input sheet(dashboard)'!$D$20*(1+'Input sheet(dashboard)'!$E$22)^Calculations!B451),0)</f>
        <v>0</v>
      </c>
      <c r="AD451" s="17">
        <f t="shared" si="57"/>
        <v>159472.20051272924</v>
      </c>
      <c r="AE451" s="17">
        <f>IF(B451&lt;='Input sheet(dashboard)'!$D$27*12,IF(D451=12,SUM(AD440:AD451),0),0)</f>
        <v>0</v>
      </c>
      <c r="AF451" s="17">
        <f t="shared" si="58"/>
        <v>-94122.895593347988</v>
      </c>
      <c r="AG451" s="17">
        <f t="shared" si="59"/>
        <v>0</v>
      </c>
      <c r="AH451" s="3">
        <f>IF(B451&lt;='Input sheet(dashboard)'!$D$27*12,AH450*(1+'Input sheet(dashboard)'!$E$25)+AG451," ")</f>
        <v>60283049.324027658</v>
      </c>
    </row>
    <row r="452" spans="2:34">
      <c r="B452">
        <f t="shared" ref="B452:B515" si="63">B451+1</f>
        <v>449</v>
      </c>
      <c r="C452">
        <f t="shared" si="61"/>
        <v>38</v>
      </c>
      <c r="D452">
        <f t="shared" si="62"/>
        <v>5</v>
      </c>
      <c r="E452" s="15">
        <f>IF(C452&lt;='Input sheet(dashboard)'!$D$6, -PMT('Input sheet(dashboard)'!$E$5,'Input sheet(dashboard)'!$D$6*12,'Input sheet(dashboard)'!$D$3*'Input sheet(dashboard)'!$D$4),0)</f>
        <v>0</v>
      </c>
      <c r="F452" s="3">
        <f>I451*'Input sheet(dashboard)'!$E$5</f>
        <v>1.0402454334730276E-11</v>
      </c>
      <c r="G452" s="3">
        <f>IF(C452&lt;='Input sheet(dashboard)'!$D$6,E452*'Input sheet(dashboard)'!$D$7,0)</f>
        <v>0</v>
      </c>
      <c r="H452" s="3">
        <f t="shared" ref="H452:H515" si="64">E452-F452</f>
        <v>-1.0402454334730276E-11</v>
      </c>
      <c r="I452" s="3">
        <f t="shared" ref="I452:I515" si="65">I451-H452</f>
        <v>2.8660318557380767E-9</v>
      </c>
      <c r="J452" s="3">
        <f>IF(B452&lt;='Input sheet(dashboard)'!$D$27*12,'Input sheet(dashboard)'!$D$3*(1+'Input sheet(dashboard)'!$E$24)^B452,0)</f>
        <v>55040779.984605514</v>
      </c>
      <c r="K452" s="3">
        <f>IF(B452&lt;='Input sheet(dashboard)'!$D$27*12,J452*'Input sheet(dashboard)'!$E$8,0)</f>
        <v>57008.268514944291</v>
      </c>
      <c r="L452" s="3">
        <f>IF(B452&lt;='Input sheet(dashboard)'!$D$27*12,'Input sheet(dashboard)'!$D$9*(1+'Input sheet(dashboard)'!$E$22)^B452,0)</f>
        <v>7557.4024742632546</v>
      </c>
      <c r="M452" s="3">
        <f>IF(B452=1,'Input sheet(dashboard)'!$D$3*'Input sheet(dashboard)'!$D$10,0)</f>
        <v>0</v>
      </c>
      <c r="N452" s="3">
        <f>IF(B452='Input sheet(dashboard)'!$D$27*12,J452*'Input sheet(dashboard)'!$D$11,0)</f>
        <v>0</v>
      </c>
      <c r="O452" s="3">
        <f>IF(SUM(F452:F463)&gt;=150000,150000/12*'Input sheet(dashboard)'!$D$28,SUM(F452:F463)/12*'Input sheet(dashboard)'!$D$28)</f>
        <v>1.5920133912823746E-12</v>
      </c>
      <c r="P452" s="3">
        <f t="shared" si="60"/>
        <v>0</v>
      </c>
      <c r="Q452" s="3">
        <f>IF(B452&lt;='Input sheet(dashboard)'!$D$27*12,'Input sheet(dashboard)'!$D$12/12,0)</f>
        <v>192.5</v>
      </c>
      <c r="R452" s="3">
        <f>IF(B452&lt;='Input sheet(dashboard)'!$D$27*12,('Input sheet(dashboard)'!$D$15/12)*(1+'Input sheet(dashboard)'!$E$22)^Calculations!B452,0)</f>
        <v>839.71138602925043</v>
      </c>
      <c r="S452" s="3">
        <f>IF(B452&lt;='Input sheet(dashboard)'!$D$27*12,(E452+G452+K452+L452-O452+M452+Q452+R452),0)</f>
        <v>65597.88237523679</v>
      </c>
      <c r="T452" s="3">
        <f>IF(B452&lt;='Input sheet(dashboard)'!$D$27*12,IF(D452=12,SUM(S441:S452),0),0)</f>
        <v>0</v>
      </c>
      <c r="U452" s="3">
        <f>IF(B452&lt;='Input sheet(dashboard)'!$D$27*12,IF(S452&lt;AD452,AD452-S452,0),0)</f>
        <v>94524.027622432113</v>
      </c>
      <c r="V452" s="3">
        <f>IF(B452&lt;='Input sheet(dashboard)'!$D$27*12,V451*(1+'Input sheet(dashboard)'!$E$25)+U452,0)</f>
        <v>11736289.673146488</v>
      </c>
      <c r="W452" s="17">
        <f>IF(B452&lt;='Input sheet(dashboard)'!$D$27*12,J452-I452+V452-N452,0)</f>
        <v>66777069.657752</v>
      </c>
      <c r="X452" s="3">
        <f>IF(B452&lt;='Input sheet(dashboard)'!$D$27*12,'Input sheet(dashboard)'!$D$17*(1+'Input sheet(dashboard)'!$E$23)^(B452-1),0)</f>
        <v>160121.9099976689</v>
      </c>
      <c r="Y452" s="3"/>
      <c r="Z452" s="18"/>
      <c r="AA452" s="18"/>
      <c r="AB452" s="3">
        <f>IF(B452=1,'Input sheet(dashboard)'!$D$18*Calculations!X452,IF(Calculations!B452=12*'Input sheet(dashboard)'!$D$27,'Input sheet(dashboard)'!$D$18*-Calculations!X452,0))</f>
        <v>0</v>
      </c>
      <c r="AC452" s="3">
        <f>IF(B452&lt;='Input sheet(dashboard)'!$D$27*12,IF(MOD(B451,'Input sheet(dashboard)'!$D$19*12),0,'Input sheet(dashboard)'!$D$20*(1+'Input sheet(dashboard)'!$E$22)^Calculations!B452),0)</f>
        <v>0</v>
      </c>
      <c r="AD452" s="17">
        <f t="shared" ref="AD452:AD515" si="66">X452+Y452+AB452+AC452</f>
        <v>160121.9099976689</v>
      </c>
      <c r="AE452" s="17">
        <f>IF(B452&lt;='Input sheet(dashboard)'!$D$27*12,IF(D452=12,SUM(AD441:AD452),0),0)</f>
        <v>0</v>
      </c>
      <c r="AF452" s="17">
        <f t="shared" ref="AF452:AF515" si="67">S452-AD452</f>
        <v>-94524.027622432113</v>
      </c>
      <c r="AG452" s="17">
        <f t="shared" ref="AG452:AG515" si="68">IF(AF452&gt;0,AF452,0)</f>
        <v>0</v>
      </c>
      <c r="AH452" s="3">
        <f>IF(B452&lt;='Input sheet(dashboard)'!$D$27*12,AH451*(1+'Input sheet(dashboard)'!$E$25)+AG452," ")</f>
        <v>60670912.278501272</v>
      </c>
    </row>
    <row r="453" spans="2:34">
      <c r="B453">
        <f t="shared" si="63"/>
        <v>450</v>
      </c>
      <c r="C453">
        <f t="shared" si="61"/>
        <v>38</v>
      </c>
      <c r="D453">
        <f t="shared" si="62"/>
        <v>6</v>
      </c>
      <c r="E453" s="15">
        <f>IF(C453&lt;='Input sheet(dashboard)'!$D$6, -PMT('Input sheet(dashboard)'!$E$5,'Input sheet(dashboard)'!$D$6*12,'Input sheet(dashboard)'!$D$3*'Input sheet(dashboard)'!$D$4),0)</f>
        <v>0</v>
      </c>
      <c r="F453" s="3">
        <f>I452*'Input sheet(dashboard)'!$E$5</f>
        <v>1.044034827717707E-11</v>
      </c>
      <c r="G453" s="3">
        <f>IF(C453&lt;='Input sheet(dashboard)'!$D$6,E453*'Input sheet(dashboard)'!$D$7,0)</f>
        <v>0</v>
      </c>
      <c r="H453" s="3">
        <f t="shared" si="64"/>
        <v>-1.044034827717707E-11</v>
      </c>
      <c r="I453" s="3">
        <f t="shared" si="65"/>
        <v>2.8764722040152538E-9</v>
      </c>
      <c r="J453" s="3">
        <f>IF(B453&lt;='Input sheet(dashboard)'!$D$27*12,'Input sheet(dashboard)'!$D$3*(1+'Input sheet(dashboard)'!$E$24)^B453,0)</f>
        <v>55265022.935411356</v>
      </c>
      <c r="K453" s="3">
        <f>IF(B453&lt;='Input sheet(dashboard)'!$D$27*12,J453*'Input sheet(dashboard)'!$E$8,0)</f>
        <v>57240.527257565649</v>
      </c>
      <c r="L453" s="3">
        <f>IF(B453&lt;='Input sheet(dashboard)'!$D$27*12,'Input sheet(dashboard)'!$D$9*(1+'Input sheet(dashboard)'!$E$22)^B453,0)</f>
        <v>7572.9694859855417</v>
      </c>
      <c r="M453" s="3">
        <f>IF(B453=1,'Input sheet(dashboard)'!$D$3*'Input sheet(dashboard)'!$D$10,0)</f>
        <v>0</v>
      </c>
      <c r="N453" s="3">
        <f>IF(B453='Input sheet(dashboard)'!$D$27*12,J453*'Input sheet(dashboard)'!$D$11,0)</f>
        <v>0</v>
      </c>
      <c r="O453" s="3">
        <f>IF(SUM(F453:F464)&gt;=150000,150000/12*'Input sheet(dashboard)'!$D$28,SUM(F453:F464)/12*'Input sheet(dashboard)'!$D$28)</f>
        <v>1.5978127595739869E-12</v>
      </c>
      <c r="P453" s="3">
        <f t="shared" si="60"/>
        <v>0</v>
      </c>
      <c r="Q453" s="3">
        <f>IF(B453&lt;='Input sheet(dashboard)'!$D$27*12,'Input sheet(dashboard)'!$D$12/12,0)</f>
        <v>192.5</v>
      </c>
      <c r="R453" s="3">
        <f>IF(B453&lt;='Input sheet(dashboard)'!$D$27*12,('Input sheet(dashboard)'!$D$15/12)*(1+'Input sheet(dashboard)'!$E$22)^Calculations!B453,0)</f>
        <v>841.4410539983935</v>
      </c>
      <c r="S453" s="3">
        <f>IF(B453&lt;='Input sheet(dashboard)'!$D$27*12,(E453+G453+K453+L453-O453+M453+Q453+R453),0)</f>
        <v>65847.437797549588</v>
      </c>
      <c r="T453" s="3">
        <f>IF(B453&lt;='Input sheet(dashboard)'!$D$27*12,IF(D453=12,SUM(S442:S453),0),0)</f>
        <v>0</v>
      </c>
      <c r="U453" s="3">
        <f>IF(B453&lt;='Input sheet(dashboard)'!$D$27*12,IF(S453&lt;AD453,AD453-S453,0),0)</f>
        <v>94926.828681924002</v>
      </c>
      <c r="V453" s="3">
        <f>IF(B453&lt;='Input sheet(dashboard)'!$D$27*12,V452*(1+'Input sheet(dashboard)'!$E$25)+U453,0)</f>
        <v>11906728.142965158</v>
      </c>
      <c r="W453" s="17">
        <f>IF(B453&lt;='Input sheet(dashboard)'!$D$27*12,J453-I453+V453-N453,0)</f>
        <v>67171751.078376517</v>
      </c>
      <c r="X453" s="3">
        <f>IF(B453&lt;='Input sheet(dashboard)'!$D$27*12,'Input sheet(dashboard)'!$D$17*(1+'Input sheet(dashboard)'!$E$23)^(B453-1),0)</f>
        <v>160774.26647947359</v>
      </c>
      <c r="Y453" s="3"/>
      <c r="Z453" s="18"/>
      <c r="AA453" s="18"/>
      <c r="AB453" s="3">
        <f>IF(B453=1,'Input sheet(dashboard)'!$D$18*Calculations!X453,IF(Calculations!B453=12*'Input sheet(dashboard)'!$D$27,'Input sheet(dashboard)'!$D$18*-Calculations!X453,0))</f>
        <v>0</v>
      </c>
      <c r="AC453" s="3">
        <f>IF(B453&lt;='Input sheet(dashboard)'!$D$27*12,IF(MOD(B452,'Input sheet(dashboard)'!$D$19*12),0,'Input sheet(dashboard)'!$D$20*(1+'Input sheet(dashboard)'!$E$22)^Calculations!B453),0)</f>
        <v>0</v>
      </c>
      <c r="AD453" s="17">
        <f t="shared" si="66"/>
        <v>160774.26647947359</v>
      </c>
      <c r="AE453" s="17">
        <f>IF(B453&lt;='Input sheet(dashboard)'!$D$27*12,IF(D453=12,SUM(AD442:AD453),0),0)</f>
        <v>0</v>
      </c>
      <c r="AF453" s="17">
        <f t="shared" si="67"/>
        <v>-94926.828681924002</v>
      </c>
      <c r="AG453" s="17">
        <f t="shared" si="68"/>
        <v>0</v>
      </c>
      <c r="AH453" s="3">
        <f>IF(B453&lt;='Input sheet(dashboard)'!$D$27*12,AH452*(1+'Input sheet(dashboard)'!$E$25)+AG453," ")</f>
        <v>61061270.754902527</v>
      </c>
    </row>
    <row r="454" spans="2:34">
      <c r="B454">
        <f t="shared" si="63"/>
        <v>451</v>
      </c>
      <c r="C454">
        <f t="shared" si="61"/>
        <v>38</v>
      </c>
      <c r="D454">
        <f t="shared" si="62"/>
        <v>7</v>
      </c>
      <c r="E454" s="15">
        <f>IF(C454&lt;='Input sheet(dashboard)'!$D$6, -PMT('Input sheet(dashboard)'!$E$5,'Input sheet(dashboard)'!$D$6*12,'Input sheet(dashboard)'!$D$3*'Input sheet(dashboard)'!$D$4),0)</f>
        <v>0</v>
      </c>
      <c r="F454" s="3">
        <f>I453*'Input sheet(dashboard)'!$E$5</f>
        <v>1.0478380259246817E-11</v>
      </c>
      <c r="G454" s="3">
        <f>IF(C454&lt;='Input sheet(dashboard)'!$D$6,E454*'Input sheet(dashboard)'!$D$7,0)</f>
        <v>0</v>
      </c>
      <c r="H454" s="3">
        <f t="shared" si="64"/>
        <v>-1.0478380259246817E-11</v>
      </c>
      <c r="I454" s="3">
        <f t="shared" si="65"/>
        <v>2.8869505842745004E-9</v>
      </c>
      <c r="J454" s="3">
        <f>IF(B454&lt;='Input sheet(dashboard)'!$D$27*12,'Input sheet(dashboard)'!$D$3*(1+'Input sheet(dashboard)'!$E$24)^B454,0)</f>
        <v>55490179.4797564</v>
      </c>
      <c r="K454" s="3">
        <f>IF(B454&lt;='Input sheet(dashboard)'!$D$27*12,J454*'Input sheet(dashboard)'!$E$8,0)</f>
        <v>57473.73225105428</v>
      </c>
      <c r="L454" s="3">
        <f>IF(B454&lt;='Input sheet(dashboard)'!$D$27*12,'Input sheet(dashboard)'!$D$9*(1+'Input sheet(dashboard)'!$E$22)^B454,0)</f>
        <v>7588.5685632031882</v>
      </c>
      <c r="M454" s="3">
        <f>IF(B454=1,'Input sheet(dashboard)'!$D$3*'Input sheet(dashboard)'!$D$10,0)</f>
        <v>0</v>
      </c>
      <c r="N454" s="3">
        <f>IF(B454='Input sheet(dashboard)'!$D$27*12,J454*'Input sheet(dashboard)'!$D$11,0)</f>
        <v>0</v>
      </c>
      <c r="O454" s="3">
        <f>IF(SUM(F454:F465)&gt;=150000,150000/12*'Input sheet(dashboard)'!$D$28,SUM(F454:F465)/12*'Input sheet(dashboard)'!$D$28)</f>
        <v>1.6036332537385128E-12</v>
      </c>
      <c r="P454" s="3">
        <f t="shared" si="60"/>
        <v>0</v>
      </c>
      <c r="Q454" s="3">
        <f>IF(B454&lt;='Input sheet(dashboard)'!$D$27*12,'Input sheet(dashboard)'!$D$12/12,0)</f>
        <v>192.5</v>
      </c>
      <c r="R454" s="3">
        <f>IF(B454&lt;='Input sheet(dashboard)'!$D$27*12,('Input sheet(dashboard)'!$D$15/12)*(1+'Input sheet(dashboard)'!$E$22)^Calculations!B454,0)</f>
        <v>843.17428480035426</v>
      </c>
      <c r="S454" s="3">
        <f>IF(B454&lt;='Input sheet(dashboard)'!$D$27*12,(E454+G454+K454+L454-O454+M454+Q454+R454),0)</f>
        <v>66097.975099057818</v>
      </c>
      <c r="T454" s="3">
        <f>IF(B454&lt;='Input sheet(dashboard)'!$D$27*12,IF(D454=12,SUM(S443:S454),0),0)</f>
        <v>0</v>
      </c>
      <c r="U454" s="3">
        <f>IF(B454&lt;='Input sheet(dashboard)'!$D$27*12,IF(S454&lt;AD454,AD454-S454,0),0)</f>
        <v>95331.305643278421</v>
      </c>
      <c r="V454" s="3">
        <f>IF(B454&lt;='Input sheet(dashboard)'!$D$27*12,V453*(1+'Input sheet(dashboard)'!$E$25)+U454,0)</f>
        <v>12078667.6959919</v>
      </c>
      <c r="W454" s="17">
        <f>IF(B454&lt;='Input sheet(dashboard)'!$D$27*12,J454-I454+V454-N454,0)</f>
        <v>67568847.175748304</v>
      </c>
      <c r="X454" s="3">
        <f>IF(B454&lt;='Input sheet(dashboard)'!$D$27*12,'Input sheet(dashboard)'!$D$17*(1+'Input sheet(dashboard)'!$E$23)^(B454-1),0)</f>
        <v>161429.28074233624</v>
      </c>
      <c r="Y454" s="3"/>
      <c r="Z454" s="18"/>
      <c r="AA454" s="18"/>
      <c r="AB454" s="3">
        <f>IF(B454=1,'Input sheet(dashboard)'!$D$18*Calculations!X454,IF(Calculations!B454=12*'Input sheet(dashboard)'!$D$27,'Input sheet(dashboard)'!$D$18*-Calculations!X454,0))</f>
        <v>0</v>
      </c>
      <c r="AC454" s="3">
        <f>IF(B454&lt;='Input sheet(dashboard)'!$D$27*12,IF(MOD(B453,'Input sheet(dashboard)'!$D$19*12),0,'Input sheet(dashboard)'!$D$20*(1+'Input sheet(dashboard)'!$E$22)^Calculations!B454),0)</f>
        <v>0</v>
      </c>
      <c r="AD454" s="17">
        <f t="shared" si="66"/>
        <v>161429.28074233624</v>
      </c>
      <c r="AE454" s="17">
        <f>IF(B454&lt;='Input sheet(dashboard)'!$D$27*12,IF(D454=12,SUM(AD443:AD454),0),0)</f>
        <v>0</v>
      </c>
      <c r="AF454" s="17">
        <f t="shared" si="67"/>
        <v>-95331.305643278421</v>
      </c>
      <c r="AG454" s="17">
        <f t="shared" si="68"/>
        <v>0</v>
      </c>
      <c r="AH454" s="3">
        <f>IF(B454&lt;='Input sheet(dashboard)'!$D$27*12,AH453*(1+'Input sheet(dashboard)'!$E$25)+AG454," ")</f>
        <v>61454140.809494644</v>
      </c>
    </row>
    <row r="455" spans="2:34">
      <c r="B455">
        <f t="shared" si="63"/>
        <v>452</v>
      </c>
      <c r="C455">
        <f t="shared" si="61"/>
        <v>38</v>
      </c>
      <c r="D455">
        <f t="shared" si="62"/>
        <v>8</v>
      </c>
      <c r="E455" s="15">
        <f>IF(C455&lt;='Input sheet(dashboard)'!$D$6, -PMT('Input sheet(dashboard)'!$E$5,'Input sheet(dashboard)'!$D$6*12,'Input sheet(dashboard)'!$D$3*'Input sheet(dashboard)'!$D$4),0)</f>
        <v>0</v>
      </c>
      <c r="F455" s="3">
        <f>I454*'Input sheet(dashboard)'!$E$5</f>
        <v>1.0516550783788687E-11</v>
      </c>
      <c r="G455" s="3">
        <f>IF(C455&lt;='Input sheet(dashboard)'!$D$6,E455*'Input sheet(dashboard)'!$D$7,0)</f>
        <v>0</v>
      </c>
      <c r="H455" s="3">
        <f t="shared" si="64"/>
        <v>-1.0516550783788687E-11</v>
      </c>
      <c r="I455" s="3">
        <f t="shared" si="65"/>
        <v>2.897467135058289E-9</v>
      </c>
      <c r="J455" s="3">
        <f>IF(B455&lt;='Input sheet(dashboard)'!$D$27*12,'Input sheet(dashboard)'!$D$3*(1+'Input sheet(dashboard)'!$E$24)^B455,0)</f>
        <v>55716253.339733787</v>
      </c>
      <c r="K455" s="3">
        <f>IF(B455&lt;='Input sheet(dashboard)'!$D$27*12,J455*'Input sheet(dashboard)'!$E$8,0)</f>
        <v>57707.887350553334</v>
      </c>
      <c r="L455" s="3">
        <f>IF(B455&lt;='Input sheet(dashboard)'!$D$27*12,'Input sheet(dashboard)'!$D$9*(1+'Input sheet(dashboard)'!$E$22)^B455,0)</f>
        <v>7604.1997719658621</v>
      </c>
      <c r="M455" s="3">
        <f>IF(B455=1,'Input sheet(dashboard)'!$D$3*'Input sheet(dashboard)'!$D$10,0)</f>
        <v>0</v>
      </c>
      <c r="N455" s="3">
        <f>IF(B455='Input sheet(dashboard)'!$D$27*12,J455*'Input sheet(dashboard)'!$D$11,0)</f>
        <v>0</v>
      </c>
      <c r="O455" s="3">
        <f>IF(SUM(F455:F466)&gt;=150000,150000/12*'Input sheet(dashboard)'!$D$28,SUM(F455:F466)/12*'Input sheet(dashboard)'!$D$28)</f>
        <v>1.6094749507330426E-12</v>
      </c>
      <c r="P455" s="3">
        <f t="shared" si="60"/>
        <v>0</v>
      </c>
      <c r="Q455" s="3">
        <f>IF(B455&lt;='Input sheet(dashboard)'!$D$27*12,'Input sheet(dashboard)'!$D$12/12,0)</f>
        <v>192.5</v>
      </c>
      <c r="R455" s="3">
        <f>IF(B455&lt;='Input sheet(dashboard)'!$D$27*12,('Input sheet(dashboard)'!$D$15/12)*(1+'Input sheet(dashboard)'!$E$22)^Calculations!B455,0)</f>
        <v>844.91108577398461</v>
      </c>
      <c r="S455" s="3">
        <f>IF(B455&lt;='Input sheet(dashboard)'!$D$27*12,(E455+G455+K455+L455-O455+M455+Q455+R455),0)</f>
        <v>66349.498208293182</v>
      </c>
      <c r="T455" s="3">
        <f>IF(B455&lt;='Input sheet(dashboard)'!$D$27*12,IF(D455=12,SUM(S444:S455),0),0)</f>
        <v>0</v>
      </c>
      <c r="U455" s="3">
        <f>IF(B455&lt;='Input sheet(dashboard)'!$D$27*12,IF(S455&lt;AD455,AD455-S455,0),0)</f>
        <v>95737.465406092684</v>
      </c>
      <c r="V455" s="3">
        <f>IF(B455&lt;='Input sheet(dashboard)'!$D$27*12,V454*(1+'Input sheet(dashboard)'!$E$25)+U455,0)</f>
        <v>12252119.673042729</v>
      </c>
      <c r="W455" s="17">
        <f>IF(B455&lt;='Input sheet(dashboard)'!$D$27*12,J455-I455+V455-N455,0)</f>
        <v>67968373.012776524</v>
      </c>
      <c r="X455" s="3">
        <f>IF(B455&lt;='Input sheet(dashboard)'!$D$27*12,'Input sheet(dashboard)'!$D$17*(1+'Input sheet(dashboard)'!$E$23)^(B455-1),0)</f>
        <v>162086.96361438587</v>
      </c>
      <c r="Y455" s="3"/>
      <c r="Z455" s="18"/>
      <c r="AA455" s="18"/>
      <c r="AB455" s="3">
        <f>IF(B455=1,'Input sheet(dashboard)'!$D$18*Calculations!X455,IF(Calculations!B455=12*'Input sheet(dashboard)'!$D$27,'Input sheet(dashboard)'!$D$18*-Calculations!X455,0))</f>
        <v>0</v>
      </c>
      <c r="AC455" s="3">
        <f>IF(B455&lt;='Input sheet(dashboard)'!$D$27*12,IF(MOD(B454,'Input sheet(dashboard)'!$D$19*12),0,'Input sheet(dashboard)'!$D$20*(1+'Input sheet(dashboard)'!$E$22)^Calculations!B455),0)</f>
        <v>0</v>
      </c>
      <c r="AD455" s="17">
        <f t="shared" si="66"/>
        <v>162086.96361438587</v>
      </c>
      <c r="AE455" s="17">
        <f>IF(B455&lt;='Input sheet(dashboard)'!$D$27*12,IF(D455=12,SUM(AD444:AD455),0),0)</f>
        <v>0</v>
      </c>
      <c r="AF455" s="17">
        <f t="shared" si="67"/>
        <v>-95737.465406092684</v>
      </c>
      <c r="AG455" s="17">
        <f t="shared" si="68"/>
        <v>0</v>
      </c>
      <c r="AH455" s="3">
        <f>IF(B455&lt;='Input sheet(dashboard)'!$D$27*12,AH454*(1+'Input sheet(dashboard)'!$E$25)+AG455," ")</f>
        <v>61849538.601847321</v>
      </c>
    </row>
    <row r="456" spans="2:34">
      <c r="B456">
        <f t="shared" si="63"/>
        <v>453</v>
      </c>
      <c r="C456">
        <f t="shared" si="61"/>
        <v>38</v>
      </c>
      <c r="D456">
        <f t="shared" si="62"/>
        <v>9</v>
      </c>
      <c r="E456" s="15">
        <f>IF(C456&lt;='Input sheet(dashboard)'!$D$6, -PMT('Input sheet(dashboard)'!$E$5,'Input sheet(dashboard)'!$D$6*12,'Input sheet(dashboard)'!$D$3*'Input sheet(dashboard)'!$D$4),0)</f>
        <v>0</v>
      </c>
      <c r="F456" s="3">
        <f>I455*'Input sheet(dashboard)'!$E$5</f>
        <v>1.0554860355483624E-11</v>
      </c>
      <c r="G456" s="3">
        <f>IF(C456&lt;='Input sheet(dashboard)'!$D$6,E456*'Input sheet(dashboard)'!$D$7,0)</f>
        <v>0</v>
      </c>
      <c r="H456" s="3">
        <f t="shared" si="64"/>
        <v>-1.0554860355483624E-11</v>
      </c>
      <c r="I456" s="3">
        <f t="shared" si="65"/>
        <v>2.9080219954137726E-9</v>
      </c>
      <c r="J456" s="3">
        <f>IF(B456&lt;='Input sheet(dashboard)'!$D$27*12,'Input sheet(dashboard)'!$D$3*(1+'Input sheet(dashboard)'!$E$24)^B456,0)</f>
        <v>55943248.252600968</v>
      </c>
      <c r="K456" s="3">
        <f>IF(B456&lt;='Input sheet(dashboard)'!$D$27*12,J456*'Input sheet(dashboard)'!$E$8,0)</f>
        <v>57942.996426912316</v>
      </c>
      <c r="L456" s="3">
        <f>IF(B456&lt;='Input sheet(dashboard)'!$D$27*12,'Input sheet(dashboard)'!$D$9*(1+'Input sheet(dashboard)'!$E$22)^B456,0)</f>
        <v>7619.8631784592853</v>
      </c>
      <c r="M456" s="3">
        <f>IF(B456=1,'Input sheet(dashboard)'!$D$3*'Input sheet(dashboard)'!$D$10,0)</f>
        <v>0</v>
      </c>
      <c r="N456" s="3">
        <f>IF(B456='Input sheet(dashboard)'!$D$27*12,J456*'Input sheet(dashboard)'!$D$11,0)</f>
        <v>0</v>
      </c>
      <c r="O456" s="3">
        <f>IF(SUM(F456:F467)&gt;=150000,150000/12*'Input sheet(dashboard)'!$D$28,SUM(F456:F467)/12*'Input sheet(dashboard)'!$D$28)</f>
        <v>1.6153379277950052E-12</v>
      </c>
      <c r="P456" s="3">
        <f t="shared" si="60"/>
        <v>0</v>
      </c>
      <c r="Q456" s="3">
        <f>IF(B456&lt;='Input sheet(dashboard)'!$D$27*12,'Input sheet(dashboard)'!$D$12/12,0)</f>
        <v>192.5</v>
      </c>
      <c r="R456" s="3">
        <f>IF(B456&lt;='Input sheet(dashboard)'!$D$27*12,('Input sheet(dashboard)'!$D$15/12)*(1+'Input sheet(dashboard)'!$E$22)^Calculations!B456,0)</f>
        <v>846.65146427325396</v>
      </c>
      <c r="S456" s="3">
        <f>IF(B456&lt;='Input sheet(dashboard)'!$D$27*12,(E456+G456+K456+L456-O456+M456+Q456+R456),0)</f>
        <v>66602.011069644854</v>
      </c>
      <c r="T456" s="3">
        <f>IF(B456&lt;='Input sheet(dashboard)'!$D$27*12,IF(D456=12,SUM(S445:S456),0),0)</f>
        <v>0</v>
      </c>
      <c r="U456" s="3">
        <f>IF(B456&lt;='Input sheet(dashboard)'!$D$27*12,IF(S456&lt;AD456,AD456-S456,0),0)</f>
        <v>96145.314898221724</v>
      </c>
      <c r="V456" s="3">
        <f>IF(B456&lt;='Input sheet(dashboard)'!$D$27*12,V455*(1+'Input sheet(dashboard)'!$E$25)+U456,0)</f>
        <v>12427095.494828673</v>
      </c>
      <c r="W456" s="17">
        <f>IF(B456&lt;='Input sheet(dashboard)'!$D$27*12,J456-I456+V456-N456,0)</f>
        <v>68370343.747429639</v>
      </c>
      <c r="X456" s="3">
        <f>IF(B456&lt;='Input sheet(dashboard)'!$D$27*12,'Input sheet(dashboard)'!$D$17*(1+'Input sheet(dashboard)'!$E$23)^(B456-1),0)</f>
        <v>162747.32596786658</v>
      </c>
      <c r="Y456" s="3"/>
      <c r="Z456" s="18"/>
      <c r="AA456" s="18"/>
      <c r="AB456" s="3">
        <f>IF(B456=1,'Input sheet(dashboard)'!$D$18*Calculations!X456,IF(Calculations!B456=12*'Input sheet(dashboard)'!$D$27,'Input sheet(dashboard)'!$D$18*-Calculations!X456,0))</f>
        <v>0</v>
      </c>
      <c r="AC456" s="3">
        <f>IF(B456&lt;='Input sheet(dashboard)'!$D$27*12,IF(MOD(B455,'Input sheet(dashboard)'!$D$19*12),0,'Input sheet(dashboard)'!$D$20*(1+'Input sheet(dashboard)'!$E$22)^Calculations!B456),0)</f>
        <v>0</v>
      </c>
      <c r="AD456" s="17">
        <f t="shared" si="66"/>
        <v>162747.32596786658</v>
      </c>
      <c r="AE456" s="17">
        <f>IF(B456&lt;='Input sheet(dashboard)'!$D$27*12,IF(D456=12,SUM(AD445:AD456),0),0)</f>
        <v>0</v>
      </c>
      <c r="AF456" s="17">
        <f t="shared" si="67"/>
        <v>-96145.314898221724</v>
      </c>
      <c r="AG456" s="17">
        <f t="shared" si="68"/>
        <v>0</v>
      </c>
      <c r="AH456" s="3">
        <f>IF(B456&lt;='Input sheet(dashboard)'!$D$27*12,AH455*(1+'Input sheet(dashboard)'!$E$25)+AG456," ")</f>
        <v>62247480.395501427</v>
      </c>
    </row>
    <row r="457" spans="2:34">
      <c r="B457">
        <f t="shared" si="63"/>
        <v>454</v>
      </c>
      <c r="C457">
        <f t="shared" si="61"/>
        <v>38</v>
      </c>
      <c r="D457">
        <f t="shared" si="62"/>
        <v>10</v>
      </c>
      <c r="E457" s="15">
        <f>IF(C457&lt;='Input sheet(dashboard)'!$D$6, -PMT('Input sheet(dashboard)'!$E$5,'Input sheet(dashboard)'!$D$6*12,'Input sheet(dashboard)'!$D$3*'Input sheet(dashboard)'!$D$4),0)</f>
        <v>0</v>
      </c>
      <c r="F457" s="3">
        <f>I456*'Input sheet(dashboard)'!$E$5</f>
        <v>1.0593309480851018E-11</v>
      </c>
      <c r="G457" s="3">
        <f>IF(C457&lt;='Input sheet(dashboard)'!$D$6,E457*'Input sheet(dashboard)'!$D$7,0)</f>
        <v>0</v>
      </c>
      <c r="H457" s="3">
        <f t="shared" si="64"/>
        <v>-1.0593309480851018E-11</v>
      </c>
      <c r="I457" s="3">
        <f t="shared" si="65"/>
        <v>2.9186153048946235E-9</v>
      </c>
      <c r="J457" s="3">
        <f>IF(B457&lt;='Input sheet(dashboard)'!$D$27*12,'Input sheet(dashboard)'!$D$3*(1+'Input sheet(dashboard)'!$E$24)^B457,0)</f>
        <v>56171167.970841445</v>
      </c>
      <c r="K457" s="3">
        <f>IF(B457&lt;='Input sheet(dashboard)'!$D$27*12,J457*'Input sheet(dashboard)'!$E$8,0)</f>
        <v>58179.063366751063</v>
      </c>
      <c r="L457" s="3">
        <f>IF(B457&lt;='Input sheet(dashboard)'!$D$27*12,'Input sheet(dashboard)'!$D$9*(1+'Input sheet(dashboard)'!$E$22)^B457,0)</f>
        <v>7635.5588490055161</v>
      </c>
      <c r="M457" s="3">
        <f>IF(B457=1,'Input sheet(dashboard)'!$D$3*'Input sheet(dashboard)'!$D$10,0)</f>
        <v>0</v>
      </c>
      <c r="N457" s="3">
        <f>IF(B457='Input sheet(dashboard)'!$D$27*12,J457*'Input sheet(dashboard)'!$D$11,0)</f>
        <v>0</v>
      </c>
      <c r="O457" s="3">
        <f>IF(SUM(F457:F468)&gt;=150000,150000/12*'Input sheet(dashboard)'!$D$28,SUM(F457:F468)/12*'Input sheet(dashboard)'!$D$28)</f>
        <v>1.6212222624431872E-12</v>
      </c>
      <c r="P457" s="3">
        <f t="shared" si="60"/>
        <v>0</v>
      </c>
      <c r="Q457" s="3">
        <f>IF(B457&lt;='Input sheet(dashboard)'!$D$27*12,'Input sheet(dashboard)'!$D$12/12,0)</f>
        <v>192.5</v>
      </c>
      <c r="R457" s="3">
        <f>IF(B457&lt;='Input sheet(dashboard)'!$D$27*12,('Input sheet(dashboard)'!$D$15/12)*(1+'Input sheet(dashboard)'!$E$22)^Calculations!B457,0)</f>
        <v>848.39542766727948</v>
      </c>
      <c r="S457" s="3">
        <f>IF(B457&lt;='Input sheet(dashboard)'!$D$27*12,(E457+G457+K457+L457-O457+M457+Q457+R457),0)</f>
        <v>66855.517643423853</v>
      </c>
      <c r="T457" s="3">
        <f>IF(B457&lt;='Input sheet(dashboard)'!$D$27*12,IF(D457=12,SUM(S446:S457),0),0)</f>
        <v>0</v>
      </c>
      <c r="U457" s="3">
        <f>IF(B457&lt;='Input sheet(dashboard)'!$D$27*12,IF(S457&lt;AD457,AD457-S457,0),0)</f>
        <v>96554.861075893554</v>
      </c>
      <c r="V457" s="3">
        <f>IF(B457&lt;='Input sheet(dashboard)'!$D$27*12,V456*(1+'Input sheet(dashboard)'!$E$25)+U457,0)</f>
        <v>12603606.662498182</v>
      </c>
      <c r="W457" s="17">
        <f>IF(B457&lt;='Input sheet(dashboard)'!$D$27*12,J457-I457+V457-N457,0)</f>
        <v>68774774.633339629</v>
      </c>
      <c r="X457" s="3">
        <f>IF(B457&lt;='Input sheet(dashboard)'!$D$27*12,'Input sheet(dashboard)'!$D$17*(1+'Input sheet(dashboard)'!$E$23)^(B457-1),0)</f>
        <v>163410.37871931741</v>
      </c>
      <c r="Y457" s="3"/>
      <c r="Z457" s="18"/>
      <c r="AA457" s="18"/>
      <c r="AB457" s="3">
        <f>IF(B457=1,'Input sheet(dashboard)'!$D$18*Calculations!X457,IF(Calculations!B457=12*'Input sheet(dashboard)'!$D$27,'Input sheet(dashboard)'!$D$18*-Calculations!X457,0))</f>
        <v>0</v>
      </c>
      <c r="AC457" s="3">
        <f>IF(B457&lt;='Input sheet(dashboard)'!$D$27*12,IF(MOD(B456,'Input sheet(dashboard)'!$D$19*12),0,'Input sheet(dashboard)'!$D$20*(1+'Input sheet(dashboard)'!$E$22)^Calculations!B457),0)</f>
        <v>0</v>
      </c>
      <c r="AD457" s="17">
        <f t="shared" si="66"/>
        <v>163410.37871931741</v>
      </c>
      <c r="AE457" s="17">
        <f>IF(B457&lt;='Input sheet(dashboard)'!$D$27*12,IF(D457=12,SUM(AD446:AD457),0),0)</f>
        <v>0</v>
      </c>
      <c r="AF457" s="17">
        <f t="shared" si="67"/>
        <v>-96554.861075893554</v>
      </c>
      <c r="AG457" s="17">
        <f t="shared" si="68"/>
        <v>0</v>
      </c>
      <c r="AH457" s="3">
        <f>IF(B457&lt;='Input sheet(dashboard)'!$D$27*12,AH456*(1+'Input sheet(dashboard)'!$E$25)+AG457," ")</f>
        <v>62647982.558637932</v>
      </c>
    </row>
    <row r="458" spans="2:34">
      <c r="B458">
        <f t="shared" si="63"/>
        <v>455</v>
      </c>
      <c r="C458">
        <f t="shared" si="61"/>
        <v>38</v>
      </c>
      <c r="D458">
        <f t="shared" si="62"/>
        <v>11</v>
      </c>
      <c r="E458" s="15">
        <f>IF(C458&lt;='Input sheet(dashboard)'!$D$6, -PMT('Input sheet(dashboard)'!$E$5,'Input sheet(dashboard)'!$D$6*12,'Input sheet(dashboard)'!$D$3*'Input sheet(dashboard)'!$D$4),0)</f>
        <v>0</v>
      </c>
      <c r="F458" s="3">
        <f>I457*'Input sheet(dashboard)'!$E$5</f>
        <v>1.06318986682554E-11</v>
      </c>
      <c r="G458" s="3">
        <f>IF(C458&lt;='Input sheet(dashboard)'!$D$6,E458*'Input sheet(dashboard)'!$D$7,0)</f>
        <v>0</v>
      </c>
      <c r="H458" s="3">
        <f t="shared" si="64"/>
        <v>-1.06318986682554E-11</v>
      </c>
      <c r="I458" s="3">
        <f t="shared" si="65"/>
        <v>2.929247203562879E-9</v>
      </c>
      <c r="J458" s="3">
        <f>IF(B458&lt;='Input sheet(dashboard)'!$D$27*12,'Input sheet(dashboard)'!$D$3*(1+'Input sheet(dashboard)'!$E$24)^B458,0)</f>
        <v>56400016.262226753</v>
      </c>
      <c r="K458" s="3">
        <f>IF(B458&lt;='Input sheet(dashboard)'!$D$27*12,J458*'Input sheet(dashboard)'!$E$8,0)</f>
        <v>58416.092072523927</v>
      </c>
      <c r="L458" s="3">
        <f>IF(B458&lt;='Input sheet(dashboard)'!$D$27*12,'Input sheet(dashboard)'!$D$9*(1+'Input sheet(dashboard)'!$E$22)^B458,0)</f>
        <v>7651.2868500632167</v>
      </c>
      <c r="M458" s="3">
        <f>IF(B458=1,'Input sheet(dashboard)'!$D$3*'Input sheet(dashboard)'!$D$10,0)</f>
        <v>0</v>
      </c>
      <c r="N458" s="3">
        <f>IF(B458='Input sheet(dashboard)'!$D$27*12,J458*'Input sheet(dashboard)'!$D$11,0)</f>
        <v>0</v>
      </c>
      <c r="O458" s="3">
        <f>IF(SUM(F458:F469)&gt;=150000,150000/12*'Input sheet(dashboard)'!$D$28,SUM(F458:F469)/12*'Input sheet(dashboard)'!$D$28)</f>
        <v>1.6271280324787619E-12</v>
      </c>
      <c r="P458" s="3">
        <f t="shared" si="60"/>
        <v>0</v>
      </c>
      <c r="Q458" s="3">
        <f>IF(B458&lt;='Input sheet(dashboard)'!$D$27*12,'Input sheet(dashboard)'!$D$12/12,0)</f>
        <v>192.5</v>
      </c>
      <c r="R458" s="3">
        <f>IF(B458&lt;='Input sheet(dashboard)'!$D$27*12,('Input sheet(dashboard)'!$D$15/12)*(1+'Input sheet(dashboard)'!$E$22)^Calculations!B458,0)</f>
        <v>850.14298334035732</v>
      </c>
      <c r="S458" s="3">
        <f>IF(B458&lt;='Input sheet(dashboard)'!$D$27*12,(E458+G458+K458+L458-O458+M458+Q458+R458),0)</f>
        <v>67110.021905927497</v>
      </c>
      <c r="T458" s="3">
        <f>IF(B458&lt;='Input sheet(dashboard)'!$D$27*12,IF(D458=12,SUM(S447:S458),0),0)</f>
        <v>0</v>
      </c>
      <c r="U458" s="3">
        <f>IF(B458&lt;='Input sheet(dashboard)'!$D$27*12,IF(S458&lt;AD458,AD458-S458,0),0)</f>
        <v>96966.110923825312</v>
      </c>
      <c r="V458" s="3">
        <f>IF(B458&lt;='Input sheet(dashboard)'!$D$27*12,V457*(1+'Input sheet(dashboard)'!$E$25)+U458,0)</f>
        <v>12781664.758183159</v>
      </c>
      <c r="W458" s="17">
        <f>IF(B458&lt;='Input sheet(dashboard)'!$D$27*12,J458-I458+V458-N458,0)</f>
        <v>69181681.020409912</v>
      </c>
      <c r="X458" s="3">
        <f>IF(B458&lt;='Input sheet(dashboard)'!$D$27*12,'Input sheet(dashboard)'!$D$17*(1+'Input sheet(dashboard)'!$E$23)^(B458-1),0)</f>
        <v>164076.13282975281</v>
      </c>
      <c r="Y458" s="3"/>
      <c r="Z458" s="18"/>
      <c r="AA458" s="18"/>
      <c r="AB458" s="3">
        <f>IF(B458=1,'Input sheet(dashboard)'!$D$18*Calculations!X458,IF(Calculations!B458=12*'Input sheet(dashboard)'!$D$27,'Input sheet(dashboard)'!$D$18*-Calculations!X458,0))</f>
        <v>0</v>
      </c>
      <c r="AC458" s="3">
        <f>IF(B458&lt;='Input sheet(dashboard)'!$D$27*12,IF(MOD(B457,'Input sheet(dashboard)'!$D$19*12),0,'Input sheet(dashboard)'!$D$20*(1+'Input sheet(dashboard)'!$E$22)^Calculations!B458),0)</f>
        <v>0</v>
      </c>
      <c r="AD458" s="17">
        <f t="shared" si="66"/>
        <v>164076.13282975281</v>
      </c>
      <c r="AE458" s="17">
        <f>IF(B458&lt;='Input sheet(dashboard)'!$D$27*12,IF(D458=12,SUM(AD447:AD458),0),0)</f>
        <v>0</v>
      </c>
      <c r="AF458" s="17">
        <f t="shared" si="67"/>
        <v>-96966.110923825312</v>
      </c>
      <c r="AG458" s="17">
        <f t="shared" si="68"/>
        <v>0</v>
      </c>
      <c r="AH458" s="3">
        <f>IF(B458&lt;='Input sheet(dashboard)'!$D$27*12,AH457*(1+'Input sheet(dashboard)'!$E$25)+AG458," ")</f>
        <v>63051061.564751178</v>
      </c>
    </row>
    <row r="459" spans="2:34">
      <c r="B459">
        <f t="shared" si="63"/>
        <v>456</v>
      </c>
      <c r="C459">
        <f t="shared" si="61"/>
        <v>38</v>
      </c>
      <c r="D459">
        <f t="shared" si="62"/>
        <v>12</v>
      </c>
      <c r="E459" s="15">
        <f>IF(C459&lt;='Input sheet(dashboard)'!$D$6, -PMT('Input sheet(dashboard)'!$E$5,'Input sheet(dashboard)'!$D$6*12,'Input sheet(dashboard)'!$D$3*'Input sheet(dashboard)'!$D$4),0)</f>
        <v>0</v>
      </c>
      <c r="F459" s="3">
        <f>I458*'Input sheet(dashboard)'!$E$5</f>
        <v>1.0670628427913167E-11</v>
      </c>
      <c r="G459" s="3">
        <f>IF(C459&lt;='Input sheet(dashboard)'!$D$6,E459*'Input sheet(dashboard)'!$D$7,0)</f>
        <v>0</v>
      </c>
      <c r="H459" s="3">
        <f t="shared" si="64"/>
        <v>-1.0670628427913167E-11</v>
      </c>
      <c r="I459" s="3">
        <f t="shared" si="65"/>
        <v>2.9399178319907921E-9</v>
      </c>
      <c r="J459" s="3">
        <f>IF(B459&lt;='Input sheet(dashboard)'!$D$27*12,'Input sheet(dashboard)'!$D$3*(1+'Input sheet(dashboard)'!$E$24)^B459,0)</f>
        <v>56629796.90987885</v>
      </c>
      <c r="K459" s="3">
        <f>IF(B459&lt;='Input sheet(dashboard)'!$D$27*12,J459*'Input sheet(dashboard)'!$E$8,0)</f>
        <v>58654.08646258439</v>
      </c>
      <c r="L459" s="3">
        <f>IF(B459&lt;='Input sheet(dashboard)'!$D$27*12,'Input sheet(dashboard)'!$D$9*(1+'Input sheet(dashboard)'!$E$22)^B459,0)</f>
        <v>7667.0472482279474</v>
      </c>
      <c r="M459" s="3">
        <f>IF(B459=1,'Input sheet(dashboard)'!$D$3*'Input sheet(dashboard)'!$D$10,0)</f>
        <v>0</v>
      </c>
      <c r="N459" s="3">
        <f>IF(B459='Input sheet(dashboard)'!$D$27*12,J459*'Input sheet(dashboard)'!$D$11,0)</f>
        <v>0</v>
      </c>
      <c r="O459" s="3">
        <f>IF(SUM(F459:F470)&gt;=150000,150000/12*'Input sheet(dashboard)'!$D$28,SUM(F459:F470)/12*'Input sheet(dashboard)'!$D$28)</f>
        <v>1.6330553159863145E-12</v>
      </c>
      <c r="P459" s="3">
        <f t="shared" si="60"/>
        <v>2.0434732660283753E-11</v>
      </c>
      <c r="Q459" s="3">
        <f>IF(B459&lt;='Input sheet(dashboard)'!$D$27*12,'Input sheet(dashboard)'!$D$12/12,0)</f>
        <v>192.5</v>
      </c>
      <c r="R459" s="3">
        <f>IF(B459&lt;='Input sheet(dashboard)'!$D$27*12,('Input sheet(dashboard)'!$D$15/12)*(1+'Input sheet(dashboard)'!$E$22)^Calculations!B459,0)</f>
        <v>851.89413869199416</v>
      </c>
      <c r="S459" s="3">
        <f>IF(B459&lt;='Input sheet(dashboard)'!$D$27*12,(E459+G459+K459+L459-O459+M459+Q459+R459),0)</f>
        <v>67365.527849504331</v>
      </c>
      <c r="T459" s="3">
        <f>IF(B459&lt;='Input sheet(dashboard)'!$D$27*12,IF(D459=12,SUM(S448:S459),0),0)</f>
        <v>791741.34819440718</v>
      </c>
      <c r="U459" s="3">
        <f>IF(B459&lt;='Input sheet(dashboard)'!$D$27*12,IF(S459&lt;AD459,AD459-S459,0),0)</f>
        <v>97379.071455339188</v>
      </c>
      <c r="V459" s="3">
        <f>IF(B459&lt;='Input sheet(dashboard)'!$D$27*12,V458*(1+'Input sheet(dashboard)'!$E$25)+U459,0)</f>
        <v>12961281.445548618</v>
      </c>
      <c r="W459" s="17">
        <f>IF(B459&lt;='Input sheet(dashboard)'!$D$27*12,J459-I459+V459-N459,0)</f>
        <v>69591078.355427474</v>
      </c>
      <c r="X459" s="3">
        <f>IF(B459&lt;='Input sheet(dashboard)'!$D$27*12,'Input sheet(dashboard)'!$D$17*(1+'Input sheet(dashboard)'!$E$23)^(B459-1),0)</f>
        <v>164744.59930484352</v>
      </c>
      <c r="Y459" s="3"/>
      <c r="Z459" s="18"/>
      <c r="AA459" s="18"/>
      <c r="AB459" s="3">
        <f>IF(B459=1,'Input sheet(dashboard)'!$D$18*Calculations!X459,IF(Calculations!B459=12*'Input sheet(dashboard)'!$D$27,'Input sheet(dashboard)'!$D$18*-Calculations!X459,0))</f>
        <v>0</v>
      </c>
      <c r="AC459" s="3">
        <f>IF(B459&lt;='Input sheet(dashboard)'!$D$27*12,IF(MOD(B458,'Input sheet(dashboard)'!$D$19*12),0,'Input sheet(dashboard)'!$D$20*(1+'Input sheet(dashboard)'!$E$22)^Calculations!B459),0)</f>
        <v>0</v>
      </c>
      <c r="AD459" s="17">
        <f t="shared" si="66"/>
        <v>164744.59930484352</v>
      </c>
      <c r="AE459" s="17">
        <f>IF(B459&lt;='Input sheet(dashboard)'!$D$27*12,IF(D459=12,SUM(AD448:AD459),0),0)</f>
        <v>1933407.711920354</v>
      </c>
      <c r="AF459" s="17">
        <f t="shared" si="67"/>
        <v>-97379.071455339188</v>
      </c>
      <c r="AG459" s="17">
        <f t="shared" si="68"/>
        <v>0</v>
      </c>
      <c r="AH459" s="3">
        <f>IF(B459&lt;='Input sheet(dashboard)'!$D$27*12,AH458*(1+'Input sheet(dashboard)'!$E$25)+AG459," ")</f>
        <v>63456733.99332647</v>
      </c>
    </row>
    <row r="460" spans="2:34">
      <c r="B460">
        <f t="shared" si="63"/>
        <v>457</v>
      </c>
      <c r="C460">
        <f t="shared" si="61"/>
        <v>39</v>
      </c>
      <c r="D460">
        <f t="shared" si="62"/>
        <v>1</v>
      </c>
      <c r="E460" s="15">
        <f>IF(C460&lt;='Input sheet(dashboard)'!$D$6, -PMT('Input sheet(dashboard)'!$E$5,'Input sheet(dashboard)'!$D$6*12,'Input sheet(dashboard)'!$D$3*'Input sheet(dashboard)'!$D$4),0)</f>
        <v>0</v>
      </c>
      <c r="F460" s="3">
        <f>I459*'Input sheet(dashboard)'!$E$5</f>
        <v>1.0709499271899328E-11</v>
      </c>
      <c r="G460" s="3">
        <f>IF(C460&lt;='Input sheet(dashboard)'!$D$6,E460*'Input sheet(dashboard)'!$D$7,0)</f>
        <v>0</v>
      </c>
      <c r="H460" s="3">
        <f t="shared" si="64"/>
        <v>-1.0709499271899328E-11</v>
      </c>
      <c r="I460" s="3">
        <f t="shared" si="65"/>
        <v>2.9506273312626913E-9</v>
      </c>
      <c r="J460" s="3">
        <f>IF(B460&lt;='Input sheet(dashboard)'!$D$27*12,'Input sheet(dashboard)'!$D$3*(1+'Input sheet(dashboard)'!$E$24)^B460,0)</f>
        <v>56860513.712332569</v>
      </c>
      <c r="K460" s="3">
        <f>IF(B460&lt;='Input sheet(dashboard)'!$D$27*12,J460*'Input sheet(dashboard)'!$E$8,0)</f>
        <v>58893.050471249779</v>
      </c>
      <c r="L460" s="3">
        <f>IF(B460&lt;='Input sheet(dashboard)'!$D$27*12,'Input sheet(dashboard)'!$D$9*(1+'Input sheet(dashboard)'!$E$22)^B460,0)</f>
        <v>7682.840110232446</v>
      </c>
      <c r="M460" s="3">
        <f>IF(B460=1,'Input sheet(dashboard)'!$D$3*'Input sheet(dashboard)'!$D$10,0)</f>
        <v>0</v>
      </c>
      <c r="N460" s="3">
        <f>IF(B460='Input sheet(dashboard)'!$D$27*12,J460*'Input sheet(dashboard)'!$D$11,0)</f>
        <v>0</v>
      </c>
      <c r="O460" s="3">
        <f>IF(SUM(F460:F471)&gt;=150000,150000/12*'Input sheet(dashboard)'!$D$28,SUM(F460:F471)/12*'Input sheet(dashboard)'!$D$28)</f>
        <v>1.6390041913348757E-12</v>
      </c>
      <c r="P460" s="3">
        <f t="shared" si="60"/>
        <v>0</v>
      </c>
      <c r="Q460" s="3">
        <f>IF(B460&lt;='Input sheet(dashboard)'!$D$27*12,'Input sheet(dashboard)'!$D$12/12,0)</f>
        <v>192.5</v>
      </c>
      <c r="R460" s="3">
        <f>IF(B460&lt;='Input sheet(dashboard)'!$D$27*12,('Input sheet(dashboard)'!$D$15/12)*(1+'Input sheet(dashboard)'!$E$22)^Calculations!B460,0)</f>
        <v>853.64890113693843</v>
      </c>
      <c r="S460" s="3">
        <f>IF(B460&lt;='Input sheet(dashboard)'!$D$27*12,(E460+G460+K460+L460-O460+M460+Q460+R460),0)</f>
        <v>67622.039482619162</v>
      </c>
      <c r="T460" s="3">
        <f>IF(B460&lt;='Input sheet(dashboard)'!$D$27*12,IF(D460=12,SUM(S449:S460),0),0)</f>
        <v>0</v>
      </c>
      <c r="U460" s="3">
        <f>IF(B460&lt;='Input sheet(dashboard)'!$D$27*12,IF(S460&lt;AD460,AD460-S460,0),0)</f>
        <v>97793.749712479868</v>
      </c>
      <c r="V460" s="3">
        <f>IF(B460&lt;='Input sheet(dashboard)'!$D$27*12,V459*(1+'Input sheet(dashboard)'!$E$25)+U460,0)</f>
        <v>13142468.470345987</v>
      </c>
      <c r="W460" s="17">
        <f>IF(B460&lt;='Input sheet(dashboard)'!$D$27*12,J460-I460+V460-N460,0)</f>
        <v>70002982.18267855</v>
      </c>
      <c r="X460" s="3">
        <f>IF(B460&lt;='Input sheet(dashboard)'!$D$27*12,'Input sheet(dashboard)'!$D$17*(1+'Input sheet(dashboard)'!$E$23)^(B460-1),0)</f>
        <v>165415.78919509903</v>
      </c>
      <c r="Y460" s="3"/>
      <c r="Z460" s="18"/>
      <c r="AA460" s="18"/>
      <c r="AB460" s="3">
        <f>IF(B460=1,'Input sheet(dashboard)'!$D$18*Calculations!X460,IF(Calculations!B460=12*'Input sheet(dashboard)'!$D$27,'Input sheet(dashboard)'!$D$18*-Calculations!X460,0))</f>
        <v>0</v>
      </c>
      <c r="AC460" s="3">
        <f>IF(B460&lt;='Input sheet(dashboard)'!$D$27*12,IF(MOD(B459,'Input sheet(dashboard)'!$D$19*12),0,'Input sheet(dashboard)'!$D$20*(1+'Input sheet(dashboard)'!$E$22)^Calculations!B460),0)</f>
        <v>0</v>
      </c>
      <c r="AD460" s="17">
        <f t="shared" si="66"/>
        <v>165415.78919509903</v>
      </c>
      <c r="AE460" s="17">
        <f>IF(B460&lt;='Input sheet(dashboard)'!$D$27*12,IF(D460=12,SUM(AD449:AD460),0),0)</f>
        <v>0</v>
      </c>
      <c r="AF460" s="17">
        <f t="shared" si="67"/>
        <v>-97793.749712479868</v>
      </c>
      <c r="AG460" s="17">
        <f t="shared" si="68"/>
        <v>0</v>
      </c>
      <c r="AH460" s="3">
        <f>IF(B460&lt;='Input sheet(dashboard)'!$D$27*12,AH459*(1+'Input sheet(dashboard)'!$E$25)+AG460," ")</f>
        <v>63865016.530522011</v>
      </c>
    </row>
    <row r="461" spans="2:34">
      <c r="B461">
        <f t="shared" si="63"/>
        <v>458</v>
      </c>
      <c r="C461">
        <f t="shared" si="61"/>
        <v>39</v>
      </c>
      <c r="D461">
        <f t="shared" si="62"/>
        <v>2</v>
      </c>
      <c r="E461" s="15">
        <f>IF(C461&lt;='Input sheet(dashboard)'!$D$6, -PMT('Input sheet(dashboard)'!$E$5,'Input sheet(dashboard)'!$D$6*12,'Input sheet(dashboard)'!$D$3*'Input sheet(dashboard)'!$D$4),0)</f>
        <v>0</v>
      </c>
      <c r="F461" s="3">
        <f>I460*'Input sheet(dashboard)'!$E$5</f>
        <v>1.0748511714154269E-11</v>
      </c>
      <c r="G461" s="3">
        <f>IF(C461&lt;='Input sheet(dashboard)'!$D$6,E461*'Input sheet(dashboard)'!$D$7,0)</f>
        <v>0</v>
      </c>
      <c r="H461" s="3">
        <f t="shared" si="64"/>
        <v>-1.0748511714154269E-11</v>
      </c>
      <c r="I461" s="3">
        <f t="shared" si="65"/>
        <v>2.9613758429768456E-9</v>
      </c>
      <c r="J461" s="3">
        <f>IF(B461&lt;='Input sheet(dashboard)'!$D$27*12,'Input sheet(dashboard)'!$D$3*(1+'Input sheet(dashboard)'!$E$24)^B461,0)</f>
        <v>57092170.483598441</v>
      </c>
      <c r="K461" s="3">
        <f>IF(B461&lt;='Input sheet(dashboard)'!$D$27*12,J461*'Input sheet(dashboard)'!$E$8,0)</f>
        <v>59132.988048866297</v>
      </c>
      <c r="L461" s="3">
        <f>IF(B461&lt;='Input sheet(dashboard)'!$D$27*12,'Input sheet(dashboard)'!$D$9*(1+'Input sheet(dashboard)'!$E$22)^B461,0)</f>
        <v>7698.6655029469057</v>
      </c>
      <c r="M461" s="3">
        <f>IF(B461=1,'Input sheet(dashboard)'!$D$3*'Input sheet(dashboard)'!$D$10,0)</f>
        <v>0</v>
      </c>
      <c r="N461" s="3">
        <f>IF(B461='Input sheet(dashboard)'!$D$27*12,J461*'Input sheet(dashboard)'!$D$11,0)</f>
        <v>0</v>
      </c>
      <c r="O461" s="3">
        <f>IF(SUM(F461:F472)&gt;=150000,150000/12*'Input sheet(dashboard)'!$D$28,SUM(F461:F472)/12*'Input sheet(dashboard)'!$D$28)</f>
        <v>1.6449747371789597E-12</v>
      </c>
      <c r="P461" s="3">
        <f t="shared" si="60"/>
        <v>0</v>
      </c>
      <c r="Q461" s="3">
        <f>IF(B461&lt;='Input sheet(dashboard)'!$D$27*12,'Input sheet(dashboard)'!$D$12/12,0)</f>
        <v>192.5</v>
      </c>
      <c r="R461" s="3">
        <f>IF(B461&lt;='Input sheet(dashboard)'!$D$27*12,('Input sheet(dashboard)'!$D$15/12)*(1+'Input sheet(dashboard)'!$E$22)^Calculations!B461,0)</f>
        <v>855.40727810521173</v>
      </c>
      <c r="S461" s="3">
        <f>IF(B461&lt;='Input sheet(dashboard)'!$D$27*12,(E461+G461+K461+L461-O461+M461+Q461+R461),0)</f>
        <v>67879.56082991841</v>
      </c>
      <c r="T461" s="3">
        <f>IF(B461&lt;='Input sheet(dashboard)'!$D$27*12,IF(D461=12,SUM(S450:S461),0),0)</f>
        <v>0</v>
      </c>
      <c r="U461" s="3">
        <f>IF(B461&lt;='Input sheet(dashboard)'!$D$27*12,IF(S461&lt;AD461,AD461-S461,0),0)</f>
        <v>98210.152766131345</v>
      </c>
      <c r="V461" s="3">
        <f>IF(B461&lt;='Input sheet(dashboard)'!$D$27*12,V460*(1+'Input sheet(dashboard)'!$E$25)+U461,0)</f>
        <v>13325237.660970096</v>
      </c>
      <c r="W461" s="17">
        <f>IF(B461&lt;='Input sheet(dashboard)'!$D$27*12,J461-I461+V461-N461,0)</f>
        <v>70417408.144568533</v>
      </c>
      <c r="X461" s="3">
        <f>IF(B461&lt;='Input sheet(dashboard)'!$D$27*12,'Input sheet(dashboard)'!$D$17*(1+'Input sheet(dashboard)'!$E$23)^(B461-1),0)</f>
        <v>166089.71359604975</v>
      </c>
      <c r="Y461" s="3"/>
      <c r="Z461" s="18"/>
      <c r="AA461" s="18"/>
      <c r="AB461" s="3">
        <f>IF(B461=1,'Input sheet(dashboard)'!$D$18*Calculations!X461,IF(Calculations!B461=12*'Input sheet(dashboard)'!$D$27,'Input sheet(dashboard)'!$D$18*-Calculations!X461,0))</f>
        <v>0</v>
      </c>
      <c r="AC461" s="3">
        <f>IF(B461&lt;='Input sheet(dashboard)'!$D$27*12,IF(MOD(B460,'Input sheet(dashboard)'!$D$19*12),0,'Input sheet(dashboard)'!$D$20*(1+'Input sheet(dashboard)'!$E$22)^Calculations!B461),0)</f>
        <v>0</v>
      </c>
      <c r="AD461" s="17">
        <f t="shared" si="66"/>
        <v>166089.71359604975</v>
      </c>
      <c r="AE461" s="17">
        <f>IF(B461&lt;='Input sheet(dashboard)'!$D$27*12,IF(D461=12,SUM(AD450:AD461),0),0)</f>
        <v>0</v>
      </c>
      <c r="AF461" s="17">
        <f t="shared" si="67"/>
        <v>-98210.152766131345</v>
      </c>
      <c r="AG461" s="17">
        <f t="shared" si="68"/>
        <v>0</v>
      </c>
      <c r="AH461" s="3">
        <f>IF(B461&lt;='Input sheet(dashboard)'!$D$27*12,AH460*(1+'Input sheet(dashboard)'!$E$25)+AG461," ")</f>
        <v>64275925.969855256</v>
      </c>
    </row>
    <row r="462" spans="2:34">
      <c r="B462">
        <f t="shared" si="63"/>
        <v>459</v>
      </c>
      <c r="C462">
        <f t="shared" si="61"/>
        <v>39</v>
      </c>
      <c r="D462">
        <f t="shared" si="62"/>
        <v>3</v>
      </c>
      <c r="E462" s="15">
        <f>IF(C462&lt;='Input sheet(dashboard)'!$D$6, -PMT('Input sheet(dashboard)'!$E$5,'Input sheet(dashboard)'!$D$6*12,'Input sheet(dashboard)'!$D$3*'Input sheet(dashboard)'!$D$4),0)</f>
        <v>0</v>
      </c>
      <c r="F462" s="3">
        <f>I461*'Input sheet(dashboard)'!$E$5</f>
        <v>1.0787666270490556E-11</v>
      </c>
      <c r="G462" s="3">
        <f>IF(C462&lt;='Input sheet(dashboard)'!$D$6,E462*'Input sheet(dashboard)'!$D$7,0)</f>
        <v>0</v>
      </c>
      <c r="H462" s="3">
        <f t="shared" si="64"/>
        <v>-1.0787666270490556E-11</v>
      </c>
      <c r="I462" s="3">
        <f t="shared" si="65"/>
        <v>2.9721635092473363E-9</v>
      </c>
      <c r="J462" s="3">
        <f>IF(B462&lt;='Input sheet(dashboard)'!$D$27*12,'Input sheet(dashboard)'!$D$3*(1+'Input sheet(dashboard)'!$E$24)^B462,0)</f>
        <v>57324771.053225778</v>
      </c>
      <c r="K462" s="3">
        <f>IF(B462&lt;='Input sheet(dashboard)'!$D$27*12,J462*'Input sheet(dashboard)'!$E$8,0)</f>
        <v>59373.903161874376</v>
      </c>
      <c r="L462" s="3">
        <f>IF(B462&lt;='Input sheet(dashboard)'!$D$27*12,'Input sheet(dashboard)'!$D$9*(1+'Input sheet(dashboard)'!$E$22)^B462,0)</f>
        <v>7714.5234933792617</v>
      </c>
      <c r="M462" s="3">
        <f>IF(B462=1,'Input sheet(dashboard)'!$D$3*'Input sheet(dashboard)'!$D$10,0)</f>
        <v>0</v>
      </c>
      <c r="N462" s="3">
        <f>IF(B462='Input sheet(dashboard)'!$D$27*12,J462*'Input sheet(dashboard)'!$D$11,0)</f>
        <v>0</v>
      </c>
      <c r="O462" s="3">
        <f>IF(SUM(F462:F473)&gt;=150000,150000/12*'Input sheet(dashboard)'!$D$28,SUM(F462:F473)/12*'Input sheet(dashboard)'!$D$28)</f>
        <v>1.6509670324596013E-12</v>
      </c>
      <c r="P462" s="3">
        <f t="shared" si="60"/>
        <v>0</v>
      </c>
      <c r="Q462" s="3">
        <f>IF(B462&lt;='Input sheet(dashboard)'!$D$27*12,'Input sheet(dashboard)'!$D$12/12,0)</f>
        <v>192.5</v>
      </c>
      <c r="R462" s="3">
        <f>IF(B462&lt;='Input sheet(dashboard)'!$D$27*12,('Input sheet(dashboard)'!$D$15/12)*(1+'Input sheet(dashboard)'!$E$22)^Calculations!B462,0)</f>
        <v>857.16927704214015</v>
      </c>
      <c r="S462" s="3">
        <f>IF(B462&lt;='Input sheet(dashboard)'!$D$27*12,(E462+G462+K462+L462-O462+M462+Q462+R462),0)</f>
        <v>68138.095932295779</v>
      </c>
      <c r="T462" s="3">
        <f>IF(B462&lt;='Input sheet(dashboard)'!$D$27*12,IF(D462=12,SUM(S451:S462),0),0)</f>
        <v>0</v>
      </c>
      <c r="U462" s="3">
        <f>IF(B462&lt;='Input sheet(dashboard)'!$D$27*12,IF(S462&lt;AD462,AD462-S462,0),0)</f>
        <v>98628.287716134975</v>
      </c>
      <c r="V462" s="3">
        <f>IF(B462&lt;='Input sheet(dashboard)'!$D$27*12,V461*(1+'Input sheet(dashboard)'!$E$25)+U462,0)</f>
        <v>13509600.929019865</v>
      </c>
      <c r="W462" s="17">
        <f>IF(B462&lt;='Input sheet(dashboard)'!$D$27*12,J462-I462+V462-N462,0)</f>
        <v>70834371.982245639</v>
      </c>
      <c r="X462" s="3">
        <f>IF(B462&lt;='Input sheet(dashboard)'!$D$27*12,'Input sheet(dashboard)'!$D$17*(1+'Input sheet(dashboard)'!$E$23)^(B462-1),0)</f>
        <v>166766.38364843075</v>
      </c>
      <c r="Y462" s="3"/>
      <c r="Z462" s="18"/>
      <c r="AA462" s="18"/>
      <c r="AB462" s="3">
        <f>IF(B462=1,'Input sheet(dashboard)'!$D$18*Calculations!X462,IF(Calculations!B462=12*'Input sheet(dashboard)'!$D$27,'Input sheet(dashboard)'!$D$18*-Calculations!X462,0))</f>
        <v>0</v>
      </c>
      <c r="AC462" s="3">
        <f>IF(B462&lt;='Input sheet(dashboard)'!$D$27*12,IF(MOD(B461,'Input sheet(dashboard)'!$D$19*12),0,'Input sheet(dashboard)'!$D$20*(1+'Input sheet(dashboard)'!$E$22)^Calculations!B462),0)</f>
        <v>0</v>
      </c>
      <c r="AD462" s="17">
        <f t="shared" si="66"/>
        <v>166766.38364843075</v>
      </c>
      <c r="AE462" s="17">
        <f>IF(B462&lt;='Input sheet(dashboard)'!$D$27*12,IF(D462=12,SUM(AD451:AD462),0),0)</f>
        <v>0</v>
      </c>
      <c r="AF462" s="17">
        <f t="shared" si="67"/>
        <v>-98628.287716134975</v>
      </c>
      <c r="AG462" s="17">
        <f t="shared" si="68"/>
        <v>0</v>
      </c>
      <c r="AH462" s="3">
        <f>IF(B462&lt;='Input sheet(dashboard)'!$D$27*12,AH461*(1+'Input sheet(dashboard)'!$E$25)+AG462," ")</f>
        <v>64689479.212893657</v>
      </c>
    </row>
    <row r="463" spans="2:34">
      <c r="B463">
        <f t="shared" si="63"/>
        <v>460</v>
      </c>
      <c r="C463">
        <f t="shared" si="61"/>
        <v>39</v>
      </c>
      <c r="D463">
        <f t="shared" si="62"/>
        <v>4</v>
      </c>
      <c r="E463" s="15">
        <f>IF(C463&lt;='Input sheet(dashboard)'!$D$6, -PMT('Input sheet(dashboard)'!$E$5,'Input sheet(dashboard)'!$D$6*12,'Input sheet(dashboard)'!$D$3*'Input sheet(dashboard)'!$D$4),0)</f>
        <v>0</v>
      </c>
      <c r="F463" s="3">
        <f>I462*'Input sheet(dashboard)'!$E$5</f>
        <v>1.0826963458599747E-11</v>
      </c>
      <c r="G463" s="3">
        <f>IF(C463&lt;='Input sheet(dashboard)'!$D$6,E463*'Input sheet(dashboard)'!$D$7,0)</f>
        <v>0</v>
      </c>
      <c r="H463" s="3">
        <f t="shared" si="64"/>
        <v>-1.0826963458599747E-11</v>
      </c>
      <c r="I463" s="3">
        <f t="shared" si="65"/>
        <v>2.9829904727059362E-9</v>
      </c>
      <c r="J463" s="3">
        <f>IF(B463&lt;='Input sheet(dashboard)'!$D$27*12,'Input sheet(dashboard)'!$D$3*(1+'Input sheet(dashboard)'!$E$24)^B463,0)</f>
        <v>57558319.26636593</v>
      </c>
      <c r="K463" s="3">
        <f>IF(B463&lt;='Input sheet(dashboard)'!$D$27*12,J463*'Input sheet(dashboard)'!$E$8,0)</f>
        <v>59615.799792874212</v>
      </c>
      <c r="L463" s="3">
        <f>IF(B463&lt;='Input sheet(dashboard)'!$D$27*12,'Input sheet(dashboard)'!$D$9*(1+'Input sheet(dashboard)'!$E$22)^B463,0)</f>
        <v>7730.4141486754788</v>
      </c>
      <c r="M463" s="3">
        <f>IF(B463=1,'Input sheet(dashboard)'!$D$3*'Input sheet(dashboard)'!$D$10,0)</f>
        <v>0</v>
      </c>
      <c r="N463" s="3">
        <f>IF(B463='Input sheet(dashboard)'!$D$27*12,J463*'Input sheet(dashboard)'!$D$11,0)</f>
        <v>0</v>
      </c>
      <c r="O463" s="3">
        <f>IF(SUM(F463:F474)&gt;=150000,150000/12*'Input sheet(dashboard)'!$D$28,SUM(F463:F474)/12*'Input sheet(dashboard)'!$D$28)</f>
        <v>1.6569811564053996E-12</v>
      </c>
      <c r="P463" s="3">
        <f t="shared" ref="P463:P526" si="69">IF(D463=12,IF(SUM(F452:F464)&gt;=150000,150000*0.15,SUM(F452:F464)*0.15),0)</f>
        <v>0</v>
      </c>
      <c r="Q463" s="3">
        <f>IF(B463&lt;='Input sheet(dashboard)'!$D$27*12,'Input sheet(dashboard)'!$D$12/12,0)</f>
        <v>192.5</v>
      </c>
      <c r="R463" s="3">
        <f>IF(B463&lt;='Input sheet(dashboard)'!$D$27*12,('Input sheet(dashboard)'!$D$15/12)*(1+'Input sheet(dashboard)'!$E$22)^Calculations!B463,0)</f>
        <v>858.9349054083865</v>
      </c>
      <c r="S463" s="3">
        <f>IF(B463&lt;='Input sheet(dashboard)'!$D$27*12,(E463+G463+K463+L463-O463+M463+Q463+R463),0)</f>
        <v>68397.64884695808</v>
      </c>
      <c r="T463" s="3">
        <f>IF(B463&lt;='Input sheet(dashboard)'!$D$27*12,IF(D463=12,SUM(S452:S463),0),0)</f>
        <v>0</v>
      </c>
      <c r="U463" s="3">
        <f>IF(B463&lt;='Input sheet(dashboard)'!$D$27*12,IF(S463&lt;AD463,AD463-S463,0),0)</f>
        <v>99048.161691407775</v>
      </c>
      <c r="V463" s="3">
        <f>IF(B463&lt;='Input sheet(dashboard)'!$D$27*12,V462*(1+'Input sheet(dashboard)'!$E$25)+U463,0)</f>
        <v>13695570.269862717</v>
      </c>
      <c r="W463" s="17">
        <f>IF(B463&lt;='Input sheet(dashboard)'!$D$27*12,J463-I463+V463-N463,0)</f>
        <v>71253889.536228642</v>
      </c>
      <c r="X463" s="3">
        <f>IF(B463&lt;='Input sheet(dashboard)'!$D$27*12,'Input sheet(dashboard)'!$D$17*(1+'Input sheet(dashboard)'!$E$23)^(B463-1),0)</f>
        <v>167445.81053836585</v>
      </c>
      <c r="Y463" s="3"/>
      <c r="Z463" s="18"/>
      <c r="AA463" s="18"/>
      <c r="AB463" s="3">
        <f>IF(B463=1,'Input sheet(dashboard)'!$D$18*Calculations!X463,IF(Calculations!B463=12*'Input sheet(dashboard)'!$D$27,'Input sheet(dashboard)'!$D$18*-Calculations!X463,0))</f>
        <v>0</v>
      </c>
      <c r="AC463" s="3">
        <f>IF(B463&lt;='Input sheet(dashboard)'!$D$27*12,IF(MOD(B462,'Input sheet(dashboard)'!$D$19*12),0,'Input sheet(dashboard)'!$D$20*(1+'Input sheet(dashboard)'!$E$22)^Calculations!B463),0)</f>
        <v>0</v>
      </c>
      <c r="AD463" s="17">
        <f t="shared" si="66"/>
        <v>167445.81053836585</v>
      </c>
      <c r="AE463" s="17">
        <f>IF(B463&lt;='Input sheet(dashboard)'!$D$27*12,IF(D463=12,SUM(AD452:AD463),0),0)</f>
        <v>0</v>
      </c>
      <c r="AF463" s="17">
        <f t="shared" si="67"/>
        <v>-99048.161691407775</v>
      </c>
      <c r="AG463" s="17">
        <f t="shared" si="68"/>
        <v>0</v>
      </c>
      <c r="AH463" s="3">
        <f>IF(B463&lt;='Input sheet(dashboard)'!$D$27*12,AH462*(1+'Input sheet(dashboard)'!$E$25)+AG463," ")</f>
        <v>65105693.269949853</v>
      </c>
    </row>
    <row r="464" spans="2:34">
      <c r="B464">
        <f t="shared" si="63"/>
        <v>461</v>
      </c>
      <c r="C464">
        <f t="shared" ref="C464:C527" si="70">C452+1</f>
        <v>39</v>
      </c>
      <c r="D464">
        <f t="shared" ref="D464:D527" si="71">D452</f>
        <v>5</v>
      </c>
      <c r="E464" s="15">
        <f>IF(C464&lt;='Input sheet(dashboard)'!$D$6, -PMT('Input sheet(dashboard)'!$E$5,'Input sheet(dashboard)'!$D$6*12,'Input sheet(dashboard)'!$D$3*'Input sheet(dashboard)'!$D$4),0)</f>
        <v>0</v>
      </c>
      <c r="F464" s="3">
        <f>I463*'Input sheet(dashboard)'!$E$5</f>
        <v>1.0866403798059249E-11</v>
      </c>
      <c r="G464" s="3">
        <f>IF(C464&lt;='Input sheet(dashboard)'!$D$6,E464*'Input sheet(dashboard)'!$D$7,0)</f>
        <v>0</v>
      </c>
      <c r="H464" s="3">
        <f t="shared" si="64"/>
        <v>-1.0866403798059249E-11</v>
      </c>
      <c r="I464" s="3">
        <f t="shared" si="65"/>
        <v>2.9938568765039956E-9</v>
      </c>
      <c r="J464" s="3">
        <f>IF(B464&lt;='Input sheet(dashboard)'!$D$27*12,'Input sheet(dashboard)'!$D$3*(1+'Input sheet(dashboard)'!$E$24)^B464,0)</f>
        <v>57792818.983835854</v>
      </c>
      <c r="K464" s="3">
        <f>IF(B464&lt;='Input sheet(dashboard)'!$D$27*12,J464*'Input sheet(dashboard)'!$E$8,0)</f>
        <v>59858.681940691575</v>
      </c>
      <c r="L464" s="3">
        <f>IF(B464&lt;='Input sheet(dashboard)'!$D$27*12,'Input sheet(dashboard)'!$D$9*(1+'Input sheet(dashboard)'!$E$22)^B464,0)</f>
        <v>7746.337536119825</v>
      </c>
      <c r="M464" s="3">
        <f>IF(B464=1,'Input sheet(dashboard)'!$D$3*'Input sheet(dashboard)'!$D$10,0)</f>
        <v>0</v>
      </c>
      <c r="N464" s="3">
        <f>IF(B464='Input sheet(dashboard)'!$D$27*12,J464*'Input sheet(dashboard)'!$D$11,0)</f>
        <v>0</v>
      </c>
      <c r="O464" s="3">
        <f>IF(SUM(F464:F475)&gt;=150000,150000/12*'Input sheet(dashboard)'!$D$28,SUM(F464:F475)/12*'Input sheet(dashboard)'!$D$28)</f>
        <v>1.6630171885335687E-12</v>
      </c>
      <c r="P464" s="3">
        <f t="shared" si="69"/>
        <v>0</v>
      </c>
      <c r="Q464" s="3">
        <f>IF(B464&lt;='Input sheet(dashboard)'!$D$27*12,'Input sheet(dashboard)'!$D$12/12,0)</f>
        <v>192.5</v>
      </c>
      <c r="R464" s="3">
        <f>IF(B464&lt;='Input sheet(dashboard)'!$D$27*12,('Input sheet(dashboard)'!$D$15/12)*(1+'Input sheet(dashboard)'!$E$22)^Calculations!B464,0)</f>
        <v>860.70417067998051</v>
      </c>
      <c r="S464" s="3">
        <f>IF(B464&lt;='Input sheet(dashboard)'!$D$27*12,(E464+G464+K464+L464-O464+M464+Q464+R464),0)</f>
        <v>68658.223647491381</v>
      </c>
      <c r="T464" s="3">
        <f>IF(B464&lt;='Input sheet(dashboard)'!$D$27*12,IF(D464=12,SUM(S453:S464),0),0)</f>
        <v>0</v>
      </c>
      <c r="U464" s="3">
        <f>IF(B464&lt;='Input sheet(dashboard)'!$D$27*12,IF(S464&lt;AD464,AD464-S464,0),0)</f>
        <v>99469.781850061132</v>
      </c>
      <c r="V464" s="3">
        <f>IF(B464&lt;='Input sheet(dashboard)'!$D$27*12,V463*(1+'Input sheet(dashboard)'!$E$25)+U464,0)</f>
        <v>13883157.763202742</v>
      </c>
      <c r="W464" s="17">
        <f>IF(B464&lt;='Input sheet(dashboard)'!$D$27*12,J464-I464+V464-N464,0)</f>
        <v>71675976.747038603</v>
      </c>
      <c r="X464" s="3">
        <f>IF(B464&lt;='Input sheet(dashboard)'!$D$27*12,'Input sheet(dashboard)'!$D$17*(1+'Input sheet(dashboard)'!$E$23)^(B464-1),0)</f>
        <v>168128.00549755251</v>
      </c>
      <c r="Y464" s="3"/>
      <c r="Z464" s="18"/>
      <c r="AA464" s="18"/>
      <c r="AB464" s="3">
        <f>IF(B464=1,'Input sheet(dashboard)'!$D$18*Calculations!X464,IF(Calculations!B464=12*'Input sheet(dashboard)'!$D$27,'Input sheet(dashboard)'!$D$18*-Calculations!X464,0))</f>
        <v>0</v>
      </c>
      <c r="AC464" s="3">
        <f>IF(B464&lt;='Input sheet(dashboard)'!$D$27*12,IF(MOD(B463,'Input sheet(dashboard)'!$D$19*12),0,'Input sheet(dashboard)'!$D$20*(1+'Input sheet(dashboard)'!$E$22)^Calculations!B464),0)</f>
        <v>0</v>
      </c>
      <c r="AD464" s="17">
        <f t="shared" si="66"/>
        <v>168128.00549755251</v>
      </c>
      <c r="AE464" s="17">
        <f>IF(B464&lt;='Input sheet(dashboard)'!$D$27*12,IF(D464=12,SUM(AD453:AD464),0),0)</f>
        <v>0</v>
      </c>
      <c r="AF464" s="17">
        <f t="shared" si="67"/>
        <v>-99469.781850061132</v>
      </c>
      <c r="AG464" s="17">
        <f t="shared" si="68"/>
        <v>0</v>
      </c>
      <c r="AH464" s="3">
        <f>IF(B464&lt;='Input sheet(dashboard)'!$D$27*12,AH463*(1+'Input sheet(dashboard)'!$E$25)+AG464," ")</f>
        <v>65524585.260781355</v>
      </c>
    </row>
    <row r="465" spans="2:34">
      <c r="B465">
        <f t="shared" si="63"/>
        <v>462</v>
      </c>
      <c r="C465">
        <f t="shared" si="70"/>
        <v>39</v>
      </c>
      <c r="D465">
        <f t="shared" si="71"/>
        <v>6</v>
      </c>
      <c r="E465" s="15">
        <f>IF(C465&lt;='Input sheet(dashboard)'!$D$6, -PMT('Input sheet(dashboard)'!$E$5,'Input sheet(dashboard)'!$D$6*12,'Input sheet(dashboard)'!$D$3*'Input sheet(dashboard)'!$D$4),0)</f>
        <v>0</v>
      </c>
      <c r="F465" s="3">
        <f>I464*'Input sheet(dashboard)'!$E$5</f>
        <v>1.090598781033917E-11</v>
      </c>
      <c r="G465" s="3">
        <f>IF(C465&lt;='Input sheet(dashboard)'!$D$6,E465*'Input sheet(dashboard)'!$D$7,0)</f>
        <v>0</v>
      </c>
      <c r="H465" s="3">
        <f t="shared" si="64"/>
        <v>-1.090598781033917E-11</v>
      </c>
      <c r="I465" s="3">
        <f t="shared" si="65"/>
        <v>3.0047628643143348E-9</v>
      </c>
      <c r="J465" s="3">
        <f>IF(B465&lt;='Input sheet(dashboard)'!$D$27*12,'Input sheet(dashboard)'!$D$3*(1+'Input sheet(dashboard)'!$E$24)^B465,0)</f>
        <v>58028274.08218199</v>
      </c>
      <c r="K465" s="3">
        <f>IF(B465&lt;='Input sheet(dashboard)'!$D$27*12,J465*'Input sheet(dashboard)'!$E$8,0)</f>
        <v>60102.553620444</v>
      </c>
      <c r="L465" s="3">
        <f>IF(B465&lt;='Input sheet(dashboard)'!$D$27*12,'Input sheet(dashboard)'!$D$9*(1+'Input sheet(dashboard)'!$E$22)^B465,0)</f>
        <v>7762.2937231351689</v>
      </c>
      <c r="M465" s="3">
        <f>IF(B465=1,'Input sheet(dashboard)'!$D$3*'Input sheet(dashboard)'!$D$10,0)</f>
        <v>0</v>
      </c>
      <c r="N465" s="3">
        <f>IF(B465='Input sheet(dashboard)'!$D$27*12,J465*'Input sheet(dashboard)'!$D$11,0)</f>
        <v>0</v>
      </c>
      <c r="O465" s="3">
        <f>IF(SUM(F465:F476)&gt;=150000,150000/12*'Input sheet(dashboard)'!$D$28,SUM(F465:F476)/12*'Input sheet(dashboard)'!$D$28)</f>
        <v>1.6690752086509873E-12</v>
      </c>
      <c r="P465" s="3">
        <f t="shared" si="69"/>
        <v>0</v>
      </c>
      <c r="Q465" s="3">
        <f>IF(B465&lt;='Input sheet(dashboard)'!$D$27*12,'Input sheet(dashboard)'!$D$12/12,0)</f>
        <v>192.5</v>
      </c>
      <c r="R465" s="3">
        <f>IF(B465&lt;='Input sheet(dashboard)'!$D$27*12,('Input sheet(dashboard)'!$D$15/12)*(1+'Input sheet(dashboard)'!$E$22)^Calculations!B465,0)</f>
        <v>862.47708034835205</v>
      </c>
      <c r="S465" s="3">
        <f>IF(B465&lt;='Input sheet(dashboard)'!$D$27*12,(E465+G465+K465+L465-O465+M465+Q465+R465),0)</f>
        <v>68919.824423927523</v>
      </c>
      <c r="T465" s="3">
        <f>IF(B465&lt;='Input sheet(dashboard)'!$D$27*12,IF(D465=12,SUM(S454:S465),0),0)</f>
        <v>0</v>
      </c>
      <c r="U465" s="3">
        <f>IF(B465&lt;='Input sheet(dashboard)'!$D$27*12,IF(S465&lt;AD465,AD465-S465,0),0)</f>
        <v>99893.155379519943</v>
      </c>
      <c r="V465" s="3">
        <f>IF(B465&lt;='Input sheet(dashboard)'!$D$27*12,V464*(1+'Input sheet(dashboard)'!$E$25)+U465,0)</f>
        <v>14072375.573652636</v>
      </c>
      <c r="W465" s="17">
        <f>IF(B465&lt;='Input sheet(dashboard)'!$D$27*12,J465-I465+V465-N465,0)</f>
        <v>72100649.65583463</v>
      </c>
      <c r="X465" s="3">
        <f>IF(B465&lt;='Input sheet(dashboard)'!$D$27*12,'Input sheet(dashboard)'!$D$17*(1+'Input sheet(dashboard)'!$E$23)^(B465-1),0)</f>
        <v>168812.97980344747</v>
      </c>
      <c r="Y465" s="3"/>
      <c r="Z465" s="18"/>
      <c r="AA465" s="18"/>
      <c r="AB465" s="3">
        <f>IF(B465=1,'Input sheet(dashboard)'!$D$18*Calculations!X465,IF(Calculations!B465=12*'Input sheet(dashboard)'!$D$27,'Input sheet(dashboard)'!$D$18*-Calculations!X465,0))</f>
        <v>0</v>
      </c>
      <c r="AC465" s="3">
        <f>IF(B465&lt;='Input sheet(dashboard)'!$D$27*12,IF(MOD(B464,'Input sheet(dashboard)'!$D$19*12),0,'Input sheet(dashboard)'!$D$20*(1+'Input sheet(dashboard)'!$E$22)^Calculations!B465),0)</f>
        <v>0</v>
      </c>
      <c r="AD465" s="17">
        <f t="shared" si="66"/>
        <v>168812.97980344747</v>
      </c>
      <c r="AE465" s="17">
        <f>IF(B465&lt;='Input sheet(dashboard)'!$D$27*12,IF(D465=12,SUM(AD454:AD465),0),0)</f>
        <v>0</v>
      </c>
      <c r="AF465" s="17">
        <f t="shared" si="67"/>
        <v>-99893.155379519943</v>
      </c>
      <c r="AG465" s="17">
        <f t="shared" si="68"/>
        <v>0</v>
      </c>
      <c r="AH465" s="3">
        <f>IF(B465&lt;='Input sheet(dashboard)'!$D$27*12,AH464*(1+'Input sheet(dashboard)'!$E$25)+AG465," ")</f>
        <v>65946172.415294707</v>
      </c>
    </row>
    <row r="466" spans="2:34">
      <c r="B466">
        <f t="shared" si="63"/>
        <v>463</v>
      </c>
      <c r="C466">
        <f t="shared" si="70"/>
        <v>39</v>
      </c>
      <c r="D466">
        <f t="shared" si="71"/>
        <v>7</v>
      </c>
      <c r="E466" s="15">
        <f>IF(C466&lt;='Input sheet(dashboard)'!$D$6, -PMT('Input sheet(dashboard)'!$E$5,'Input sheet(dashboard)'!$D$6*12,'Input sheet(dashboard)'!$D$3*'Input sheet(dashboard)'!$D$4),0)</f>
        <v>0</v>
      </c>
      <c r="F466" s="3">
        <f>I465*'Input sheet(dashboard)'!$E$5</f>
        <v>1.0945716018809226E-11</v>
      </c>
      <c r="G466" s="3">
        <f>IF(C466&lt;='Input sheet(dashboard)'!$D$6,E466*'Input sheet(dashboard)'!$D$7,0)</f>
        <v>0</v>
      </c>
      <c r="H466" s="3">
        <f t="shared" si="64"/>
        <v>-1.0945716018809226E-11</v>
      </c>
      <c r="I466" s="3">
        <f t="shared" si="65"/>
        <v>3.0157085803331441E-9</v>
      </c>
      <c r="J466" s="3">
        <f>IF(B466&lt;='Input sheet(dashboard)'!$D$27*12,'Input sheet(dashboard)'!$D$3*(1+'Input sheet(dashboard)'!$E$24)^B466,0)</f>
        <v>58264688.45374427</v>
      </c>
      <c r="K466" s="3">
        <f>IF(B466&lt;='Input sheet(dashboard)'!$D$27*12,J466*'Input sheet(dashboard)'!$E$8,0)</f>
        <v>60347.418863607047</v>
      </c>
      <c r="L466" s="3">
        <f>IF(B466&lt;='Input sheet(dashboard)'!$D$27*12,'Input sheet(dashboard)'!$D$9*(1+'Input sheet(dashboard)'!$E$22)^B466,0)</f>
        <v>7778.282777283257</v>
      </c>
      <c r="M466" s="3">
        <f>IF(B466=1,'Input sheet(dashboard)'!$D$3*'Input sheet(dashboard)'!$D$10,0)</f>
        <v>0</v>
      </c>
      <c r="N466" s="3">
        <f>IF(B466='Input sheet(dashboard)'!$D$27*12,J466*'Input sheet(dashboard)'!$D$11,0)</f>
        <v>0</v>
      </c>
      <c r="O466" s="3">
        <f>IF(SUM(F466:F477)&gt;=150000,150000/12*'Input sheet(dashboard)'!$D$28,SUM(F466:F477)/12*'Input sheet(dashboard)'!$D$28)</f>
        <v>1.675155296855251E-12</v>
      </c>
      <c r="P466" s="3">
        <f t="shared" si="69"/>
        <v>0</v>
      </c>
      <c r="Q466" s="3">
        <f>IF(B466&lt;='Input sheet(dashboard)'!$D$27*12,'Input sheet(dashboard)'!$D$12/12,0)</f>
        <v>192.5</v>
      </c>
      <c r="R466" s="3">
        <f>IF(B466&lt;='Input sheet(dashboard)'!$D$27*12,('Input sheet(dashboard)'!$D$15/12)*(1+'Input sheet(dashboard)'!$E$22)^Calculations!B466,0)</f>
        <v>864.25364192036182</v>
      </c>
      <c r="S466" s="3">
        <f>IF(B466&lt;='Input sheet(dashboard)'!$D$27*12,(E466+G466+K466+L466-O466+M466+Q466+R466),0)</f>
        <v>69182.455282810668</v>
      </c>
      <c r="T466" s="3">
        <f>IF(B466&lt;='Input sheet(dashboard)'!$D$27*12,IF(D466=12,SUM(S455:S466),0),0)</f>
        <v>0</v>
      </c>
      <c r="U466" s="3">
        <f>IF(B466&lt;='Input sheet(dashboard)'!$D$27*12,IF(S466&lt;AD466,AD466-S466,0),0)</f>
        <v>100318.28949664257</v>
      </c>
      <c r="V466" s="3">
        <f>IF(B466&lt;='Input sheet(dashboard)'!$D$27*12,V465*(1+'Input sheet(dashboard)'!$E$25)+U466,0)</f>
        <v>14263235.951309437</v>
      </c>
      <c r="W466" s="17">
        <f>IF(B466&lt;='Input sheet(dashboard)'!$D$27*12,J466-I466+V466-N466,0)</f>
        <v>72527924.405053705</v>
      </c>
      <c r="X466" s="3">
        <f>IF(B466&lt;='Input sheet(dashboard)'!$D$27*12,'Input sheet(dashboard)'!$D$17*(1+'Input sheet(dashboard)'!$E$23)^(B466-1),0)</f>
        <v>169500.74477945323</v>
      </c>
      <c r="Y466" s="3"/>
      <c r="Z466" s="18"/>
      <c r="AA466" s="18"/>
      <c r="AB466" s="3">
        <f>IF(B466=1,'Input sheet(dashboard)'!$D$18*Calculations!X466,IF(Calculations!B466=12*'Input sheet(dashboard)'!$D$27,'Input sheet(dashboard)'!$D$18*-Calculations!X466,0))</f>
        <v>0</v>
      </c>
      <c r="AC466" s="3">
        <f>IF(B466&lt;='Input sheet(dashboard)'!$D$27*12,IF(MOD(B465,'Input sheet(dashboard)'!$D$19*12),0,'Input sheet(dashboard)'!$D$20*(1+'Input sheet(dashboard)'!$E$22)^Calculations!B466),0)</f>
        <v>0</v>
      </c>
      <c r="AD466" s="17">
        <f t="shared" si="66"/>
        <v>169500.74477945323</v>
      </c>
      <c r="AE466" s="17">
        <f>IF(B466&lt;='Input sheet(dashboard)'!$D$27*12,IF(D466=12,SUM(AD455:AD466),0),0)</f>
        <v>0</v>
      </c>
      <c r="AF466" s="17">
        <f t="shared" si="67"/>
        <v>-100318.28949664257</v>
      </c>
      <c r="AG466" s="17">
        <f t="shared" si="68"/>
        <v>0</v>
      </c>
      <c r="AH466" s="3">
        <f>IF(B466&lt;='Input sheet(dashboard)'!$D$27*12,AH465*(1+'Input sheet(dashboard)'!$E$25)+AG466," ")</f>
        <v>66370472.074254192</v>
      </c>
    </row>
    <row r="467" spans="2:34">
      <c r="B467">
        <f t="shared" si="63"/>
        <v>464</v>
      </c>
      <c r="C467">
        <f t="shared" si="70"/>
        <v>39</v>
      </c>
      <c r="D467">
        <f t="shared" si="71"/>
        <v>8</v>
      </c>
      <c r="E467" s="15">
        <f>IF(C467&lt;='Input sheet(dashboard)'!$D$6, -PMT('Input sheet(dashboard)'!$E$5,'Input sheet(dashboard)'!$D$6*12,'Input sheet(dashboard)'!$D$3*'Input sheet(dashboard)'!$D$4),0)</f>
        <v>0</v>
      </c>
      <c r="F467" s="3">
        <f>I466*'Input sheet(dashboard)'!$E$5</f>
        <v>1.0985588948745665E-11</v>
      </c>
      <c r="G467" s="3">
        <f>IF(C467&lt;='Input sheet(dashboard)'!$D$6,E467*'Input sheet(dashboard)'!$D$7,0)</f>
        <v>0</v>
      </c>
      <c r="H467" s="3">
        <f t="shared" si="64"/>
        <v>-1.0985588948745665E-11</v>
      </c>
      <c r="I467" s="3">
        <f t="shared" si="65"/>
        <v>3.02669416928189E-9</v>
      </c>
      <c r="J467" s="3">
        <f>IF(B467&lt;='Input sheet(dashboard)'!$D$27*12,'Input sheet(dashboard)'!$D$3*(1+'Input sheet(dashboard)'!$E$24)^B467,0)</f>
        <v>58502066.006720535</v>
      </c>
      <c r="K467" s="3">
        <f>IF(B467&lt;='Input sheet(dashboard)'!$D$27*12,J467*'Input sheet(dashboard)'!$E$8,0)</f>
        <v>60593.28171808106</v>
      </c>
      <c r="L467" s="3">
        <f>IF(B467&lt;='Input sheet(dashboard)'!$D$27*12,'Input sheet(dashboard)'!$D$9*(1+'Input sheet(dashboard)'!$E$22)^B467,0)</f>
        <v>7794.3047662649979</v>
      </c>
      <c r="M467" s="3">
        <f>IF(B467=1,'Input sheet(dashboard)'!$D$3*'Input sheet(dashboard)'!$D$10,0)</f>
        <v>0</v>
      </c>
      <c r="N467" s="3">
        <f>IF(B467='Input sheet(dashboard)'!$D$27*12,J467*'Input sheet(dashboard)'!$D$11,0)</f>
        <v>0</v>
      </c>
      <c r="O467" s="3">
        <f>IF(SUM(F467:F478)&gt;=150000,150000/12*'Input sheet(dashboard)'!$D$28,SUM(F467:F478)/12*'Input sheet(dashboard)'!$D$28)</f>
        <v>1.6812575335357374E-12</v>
      </c>
      <c r="P467" s="3">
        <f t="shared" si="69"/>
        <v>0</v>
      </c>
      <c r="Q467" s="3">
        <f>IF(B467&lt;='Input sheet(dashboard)'!$D$27*12,'Input sheet(dashboard)'!$D$12/12,0)</f>
        <v>192.5</v>
      </c>
      <c r="R467" s="3">
        <f>IF(B467&lt;='Input sheet(dashboard)'!$D$27*12,('Input sheet(dashboard)'!$D$15/12)*(1+'Input sheet(dashboard)'!$E$22)^Calculations!B467,0)</f>
        <v>866.03386291833306</v>
      </c>
      <c r="S467" s="3">
        <f>IF(B467&lt;='Input sheet(dashboard)'!$D$27*12,(E467+G467+K467+L467-O467+M467+Q467+R467),0)</f>
        <v>69446.120347264397</v>
      </c>
      <c r="T467" s="3">
        <f>IF(B467&lt;='Input sheet(dashboard)'!$D$27*12,IF(D467=12,SUM(S456:S467),0),0)</f>
        <v>0</v>
      </c>
      <c r="U467" s="3">
        <f>IF(B467&lt;='Input sheet(dashboard)'!$D$27*12,IF(S467&lt;AD467,AD467-S467,0),0)</f>
        <v>100745.19144784092</v>
      </c>
      <c r="V467" s="3">
        <f>IF(B467&lt;='Input sheet(dashboard)'!$D$27*12,V466*(1+'Input sheet(dashboard)'!$E$25)+U467,0)</f>
        <v>14455751.232334087</v>
      </c>
      <c r="W467" s="17">
        <f>IF(B467&lt;='Input sheet(dashboard)'!$D$27*12,J467-I467+V467-N467,0)</f>
        <v>72957817.23905462</v>
      </c>
      <c r="X467" s="3">
        <f>IF(B467&lt;='Input sheet(dashboard)'!$D$27*12,'Input sheet(dashboard)'!$D$17*(1+'Input sheet(dashboard)'!$E$23)^(B467-1),0)</f>
        <v>170191.31179510531</v>
      </c>
      <c r="Y467" s="3"/>
      <c r="Z467" s="18"/>
      <c r="AA467" s="18"/>
      <c r="AB467" s="3">
        <f>IF(B467=1,'Input sheet(dashboard)'!$D$18*Calculations!X467,IF(Calculations!B467=12*'Input sheet(dashboard)'!$D$27,'Input sheet(dashboard)'!$D$18*-Calculations!X467,0))</f>
        <v>0</v>
      </c>
      <c r="AC467" s="3">
        <f>IF(B467&lt;='Input sheet(dashboard)'!$D$27*12,IF(MOD(B466,'Input sheet(dashboard)'!$D$19*12),0,'Input sheet(dashboard)'!$D$20*(1+'Input sheet(dashboard)'!$E$22)^Calculations!B467),0)</f>
        <v>0</v>
      </c>
      <c r="AD467" s="17">
        <f t="shared" si="66"/>
        <v>170191.31179510531</v>
      </c>
      <c r="AE467" s="17">
        <f>IF(B467&lt;='Input sheet(dashboard)'!$D$27*12,IF(D467=12,SUM(AD456:AD467),0),0)</f>
        <v>0</v>
      </c>
      <c r="AF467" s="17">
        <f t="shared" si="67"/>
        <v>-100745.19144784092</v>
      </c>
      <c r="AG467" s="17">
        <f t="shared" si="68"/>
        <v>0</v>
      </c>
      <c r="AH467" s="3">
        <f>IF(B467&lt;='Input sheet(dashboard)'!$D$27*12,AH466*(1+'Input sheet(dashboard)'!$E$25)+AG467," ")</f>
        <v>66797501.689995088</v>
      </c>
    </row>
    <row r="468" spans="2:34">
      <c r="B468">
        <f t="shared" si="63"/>
        <v>465</v>
      </c>
      <c r="C468">
        <f t="shared" si="70"/>
        <v>39</v>
      </c>
      <c r="D468">
        <f t="shared" si="71"/>
        <v>9</v>
      </c>
      <c r="E468" s="15">
        <f>IF(C468&lt;='Input sheet(dashboard)'!$D$6, -PMT('Input sheet(dashboard)'!$E$5,'Input sheet(dashboard)'!$D$6*12,'Input sheet(dashboard)'!$D$3*'Input sheet(dashboard)'!$D$4),0)</f>
        <v>0</v>
      </c>
      <c r="F468" s="3">
        <f>I467*'Input sheet(dashboard)'!$E$5</f>
        <v>1.1025607127338198E-11</v>
      </c>
      <c r="G468" s="3">
        <f>IF(C468&lt;='Input sheet(dashboard)'!$D$6,E468*'Input sheet(dashboard)'!$D$7,0)</f>
        <v>0</v>
      </c>
      <c r="H468" s="3">
        <f t="shared" si="64"/>
        <v>-1.1025607127338198E-11</v>
      </c>
      <c r="I468" s="3">
        <f t="shared" si="65"/>
        <v>3.037719776409228E-9</v>
      </c>
      <c r="J468" s="3">
        <f>IF(B468&lt;='Input sheet(dashboard)'!$D$27*12,'Input sheet(dashboard)'!$D$3*(1+'Input sheet(dashboard)'!$E$24)^B468,0)</f>
        <v>58740410.665231094</v>
      </c>
      <c r="K468" s="3">
        <f>IF(B468&lt;='Input sheet(dashboard)'!$D$27*12,J468*'Input sheet(dashboard)'!$E$8,0)</f>
        <v>60840.14624825801</v>
      </c>
      <c r="L468" s="3">
        <f>IF(B468&lt;='Input sheet(dashboard)'!$D$27*12,'Input sheet(dashboard)'!$D$9*(1+'Input sheet(dashboard)'!$E$22)^B468,0)</f>
        <v>7810.3597579207581</v>
      </c>
      <c r="M468" s="3">
        <f>IF(B468=1,'Input sheet(dashboard)'!$D$3*'Input sheet(dashboard)'!$D$10,0)</f>
        <v>0</v>
      </c>
      <c r="N468" s="3">
        <f>IF(B468='Input sheet(dashboard)'!$D$27*12,J468*'Input sheet(dashboard)'!$D$11,0)</f>
        <v>0</v>
      </c>
      <c r="O468" s="3">
        <f>IF(SUM(F468:F479)&gt;=150000,150000/12*'Input sheet(dashboard)'!$D$28,SUM(F468:F479)/12*'Input sheet(dashboard)'!$D$28)</f>
        <v>1.6873819993746629E-12</v>
      </c>
      <c r="P468" s="3">
        <f t="shared" si="69"/>
        <v>0</v>
      </c>
      <c r="Q468" s="3">
        <f>IF(B468&lt;='Input sheet(dashboard)'!$D$27*12,'Input sheet(dashboard)'!$D$12/12,0)</f>
        <v>192.5</v>
      </c>
      <c r="R468" s="3">
        <f>IF(B468&lt;='Input sheet(dashboard)'!$D$27*12,('Input sheet(dashboard)'!$D$15/12)*(1+'Input sheet(dashboard)'!$E$22)^Calculations!B468,0)</f>
        <v>867.81775088008419</v>
      </c>
      <c r="S468" s="3">
        <f>IF(B468&lt;='Input sheet(dashboard)'!$D$27*12,(E468+G468+K468+L468-O468+M468+Q468+R468),0)</f>
        <v>69710.823757058854</v>
      </c>
      <c r="T468" s="3">
        <f>IF(B468&lt;='Input sheet(dashboard)'!$D$27*12,IF(D468=12,SUM(S457:S468),0),0)</f>
        <v>0</v>
      </c>
      <c r="U468" s="3">
        <f>IF(B468&lt;='Input sheet(dashboard)'!$D$27*12,IF(S468&lt;AD468,AD468-S468,0),0)</f>
        <v>101173.86850920122</v>
      </c>
      <c r="V468" s="3">
        <f>IF(B468&lt;='Input sheet(dashboard)'!$D$27*12,V467*(1+'Input sheet(dashboard)'!$E$25)+U468,0)</f>
        <v>14649933.839534845</v>
      </c>
      <c r="W468" s="17">
        <f>IF(B468&lt;='Input sheet(dashboard)'!$D$27*12,J468-I468+V468-N468,0)</f>
        <v>73390344.504765943</v>
      </c>
      <c r="X468" s="3">
        <f>IF(B468&lt;='Input sheet(dashboard)'!$D$27*12,'Input sheet(dashboard)'!$D$17*(1+'Input sheet(dashboard)'!$E$23)^(B468-1),0)</f>
        <v>170884.69226626007</v>
      </c>
      <c r="Y468" s="3"/>
      <c r="Z468" s="18"/>
      <c r="AA468" s="18"/>
      <c r="AB468" s="3">
        <f>IF(B468=1,'Input sheet(dashboard)'!$D$18*Calculations!X468,IF(Calculations!B468=12*'Input sheet(dashboard)'!$D$27,'Input sheet(dashboard)'!$D$18*-Calculations!X468,0))</f>
        <v>0</v>
      </c>
      <c r="AC468" s="3">
        <f>IF(B468&lt;='Input sheet(dashboard)'!$D$27*12,IF(MOD(B467,'Input sheet(dashboard)'!$D$19*12),0,'Input sheet(dashboard)'!$D$20*(1+'Input sheet(dashboard)'!$E$22)^Calculations!B468),0)</f>
        <v>0</v>
      </c>
      <c r="AD468" s="17">
        <f t="shared" si="66"/>
        <v>170884.69226626007</v>
      </c>
      <c r="AE468" s="17">
        <f>IF(B468&lt;='Input sheet(dashboard)'!$D$27*12,IF(D468=12,SUM(AD457:AD468),0),0)</f>
        <v>0</v>
      </c>
      <c r="AF468" s="17">
        <f t="shared" si="67"/>
        <v>-101173.86850920122</v>
      </c>
      <c r="AG468" s="17">
        <f t="shared" si="68"/>
        <v>0</v>
      </c>
      <c r="AH468" s="3">
        <f>IF(B468&lt;='Input sheet(dashboard)'!$D$27*12,AH467*(1+'Input sheet(dashboard)'!$E$25)+AG468," ")</f>
        <v>67227278.827141523</v>
      </c>
    </row>
    <row r="469" spans="2:34">
      <c r="B469">
        <f t="shared" si="63"/>
        <v>466</v>
      </c>
      <c r="C469">
        <f t="shared" si="70"/>
        <v>39</v>
      </c>
      <c r="D469">
        <f t="shared" si="71"/>
        <v>10</v>
      </c>
      <c r="E469" s="15">
        <f>IF(C469&lt;='Input sheet(dashboard)'!$D$6, -PMT('Input sheet(dashboard)'!$E$5,'Input sheet(dashboard)'!$D$6*12,'Input sheet(dashboard)'!$D$3*'Input sheet(dashboard)'!$D$4),0)</f>
        <v>0</v>
      </c>
      <c r="F469" s="3">
        <f>I468*'Input sheet(dashboard)'!$E$5</f>
        <v>1.1065771083696978E-11</v>
      </c>
      <c r="G469" s="3">
        <f>IF(C469&lt;='Input sheet(dashboard)'!$D$6,E469*'Input sheet(dashboard)'!$D$7,0)</f>
        <v>0</v>
      </c>
      <c r="H469" s="3">
        <f t="shared" si="64"/>
        <v>-1.1065771083696978E-11</v>
      </c>
      <c r="I469" s="3">
        <f t="shared" si="65"/>
        <v>3.0487855474929248E-9</v>
      </c>
      <c r="J469" s="3">
        <f>IF(B469&lt;='Input sheet(dashboard)'!$D$27*12,'Input sheet(dashboard)'!$D$3*(1+'Input sheet(dashboard)'!$E$24)^B469,0)</f>
        <v>58979726.369383588</v>
      </c>
      <c r="K469" s="3">
        <f>IF(B469&lt;='Input sheet(dashboard)'!$D$27*12,J469*'Input sheet(dashboard)'!$E$8,0)</f>
        <v>61088.016535088689</v>
      </c>
      <c r="L469" s="3">
        <f>IF(B469&lt;='Input sheet(dashboard)'!$D$27*12,'Input sheet(dashboard)'!$D$9*(1+'Input sheet(dashboard)'!$E$22)^B469,0)</f>
        <v>7826.4478202306436</v>
      </c>
      <c r="M469" s="3">
        <f>IF(B469=1,'Input sheet(dashboard)'!$D$3*'Input sheet(dashboard)'!$D$10,0)</f>
        <v>0</v>
      </c>
      <c r="N469" s="3">
        <f>IF(B469='Input sheet(dashboard)'!$D$27*12,J469*'Input sheet(dashboard)'!$D$11,0)</f>
        <v>0</v>
      </c>
      <c r="O469" s="3">
        <f>IF(SUM(F469:F480)&gt;=150000,150000/12*'Input sheet(dashboard)'!$D$28,SUM(F469:F480)/12*'Input sheet(dashboard)'!$D$28)</f>
        <v>1.6935287753481538E-12</v>
      </c>
      <c r="P469" s="3">
        <f t="shared" si="69"/>
        <v>0</v>
      </c>
      <c r="Q469" s="3">
        <f>IF(B469&lt;='Input sheet(dashboard)'!$D$27*12,'Input sheet(dashboard)'!$D$12/12,0)</f>
        <v>192.5</v>
      </c>
      <c r="R469" s="3">
        <f>IF(B469&lt;='Input sheet(dashboard)'!$D$27*12,('Input sheet(dashboard)'!$D$15/12)*(1+'Input sheet(dashboard)'!$E$22)^Calculations!B469,0)</f>
        <v>869.6053133589603</v>
      </c>
      <c r="S469" s="3">
        <f>IF(B469&lt;='Input sheet(dashboard)'!$D$27*12,(E469+G469+K469+L469-O469+M469+Q469+R469),0)</f>
        <v>69976.56966867829</v>
      </c>
      <c r="T469" s="3">
        <f>IF(B469&lt;='Input sheet(dashboard)'!$D$27*12,IF(D469=12,SUM(S458:S469),0),0)</f>
        <v>0</v>
      </c>
      <c r="U469" s="3">
        <f>IF(B469&lt;='Input sheet(dashboard)'!$D$27*12,IF(S469&lt;AD469,AD469-S469,0),0)</f>
        <v>101604.32798660522</v>
      </c>
      <c r="V469" s="3">
        <f>IF(B469&lt;='Input sheet(dashboard)'!$D$27*12,V468*(1+'Input sheet(dashboard)'!$E$25)+U469,0)</f>
        <v>14845796.282954575</v>
      </c>
      <c r="W469" s="17">
        <f>IF(B469&lt;='Input sheet(dashboard)'!$D$27*12,J469-I469+V469-N469,0)</f>
        <v>73825522.652338162</v>
      </c>
      <c r="X469" s="3">
        <f>IF(B469&lt;='Input sheet(dashboard)'!$D$27*12,'Input sheet(dashboard)'!$D$17*(1+'Input sheet(dashboard)'!$E$23)^(B469-1),0)</f>
        <v>171580.89765528351</v>
      </c>
      <c r="Y469" s="3"/>
      <c r="Z469" s="18"/>
      <c r="AA469" s="18"/>
      <c r="AB469" s="3">
        <f>IF(B469=1,'Input sheet(dashboard)'!$D$18*Calculations!X469,IF(Calculations!B469=12*'Input sheet(dashboard)'!$D$27,'Input sheet(dashboard)'!$D$18*-Calculations!X469,0))</f>
        <v>0</v>
      </c>
      <c r="AC469" s="3">
        <f>IF(B469&lt;='Input sheet(dashboard)'!$D$27*12,IF(MOD(B468,'Input sheet(dashboard)'!$D$19*12),0,'Input sheet(dashboard)'!$D$20*(1+'Input sheet(dashboard)'!$E$22)^Calculations!B469),0)</f>
        <v>0</v>
      </c>
      <c r="AD469" s="17">
        <f t="shared" si="66"/>
        <v>171580.89765528351</v>
      </c>
      <c r="AE469" s="17">
        <f>IF(B469&lt;='Input sheet(dashboard)'!$D$27*12,IF(D469=12,SUM(AD458:AD469),0),0)</f>
        <v>0</v>
      </c>
      <c r="AF469" s="17">
        <f t="shared" si="67"/>
        <v>-101604.32798660522</v>
      </c>
      <c r="AG469" s="17">
        <f t="shared" si="68"/>
        <v>0</v>
      </c>
      <c r="AH469" s="3">
        <f>IF(B469&lt;='Input sheet(dashboard)'!$D$27*12,AH468*(1+'Input sheet(dashboard)'!$E$25)+AG469," ")</f>
        <v>67659821.163328946</v>
      </c>
    </row>
    <row r="470" spans="2:34">
      <c r="B470">
        <f t="shared" si="63"/>
        <v>467</v>
      </c>
      <c r="C470">
        <f t="shared" si="70"/>
        <v>39</v>
      </c>
      <c r="D470">
        <f t="shared" si="71"/>
        <v>11</v>
      </c>
      <c r="E470" s="15">
        <f>IF(C470&lt;='Input sheet(dashboard)'!$D$6, -PMT('Input sheet(dashboard)'!$E$5,'Input sheet(dashboard)'!$D$6*12,'Input sheet(dashboard)'!$D$3*'Input sheet(dashboard)'!$D$4),0)</f>
        <v>0</v>
      </c>
      <c r="F470" s="3">
        <f>I469*'Input sheet(dashboard)'!$E$5</f>
        <v>1.1106081348859595E-11</v>
      </c>
      <c r="G470" s="3">
        <f>IF(C470&lt;='Input sheet(dashboard)'!$D$6,E470*'Input sheet(dashboard)'!$D$7,0)</f>
        <v>0</v>
      </c>
      <c r="H470" s="3">
        <f t="shared" si="64"/>
        <v>-1.1106081348859595E-11</v>
      </c>
      <c r="I470" s="3">
        <f t="shared" si="65"/>
        <v>3.0598916288417845E-9</v>
      </c>
      <c r="J470" s="3">
        <f>IF(B470&lt;='Input sheet(dashboard)'!$D$27*12,'Input sheet(dashboard)'!$D$3*(1+'Input sheet(dashboard)'!$E$24)^B470,0)</f>
        <v>59220017.075338155</v>
      </c>
      <c r="K470" s="3">
        <f>IF(B470&lt;='Input sheet(dashboard)'!$D$27*12,J470*'Input sheet(dashboard)'!$E$8,0)</f>
        <v>61336.896676150187</v>
      </c>
      <c r="L470" s="3">
        <f>IF(B470&lt;='Input sheet(dashboard)'!$D$27*12,'Input sheet(dashboard)'!$D$9*(1+'Input sheet(dashboard)'!$E$22)^B470,0)</f>
        <v>7842.5690213147855</v>
      </c>
      <c r="M470" s="3">
        <f>IF(B470=1,'Input sheet(dashboard)'!$D$3*'Input sheet(dashboard)'!$D$10,0)</f>
        <v>0</v>
      </c>
      <c r="N470" s="3">
        <f>IF(B470='Input sheet(dashboard)'!$D$27*12,J470*'Input sheet(dashboard)'!$D$11,0)</f>
        <v>0</v>
      </c>
      <c r="O470" s="3">
        <f>IF(SUM(F470:F481)&gt;=150000,150000/12*'Input sheet(dashboard)'!$D$28,SUM(F470:F481)/12*'Input sheet(dashboard)'!$D$28)</f>
        <v>1.6996979427273151E-12</v>
      </c>
      <c r="P470" s="3">
        <f t="shared" si="69"/>
        <v>0</v>
      </c>
      <c r="Q470" s="3">
        <f>IF(B470&lt;='Input sheet(dashboard)'!$D$27*12,'Input sheet(dashboard)'!$D$12/12,0)</f>
        <v>192.5</v>
      </c>
      <c r="R470" s="3">
        <f>IF(B470&lt;='Input sheet(dashboard)'!$D$27*12,('Input sheet(dashboard)'!$D$15/12)*(1+'Input sheet(dashboard)'!$E$22)^Calculations!B470,0)</f>
        <v>871.39655792386498</v>
      </c>
      <c r="S470" s="3">
        <f>IF(B470&lt;='Input sheet(dashboard)'!$D$27*12,(E470+G470+K470+L470-O470+M470+Q470+R470),0)</f>
        <v>70243.362255388842</v>
      </c>
      <c r="T470" s="3">
        <f>IF(B470&lt;='Input sheet(dashboard)'!$D$27*12,IF(D470=12,SUM(S459:S470),0),0)</f>
        <v>0</v>
      </c>
      <c r="U470" s="3">
        <f>IF(B470&lt;='Input sheet(dashboard)'!$D$27*12,IF(S470&lt;AD470,AD470-S470,0),0)</f>
        <v>102036.57721585181</v>
      </c>
      <c r="V470" s="3">
        <f>IF(B470&lt;='Input sheet(dashboard)'!$D$27*12,V469*(1+'Input sheet(dashboard)'!$E$25)+U470,0)</f>
        <v>15043351.160461934</v>
      </c>
      <c r="W470" s="17">
        <f>IF(B470&lt;='Input sheet(dashboard)'!$D$27*12,J470-I470+V470-N470,0)</f>
        <v>74263368.235800087</v>
      </c>
      <c r="X470" s="3">
        <f>IF(B470&lt;='Input sheet(dashboard)'!$D$27*12,'Input sheet(dashboard)'!$D$17*(1+'Input sheet(dashboard)'!$E$23)^(B470-1),0)</f>
        <v>172279.93947124065</v>
      </c>
      <c r="Y470" s="3"/>
      <c r="Z470" s="18"/>
      <c r="AA470" s="18"/>
      <c r="AB470" s="3">
        <f>IF(B470=1,'Input sheet(dashboard)'!$D$18*Calculations!X470,IF(Calculations!B470=12*'Input sheet(dashboard)'!$D$27,'Input sheet(dashboard)'!$D$18*-Calculations!X470,0))</f>
        <v>0</v>
      </c>
      <c r="AC470" s="3">
        <f>IF(B470&lt;='Input sheet(dashboard)'!$D$27*12,IF(MOD(B469,'Input sheet(dashboard)'!$D$19*12),0,'Input sheet(dashboard)'!$D$20*(1+'Input sheet(dashboard)'!$E$22)^Calculations!B470),0)</f>
        <v>0</v>
      </c>
      <c r="AD470" s="17">
        <f t="shared" si="66"/>
        <v>172279.93947124065</v>
      </c>
      <c r="AE470" s="17">
        <f>IF(B470&lt;='Input sheet(dashboard)'!$D$27*12,IF(D470=12,SUM(AD459:AD470),0),0)</f>
        <v>0</v>
      </c>
      <c r="AF470" s="17">
        <f t="shared" si="67"/>
        <v>-102036.57721585181</v>
      </c>
      <c r="AG470" s="17">
        <f t="shared" si="68"/>
        <v>0</v>
      </c>
      <c r="AH470" s="3">
        <f>IF(B470&lt;='Input sheet(dashboard)'!$D$27*12,AH469*(1+'Input sheet(dashboard)'!$E$25)+AG470," ")</f>
        <v>68095146.489931256</v>
      </c>
    </row>
    <row r="471" spans="2:34">
      <c r="B471">
        <f t="shared" si="63"/>
        <v>468</v>
      </c>
      <c r="C471">
        <f t="shared" si="70"/>
        <v>39</v>
      </c>
      <c r="D471">
        <f t="shared" si="71"/>
        <v>12</v>
      </c>
      <c r="E471" s="15">
        <f>IF(C471&lt;='Input sheet(dashboard)'!$D$6, -PMT('Input sheet(dashboard)'!$E$5,'Input sheet(dashboard)'!$D$6*12,'Input sheet(dashboard)'!$D$3*'Input sheet(dashboard)'!$D$4),0)</f>
        <v>0</v>
      </c>
      <c r="F471" s="3">
        <f>I470*'Input sheet(dashboard)'!$E$5</f>
        <v>1.1146538455798098E-11</v>
      </c>
      <c r="G471" s="3">
        <f>IF(C471&lt;='Input sheet(dashboard)'!$D$6,E471*'Input sheet(dashboard)'!$D$7,0)</f>
        <v>0</v>
      </c>
      <c r="H471" s="3">
        <f t="shared" si="64"/>
        <v>-1.1146538455798098E-11</v>
      </c>
      <c r="I471" s="3">
        <f t="shared" si="65"/>
        <v>3.0710381672975824E-9</v>
      </c>
      <c r="J471" s="3">
        <f>IF(B471&lt;='Input sheet(dashboard)'!$D$27*12,'Input sheet(dashboard)'!$D$3*(1+'Input sheet(dashboard)'!$E$24)^B471,0)</f>
        <v>59461286.75537286</v>
      </c>
      <c r="K471" s="3">
        <f>IF(B471&lt;='Input sheet(dashboard)'!$D$27*12,J471*'Input sheet(dashboard)'!$E$8,0)</f>
        <v>61586.790785713682</v>
      </c>
      <c r="L471" s="3">
        <f>IF(B471&lt;='Input sheet(dashboard)'!$D$27*12,'Input sheet(dashboard)'!$D$9*(1+'Input sheet(dashboard)'!$E$22)^B471,0)</f>
        <v>7858.7234294336367</v>
      </c>
      <c r="M471" s="3">
        <f>IF(B471=1,'Input sheet(dashboard)'!$D$3*'Input sheet(dashboard)'!$D$10,0)</f>
        <v>0</v>
      </c>
      <c r="N471" s="3">
        <f>IF(B471='Input sheet(dashboard)'!$D$27*12,J471*'Input sheet(dashboard)'!$D$11,0)</f>
        <v>0</v>
      </c>
      <c r="O471" s="3">
        <f>IF(SUM(F471:F482)&gt;=150000,150000/12*'Input sheet(dashboard)'!$D$28,SUM(F471:F482)/12*'Input sheet(dashboard)'!$D$28)</f>
        <v>1.7058895830793039E-12</v>
      </c>
      <c r="P471" s="3">
        <f t="shared" si="69"/>
        <v>2.1346121736932415E-11</v>
      </c>
      <c r="Q471" s="3">
        <f>IF(B471&lt;='Input sheet(dashboard)'!$D$27*12,'Input sheet(dashboard)'!$D$12/12,0)</f>
        <v>192.5</v>
      </c>
      <c r="R471" s="3">
        <f>IF(B471&lt;='Input sheet(dashboard)'!$D$27*12,('Input sheet(dashboard)'!$D$15/12)*(1+'Input sheet(dashboard)'!$E$22)^Calculations!B471,0)</f>
        <v>873.19149215929292</v>
      </c>
      <c r="S471" s="3">
        <f>IF(B471&lt;='Input sheet(dashboard)'!$D$27*12,(E471+G471+K471+L471-O471+M471+Q471+R471),0)</f>
        <v>70511.20570730661</v>
      </c>
      <c r="T471" s="3">
        <f>IF(B471&lt;='Input sheet(dashboard)'!$D$27*12,IF(D471=12,SUM(S460:S471),0),0)</f>
        <v>828685.93018171797</v>
      </c>
      <c r="U471" s="3">
        <f>IF(B471&lt;='Input sheet(dashboard)'!$D$27*12,IF(S471&lt;AD471,AD471-S471,0),0)</f>
        <v>102470.62356277929</v>
      </c>
      <c r="V471" s="3">
        <f>IF(B471&lt;='Input sheet(dashboard)'!$D$27*12,V470*(1+'Input sheet(dashboard)'!$E$25)+U471,0)</f>
        <v>15242611.158346482</v>
      </c>
      <c r="W471" s="17">
        <f>IF(B471&lt;='Input sheet(dashboard)'!$D$27*12,J471-I471+V471-N471,0)</f>
        <v>74703897.913719341</v>
      </c>
      <c r="X471" s="3">
        <f>IF(B471&lt;='Input sheet(dashboard)'!$D$27*12,'Input sheet(dashboard)'!$D$17*(1+'Input sheet(dashboard)'!$E$23)^(B471-1),0)</f>
        <v>172981.8292700859</v>
      </c>
      <c r="Y471" s="3"/>
      <c r="Z471" s="18"/>
      <c r="AA471" s="18"/>
      <c r="AB471" s="3">
        <f>IF(B471=1,'Input sheet(dashboard)'!$D$18*Calculations!X471,IF(Calculations!B471=12*'Input sheet(dashboard)'!$D$27,'Input sheet(dashboard)'!$D$18*-Calculations!X471,0))</f>
        <v>0</v>
      </c>
      <c r="AC471" s="3">
        <f>IF(B471&lt;='Input sheet(dashboard)'!$D$27*12,IF(MOD(B470,'Input sheet(dashboard)'!$D$19*12),0,'Input sheet(dashboard)'!$D$20*(1+'Input sheet(dashboard)'!$E$22)^Calculations!B471),0)</f>
        <v>0</v>
      </c>
      <c r="AD471" s="17">
        <f t="shared" si="66"/>
        <v>172981.8292700859</v>
      </c>
      <c r="AE471" s="17">
        <f>IF(B471&lt;='Input sheet(dashboard)'!$D$27*12,IF(D471=12,SUM(AD460:AD471),0),0)</f>
        <v>2030078.0975163742</v>
      </c>
      <c r="AF471" s="17">
        <f t="shared" si="67"/>
        <v>-102470.62356277929</v>
      </c>
      <c r="AG471" s="17">
        <f t="shared" si="68"/>
        <v>0</v>
      </c>
      <c r="AH471" s="3">
        <f>IF(B471&lt;='Input sheet(dashboard)'!$D$27*12,AH470*(1+'Input sheet(dashboard)'!$E$25)+AG471," ")</f>
        <v>68533272.71279256</v>
      </c>
    </row>
    <row r="472" spans="2:34">
      <c r="B472">
        <f t="shared" si="63"/>
        <v>469</v>
      </c>
      <c r="C472">
        <f t="shared" si="70"/>
        <v>40</v>
      </c>
      <c r="D472">
        <f t="shared" si="71"/>
        <v>1</v>
      </c>
      <c r="E472" s="15">
        <f>IF(C472&lt;='Input sheet(dashboard)'!$D$6, -PMT('Input sheet(dashboard)'!$E$5,'Input sheet(dashboard)'!$D$6*12,'Input sheet(dashboard)'!$D$3*'Input sheet(dashboard)'!$D$4),0)</f>
        <v>0</v>
      </c>
      <c r="F472" s="3">
        <f>I471*'Input sheet(dashboard)'!$E$5</f>
        <v>1.1187142939426041E-11</v>
      </c>
      <c r="G472" s="3">
        <f>IF(C472&lt;='Input sheet(dashboard)'!$D$6,E472*'Input sheet(dashboard)'!$D$7,0)</f>
        <v>0</v>
      </c>
      <c r="H472" s="3">
        <f t="shared" si="64"/>
        <v>-1.1187142939426041E-11</v>
      </c>
      <c r="I472" s="3">
        <f t="shared" si="65"/>
        <v>3.0822253102370083E-9</v>
      </c>
      <c r="J472" s="3">
        <f>IF(B472&lt;='Input sheet(dashboard)'!$D$27*12,'Input sheet(dashboard)'!$D$3*(1+'Input sheet(dashboard)'!$E$24)^B472,0)</f>
        <v>59703539.397949256</v>
      </c>
      <c r="K472" s="3">
        <f>IF(B472&lt;='Input sheet(dashboard)'!$D$27*12,J472*'Input sheet(dashboard)'!$E$8,0)</f>
        <v>61837.702994812331</v>
      </c>
      <c r="L472" s="3">
        <f>IF(B472&lt;='Input sheet(dashboard)'!$D$27*12,'Input sheet(dashboard)'!$D$9*(1+'Input sheet(dashboard)'!$E$22)^B472,0)</f>
        <v>7874.9111129882449</v>
      </c>
      <c r="M472" s="3">
        <f>IF(B472=1,'Input sheet(dashboard)'!$D$3*'Input sheet(dashboard)'!$D$10,0)</f>
        <v>0</v>
      </c>
      <c r="N472" s="3">
        <f>IF(B472='Input sheet(dashboard)'!$D$27*12,J472*'Input sheet(dashboard)'!$D$11,0)</f>
        <v>0</v>
      </c>
      <c r="O472" s="3">
        <f>IF(SUM(F472:F483)&gt;=150000,150000/12*'Input sheet(dashboard)'!$D$28,SUM(F472:F483)/12*'Input sheet(dashboard)'!$D$28)</f>
        <v>1.7121037782684116E-12</v>
      </c>
      <c r="P472" s="3">
        <f t="shared" si="69"/>
        <v>0</v>
      </c>
      <c r="Q472" s="3">
        <f>IF(B472&lt;='Input sheet(dashboard)'!$D$27*12,'Input sheet(dashboard)'!$D$12/12,0)</f>
        <v>192.5</v>
      </c>
      <c r="R472" s="3">
        <f>IF(B472&lt;='Input sheet(dashboard)'!$D$27*12,('Input sheet(dashboard)'!$D$15/12)*(1+'Input sheet(dashboard)'!$E$22)^Calculations!B472,0)</f>
        <v>874.99012366536056</v>
      </c>
      <c r="S472" s="3">
        <f>IF(B472&lt;='Input sheet(dashboard)'!$D$27*12,(E472+G472+K472+L472-O472+M472+Q472+R472),0)</f>
        <v>70780.104231465943</v>
      </c>
      <c r="T472" s="3">
        <f>IF(B472&lt;='Input sheet(dashboard)'!$D$27*12,IF(D472=12,SUM(S461:S472),0),0)</f>
        <v>0</v>
      </c>
      <c r="U472" s="3">
        <f>IF(B472&lt;='Input sheet(dashboard)'!$D$27*12,IF(S472&lt;AD472,AD472-S472,0),0)</f>
        <v>123906.23739135689</v>
      </c>
      <c r="V472" s="3">
        <f>IF(B472&lt;='Input sheet(dashboard)'!$D$27*12,V471*(1+'Input sheet(dashboard)'!$E$25)+U472,0)</f>
        <v>15464588.814885713</v>
      </c>
      <c r="W472" s="17">
        <f>IF(B472&lt;='Input sheet(dashboard)'!$D$27*12,J472-I472+V472-N472,0)</f>
        <v>75168128.212834969</v>
      </c>
      <c r="X472" s="3">
        <f>IF(B472&lt;='Input sheet(dashboard)'!$D$27*12,'Input sheet(dashboard)'!$D$17*(1+'Input sheet(dashboard)'!$E$23)^(B472-1),0)</f>
        <v>173686.57865485418</v>
      </c>
      <c r="Y472" s="3"/>
      <c r="Z472" s="18"/>
      <c r="AA472" s="18"/>
      <c r="AB472" s="3">
        <f>IF(B472=1,'Input sheet(dashboard)'!$D$18*Calculations!X472,IF(Calculations!B472=12*'Input sheet(dashboard)'!$D$27,'Input sheet(dashboard)'!$D$18*-Calculations!X472,0))</f>
        <v>0</v>
      </c>
      <c r="AC472" s="3">
        <f>IF(B472&lt;='Input sheet(dashboard)'!$D$27*12,IF(MOD(B471,'Input sheet(dashboard)'!$D$19*12),0,'Input sheet(dashboard)'!$D$20*(1+'Input sheet(dashboard)'!$E$22)^Calculations!B472),0)</f>
        <v>20999.762967968654</v>
      </c>
      <c r="AD472" s="17">
        <f t="shared" si="66"/>
        <v>194686.34162282283</v>
      </c>
      <c r="AE472" s="17">
        <f>IF(B472&lt;='Input sheet(dashboard)'!$D$27*12,IF(D472=12,SUM(AD461:AD472),0),0)</f>
        <v>0</v>
      </c>
      <c r="AF472" s="17">
        <f t="shared" si="67"/>
        <v>-123906.23739135689</v>
      </c>
      <c r="AG472" s="17">
        <f t="shared" si="68"/>
        <v>0</v>
      </c>
      <c r="AH472" s="3">
        <f>IF(B472&lt;='Input sheet(dashboard)'!$D$27*12,AH471*(1+'Input sheet(dashboard)'!$E$25)+AG472," ")</f>
        <v>68974217.852963746</v>
      </c>
    </row>
    <row r="473" spans="2:34">
      <c r="B473">
        <f t="shared" si="63"/>
        <v>470</v>
      </c>
      <c r="C473">
        <f t="shared" si="70"/>
        <v>40</v>
      </c>
      <c r="D473">
        <f t="shared" si="71"/>
        <v>2</v>
      </c>
      <c r="E473" s="15">
        <f>IF(C473&lt;='Input sheet(dashboard)'!$D$6, -PMT('Input sheet(dashboard)'!$E$5,'Input sheet(dashboard)'!$D$6*12,'Input sheet(dashboard)'!$D$3*'Input sheet(dashboard)'!$D$4),0)</f>
        <v>0</v>
      </c>
      <c r="F473" s="3">
        <f>I472*'Input sheet(dashboard)'!$E$5</f>
        <v>1.1227895336605553E-11</v>
      </c>
      <c r="G473" s="3">
        <f>IF(C473&lt;='Input sheet(dashboard)'!$D$6,E473*'Input sheet(dashboard)'!$D$7,0)</f>
        <v>0</v>
      </c>
      <c r="H473" s="3">
        <f t="shared" si="64"/>
        <v>-1.1227895336605553E-11</v>
      </c>
      <c r="I473" s="3">
        <f t="shared" si="65"/>
        <v>3.0934532055736138E-9</v>
      </c>
      <c r="J473" s="3">
        <f>IF(B473&lt;='Input sheet(dashboard)'!$D$27*12,'Input sheet(dashboard)'!$D$3*(1+'Input sheet(dashboard)'!$E$24)^B473,0)</f>
        <v>59946779.007778428</v>
      </c>
      <c r="K473" s="3">
        <f>IF(B473&lt;='Input sheet(dashboard)'!$D$27*12,J473*'Input sheet(dashboard)'!$E$8,0)</f>
        <v>62089.637451309674</v>
      </c>
      <c r="L473" s="3">
        <f>IF(B473&lt;='Input sheet(dashboard)'!$D$27*12,'Input sheet(dashboard)'!$D$9*(1+'Input sheet(dashboard)'!$E$22)^B473,0)</f>
        <v>7891.1321405205663</v>
      </c>
      <c r="M473" s="3">
        <f>IF(B473=1,'Input sheet(dashboard)'!$D$3*'Input sheet(dashboard)'!$D$10,0)</f>
        <v>0</v>
      </c>
      <c r="N473" s="3">
        <f>IF(B473='Input sheet(dashboard)'!$D$27*12,J473*'Input sheet(dashboard)'!$D$11,0)</f>
        <v>0</v>
      </c>
      <c r="O473" s="3">
        <f>IF(SUM(F473:F484)&gt;=150000,150000/12*'Input sheet(dashboard)'!$D$28,SUM(F473:F484)/12*'Input sheet(dashboard)'!$D$28)</f>
        <v>1.7183406104571414E-12</v>
      </c>
      <c r="P473" s="3">
        <f t="shared" si="69"/>
        <v>0</v>
      </c>
      <c r="Q473" s="3">
        <f>IF(B473&lt;='Input sheet(dashboard)'!$D$27*12,'Input sheet(dashboard)'!$D$12/12,0)</f>
        <v>192.5</v>
      </c>
      <c r="R473" s="3">
        <f>IF(B473&lt;='Input sheet(dashboard)'!$D$27*12,('Input sheet(dashboard)'!$D$15/12)*(1+'Input sheet(dashboard)'!$E$22)^Calculations!B473,0)</f>
        <v>876.79246005784069</v>
      </c>
      <c r="S473" s="3">
        <f>IF(B473&lt;='Input sheet(dashboard)'!$D$27*12,(E473+G473+K473+L473-O473+M473+Q473+R473),0)</f>
        <v>71050.062051888075</v>
      </c>
      <c r="T473" s="3">
        <f>IF(B473&lt;='Input sheet(dashboard)'!$D$27*12,IF(D473=12,SUM(S462:S473),0),0)</f>
        <v>0</v>
      </c>
      <c r="U473" s="3">
        <f>IF(B473&lt;='Input sheet(dashboard)'!$D$27*12,IF(S473&lt;AD473,AD473-S473,0),0)</f>
        <v>103344.13722396434</v>
      </c>
      <c r="V473" s="3">
        <f>IF(B473&lt;='Input sheet(dashboard)'!$D$27*12,V472*(1+'Input sheet(dashboard)'!$E$25)+U473,0)</f>
        <v>15667432.582183475</v>
      </c>
      <c r="W473" s="17">
        <f>IF(B473&lt;='Input sheet(dashboard)'!$D$27*12,J473-I473+V473-N473,0)</f>
        <v>75614211.589961901</v>
      </c>
      <c r="X473" s="3">
        <f>IF(B473&lt;='Input sheet(dashboard)'!$D$27*12,'Input sheet(dashboard)'!$D$17*(1+'Input sheet(dashboard)'!$E$23)^(B473-1),0)</f>
        <v>174394.19927585241</v>
      </c>
      <c r="Y473" s="3"/>
      <c r="Z473" s="18"/>
      <c r="AA473" s="18"/>
      <c r="AB473" s="3">
        <f>IF(B473=1,'Input sheet(dashboard)'!$D$18*Calculations!X473,IF(Calculations!B473=12*'Input sheet(dashboard)'!$D$27,'Input sheet(dashboard)'!$D$18*-Calculations!X473,0))</f>
        <v>0</v>
      </c>
      <c r="AC473" s="3">
        <f>IF(B473&lt;='Input sheet(dashboard)'!$D$27*12,IF(MOD(B472,'Input sheet(dashboard)'!$D$19*12),0,'Input sheet(dashboard)'!$D$20*(1+'Input sheet(dashboard)'!$E$22)^Calculations!B473),0)</f>
        <v>0</v>
      </c>
      <c r="AD473" s="17">
        <f t="shared" si="66"/>
        <v>174394.19927585241</v>
      </c>
      <c r="AE473" s="17">
        <f>IF(B473&lt;='Input sheet(dashboard)'!$D$27*12,IF(D473=12,SUM(AD462:AD473),0),0)</f>
        <v>0</v>
      </c>
      <c r="AF473" s="17">
        <f t="shared" si="67"/>
        <v>-103344.13722396434</v>
      </c>
      <c r="AG473" s="17">
        <f t="shared" si="68"/>
        <v>0</v>
      </c>
      <c r="AH473" s="3">
        <f>IF(B473&lt;='Input sheet(dashboard)'!$D$27*12,AH472*(1+'Input sheet(dashboard)'!$E$25)+AG473," ")</f>
        <v>69418000.047443643</v>
      </c>
    </row>
    <row r="474" spans="2:34">
      <c r="B474">
        <f t="shared" si="63"/>
        <v>471</v>
      </c>
      <c r="C474">
        <f t="shared" si="70"/>
        <v>40</v>
      </c>
      <c r="D474">
        <f t="shared" si="71"/>
        <v>3</v>
      </c>
      <c r="E474" s="15">
        <f>IF(C474&lt;='Input sheet(dashboard)'!$D$6, -PMT('Input sheet(dashboard)'!$E$5,'Input sheet(dashboard)'!$D$6*12,'Input sheet(dashboard)'!$D$3*'Input sheet(dashboard)'!$D$4),0)</f>
        <v>0</v>
      </c>
      <c r="F474" s="3">
        <f>I473*'Input sheet(dashboard)'!$E$5</f>
        <v>1.1268796186154438E-11</v>
      </c>
      <c r="G474" s="3">
        <f>IF(C474&lt;='Input sheet(dashboard)'!$D$6,E474*'Input sheet(dashboard)'!$D$7,0)</f>
        <v>0</v>
      </c>
      <c r="H474" s="3">
        <f t="shared" si="64"/>
        <v>-1.1268796186154438E-11</v>
      </c>
      <c r="I474" s="3">
        <f t="shared" si="65"/>
        <v>3.1047220017597683E-9</v>
      </c>
      <c r="J474" s="3">
        <f>IF(B474&lt;='Input sheet(dashboard)'!$D$27*12,'Input sheet(dashboard)'!$D$3*(1+'Input sheet(dashboard)'!$E$24)^B474,0)</f>
        <v>60191009.60588713</v>
      </c>
      <c r="K474" s="3">
        <f>IF(B474&lt;='Input sheet(dashboard)'!$D$27*12,J474*'Input sheet(dashboard)'!$E$8,0)</f>
        <v>62342.598319968158</v>
      </c>
      <c r="L474" s="3">
        <f>IF(B474&lt;='Input sheet(dashboard)'!$D$27*12,'Input sheet(dashboard)'!$D$9*(1+'Input sheet(dashboard)'!$E$22)^B474,0)</f>
        <v>7907.3865807137327</v>
      </c>
      <c r="M474" s="3">
        <f>IF(B474=1,'Input sheet(dashboard)'!$D$3*'Input sheet(dashboard)'!$D$10,0)</f>
        <v>0</v>
      </c>
      <c r="N474" s="3">
        <f>IF(B474='Input sheet(dashboard)'!$D$27*12,J474*'Input sheet(dashboard)'!$D$11,0)</f>
        <v>0</v>
      </c>
      <c r="O474" s="3">
        <f>IF(SUM(F474:F485)&gt;=150000,150000/12*'Input sheet(dashboard)'!$D$28,SUM(F474:F485)/12*'Input sheet(dashboard)'!$D$28)</f>
        <v>1.7246001621072991E-12</v>
      </c>
      <c r="P474" s="3">
        <f t="shared" si="69"/>
        <v>0</v>
      </c>
      <c r="Q474" s="3">
        <f>IF(B474&lt;='Input sheet(dashboard)'!$D$27*12,'Input sheet(dashboard)'!$D$12/12,0)</f>
        <v>192.5</v>
      </c>
      <c r="R474" s="3">
        <f>IF(B474&lt;='Input sheet(dashboard)'!$D$27*12,('Input sheet(dashboard)'!$D$15/12)*(1+'Input sheet(dashboard)'!$E$22)^Calculations!B474,0)</f>
        <v>878.5985089681925</v>
      </c>
      <c r="S474" s="3">
        <f>IF(B474&lt;='Input sheet(dashboard)'!$D$27*12,(E474+G474+K474+L474-O474+M474+Q474+R474),0)</f>
        <v>71321.083409650077</v>
      </c>
      <c r="T474" s="3">
        <f>IF(B474&lt;='Input sheet(dashboard)'!$D$27*12,IF(D474=12,SUM(S463:S474),0),0)</f>
        <v>0</v>
      </c>
      <c r="U474" s="3">
        <f>IF(B474&lt;='Input sheet(dashboard)'!$D$27*12,IF(S474&lt;AD474,AD474-S474,0),0)</f>
        <v>103783.6194212024</v>
      </c>
      <c r="V474" s="3">
        <f>IF(B474&lt;='Input sheet(dashboard)'!$D$27*12,V473*(1+'Input sheet(dashboard)'!$E$25)+U474,0)</f>
        <v>15872020.934584895</v>
      </c>
      <c r="W474" s="17">
        <f>IF(B474&lt;='Input sheet(dashboard)'!$D$27*12,J474-I474+V474-N474,0)</f>
        <v>76063030.540472031</v>
      </c>
      <c r="X474" s="3">
        <f>IF(B474&lt;='Input sheet(dashboard)'!$D$27*12,'Input sheet(dashboard)'!$D$17*(1+'Input sheet(dashboard)'!$E$23)^(B474-1),0)</f>
        <v>175104.70283085248</v>
      </c>
      <c r="Y474" s="3"/>
      <c r="Z474" s="18"/>
      <c r="AA474" s="18"/>
      <c r="AB474" s="3">
        <f>IF(B474=1,'Input sheet(dashboard)'!$D$18*Calculations!X474,IF(Calculations!B474=12*'Input sheet(dashboard)'!$D$27,'Input sheet(dashboard)'!$D$18*-Calculations!X474,0))</f>
        <v>0</v>
      </c>
      <c r="AC474" s="3">
        <f>IF(B474&lt;='Input sheet(dashboard)'!$D$27*12,IF(MOD(B473,'Input sheet(dashboard)'!$D$19*12),0,'Input sheet(dashboard)'!$D$20*(1+'Input sheet(dashboard)'!$E$22)^Calculations!B474),0)</f>
        <v>0</v>
      </c>
      <c r="AD474" s="17">
        <f t="shared" si="66"/>
        <v>175104.70283085248</v>
      </c>
      <c r="AE474" s="17">
        <f>IF(B474&lt;='Input sheet(dashboard)'!$D$27*12,IF(D474=12,SUM(AD463:AD474),0),0)</f>
        <v>0</v>
      </c>
      <c r="AF474" s="17">
        <f t="shared" si="67"/>
        <v>-103783.6194212024</v>
      </c>
      <c r="AG474" s="17">
        <f t="shared" si="68"/>
        <v>0</v>
      </c>
      <c r="AH474" s="3">
        <f>IF(B474&lt;='Input sheet(dashboard)'!$D$27*12,AH473*(1+'Input sheet(dashboard)'!$E$25)+AG474," ")</f>
        <v>69864637.549925119</v>
      </c>
    </row>
    <row r="475" spans="2:34">
      <c r="B475">
        <f t="shared" si="63"/>
        <v>472</v>
      </c>
      <c r="C475">
        <f t="shared" si="70"/>
        <v>40</v>
      </c>
      <c r="D475">
        <f t="shared" si="71"/>
        <v>4</v>
      </c>
      <c r="E475" s="15">
        <f>IF(C475&lt;='Input sheet(dashboard)'!$D$6, -PMT('Input sheet(dashboard)'!$E$5,'Input sheet(dashboard)'!$D$6*12,'Input sheet(dashboard)'!$D$3*'Input sheet(dashboard)'!$D$4),0)</f>
        <v>0</v>
      </c>
      <c r="F475" s="3">
        <f>I474*'Input sheet(dashboard)'!$E$5</f>
        <v>1.13098460288533E-11</v>
      </c>
      <c r="G475" s="3">
        <f>IF(C475&lt;='Input sheet(dashboard)'!$D$6,E475*'Input sheet(dashboard)'!$D$7,0)</f>
        <v>0</v>
      </c>
      <c r="H475" s="3">
        <f t="shared" si="64"/>
        <v>-1.13098460288533E-11</v>
      </c>
      <c r="I475" s="3">
        <f t="shared" si="65"/>
        <v>3.1160318477886214E-9</v>
      </c>
      <c r="J475" s="3">
        <f>IF(B475&lt;='Input sheet(dashboard)'!$D$27*12,'Input sheet(dashboard)'!$D$3*(1+'Input sheet(dashboard)'!$E$24)^B475,0)</f>
        <v>60436235.229684293</v>
      </c>
      <c r="K475" s="3">
        <f>IF(B475&lt;='Input sheet(dashboard)'!$D$27*12,J475*'Input sheet(dashboard)'!$E$8,0)</f>
        <v>62596.589782517993</v>
      </c>
      <c r="L475" s="3">
        <f>IF(B475&lt;='Input sheet(dashboard)'!$D$27*12,'Input sheet(dashboard)'!$D$9*(1+'Input sheet(dashboard)'!$E$22)^B475,0)</f>
        <v>7923.674502392354</v>
      </c>
      <c r="M475" s="3">
        <f>IF(B475=1,'Input sheet(dashboard)'!$D$3*'Input sheet(dashboard)'!$D$10,0)</f>
        <v>0</v>
      </c>
      <c r="N475" s="3">
        <f>IF(B475='Input sheet(dashboard)'!$D$27*12,J475*'Input sheet(dashboard)'!$D$11,0)</f>
        <v>0</v>
      </c>
      <c r="O475" s="3">
        <f>IF(SUM(F475:F486)&gt;=150000,150000/12*'Input sheet(dashboard)'!$D$28,SUM(F475:F486)/12*'Input sheet(dashboard)'!$D$28)</f>
        <v>1.7308825159810806E-12</v>
      </c>
      <c r="P475" s="3">
        <f t="shared" si="69"/>
        <v>0</v>
      </c>
      <c r="Q475" s="3">
        <f>IF(B475&lt;='Input sheet(dashboard)'!$D$27*12,'Input sheet(dashboard)'!$D$12/12,0)</f>
        <v>192.5</v>
      </c>
      <c r="R475" s="3">
        <f>IF(B475&lt;='Input sheet(dashboard)'!$D$27*12,('Input sheet(dashboard)'!$D$15/12)*(1+'Input sheet(dashboard)'!$E$22)^Calculations!B475,0)</f>
        <v>880.40827804359481</v>
      </c>
      <c r="S475" s="3">
        <f>IF(B475&lt;='Input sheet(dashboard)'!$D$27*12,(E475+G475+K475+L475-O475+M475+Q475+R475),0)</f>
        <v>71593.172562953943</v>
      </c>
      <c r="T475" s="3">
        <f>IF(B475&lt;='Input sheet(dashboard)'!$D$27*12,IF(D475=12,SUM(S464:S475),0),0)</f>
        <v>0</v>
      </c>
      <c r="U475" s="3">
        <f>IF(B475&lt;='Input sheet(dashboard)'!$D$27*12,IF(S475&lt;AD475,AD475-S475,0),0)</f>
        <v>104224.9285023304</v>
      </c>
      <c r="V475" s="3">
        <f>IF(B475&lt;='Input sheet(dashboard)'!$D$27*12,V474*(1+'Input sheet(dashboard)'!$E$25)+U475,0)</f>
        <v>16078366.92368695</v>
      </c>
      <c r="W475" s="17">
        <f>IF(B475&lt;='Input sheet(dashboard)'!$D$27*12,J475-I475+V475-N475,0)</f>
        <v>76514602.153371245</v>
      </c>
      <c r="X475" s="3">
        <f>IF(B475&lt;='Input sheet(dashboard)'!$D$27*12,'Input sheet(dashboard)'!$D$17*(1+'Input sheet(dashboard)'!$E$23)^(B475-1),0)</f>
        <v>175818.10106528434</v>
      </c>
      <c r="Y475" s="3"/>
      <c r="Z475" s="18"/>
      <c r="AA475" s="18"/>
      <c r="AB475" s="3">
        <f>IF(B475=1,'Input sheet(dashboard)'!$D$18*Calculations!X475,IF(Calculations!B475=12*'Input sheet(dashboard)'!$D$27,'Input sheet(dashboard)'!$D$18*-Calculations!X475,0))</f>
        <v>0</v>
      </c>
      <c r="AC475" s="3">
        <f>IF(B475&lt;='Input sheet(dashboard)'!$D$27*12,IF(MOD(B474,'Input sheet(dashboard)'!$D$19*12),0,'Input sheet(dashboard)'!$D$20*(1+'Input sheet(dashboard)'!$E$22)^Calculations!B475),0)</f>
        <v>0</v>
      </c>
      <c r="AD475" s="17">
        <f t="shared" si="66"/>
        <v>175818.10106528434</v>
      </c>
      <c r="AE475" s="17">
        <f>IF(B475&lt;='Input sheet(dashboard)'!$D$27*12,IF(D475=12,SUM(AD464:AD475),0),0)</f>
        <v>0</v>
      </c>
      <c r="AF475" s="17">
        <f t="shared" si="67"/>
        <v>-104224.9285023304</v>
      </c>
      <c r="AG475" s="17">
        <f t="shared" si="68"/>
        <v>0</v>
      </c>
      <c r="AH475" s="3">
        <f>IF(B475&lt;='Input sheet(dashboard)'!$D$27*12,AH474*(1+'Input sheet(dashboard)'!$E$25)+AG475," ")</f>
        <v>70314148.731545806</v>
      </c>
    </row>
    <row r="476" spans="2:34">
      <c r="B476">
        <f t="shared" si="63"/>
        <v>473</v>
      </c>
      <c r="C476">
        <f t="shared" si="70"/>
        <v>40</v>
      </c>
      <c r="D476">
        <f t="shared" si="71"/>
        <v>5</v>
      </c>
      <c r="E476" s="15">
        <f>IF(C476&lt;='Input sheet(dashboard)'!$D$6, -PMT('Input sheet(dashboard)'!$E$5,'Input sheet(dashboard)'!$D$6*12,'Input sheet(dashboard)'!$D$3*'Input sheet(dashboard)'!$D$4),0)</f>
        <v>0</v>
      </c>
      <c r="F476" s="3">
        <f>I475*'Input sheet(dashboard)'!$E$5</f>
        <v>1.1351045407452693E-11</v>
      </c>
      <c r="G476" s="3">
        <f>IF(C476&lt;='Input sheet(dashboard)'!$D$6,E476*'Input sheet(dashboard)'!$D$7,0)</f>
        <v>0</v>
      </c>
      <c r="H476" s="3">
        <f t="shared" si="64"/>
        <v>-1.1351045407452693E-11</v>
      </c>
      <c r="I476" s="3">
        <f t="shared" si="65"/>
        <v>3.127382893196074E-9</v>
      </c>
      <c r="J476" s="3">
        <f>IF(B476&lt;='Input sheet(dashboard)'!$D$27*12,'Input sheet(dashboard)'!$D$3*(1+'Input sheet(dashboard)'!$E$24)^B476,0)</f>
        <v>60682459.933027729</v>
      </c>
      <c r="K476" s="3">
        <f>IF(B476&lt;='Input sheet(dashboard)'!$D$27*12,J476*'Input sheet(dashboard)'!$E$8,0)</f>
        <v>62851.616037726242</v>
      </c>
      <c r="L476" s="3">
        <f>IF(B476&lt;='Input sheet(dashboard)'!$D$27*12,'Input sheet(dashboard)'!$D$9*(1+'Input sheet(dashboard)'!$E$22)^B476,0)</f>
        <v>7939.9959745228116</v>
      </c>
      <c r="M476" s="3">
        <f>IF(B476=1,'Input sheet(dashboard)'!$D$3*'Input sheet(dashboard)'!$D$10,0)</f>
        <v>0</v>
      </c>
      <c r="N476" s="3">
        <f>IF(B476='Input sheet(dashboard)'!$D$27*12,J476*'Input sheet(dashboard)'!$D$11,0)</f>
        <v>0</v>
      </c>
      <c r="O476" s="3">
        <f>IF(SUM(F476:F487)&gt;=150000,150000/12*'Input sheet(dashboard)'!$D$28,SUM(F476:F487)/12*'Input sheet(dashboard)'!$D$28)</f>
        <v>1.7371877551421662E-12</v>
      </c>
      <c r="P476" s="3">
        <f t="shared" si="69"/>
        <v>0</v>
      </c>
      <c r="Q476" s="3">
        <f>IF(B476&lt;='Input sheet(dashboard)'!$D$27*12,'Input sheet(dashboard)'!$D$12/12,0)</f>
        <v>192.5</v>
      </c>
      <c r="R476" s="3">
        <f>IF(B476&lt;='Input sheet(dashboard)'!$D$27*12,('Input sheet(dashboard)'!$D$15/12)*(1+'Input sheet(dashboard)'!$E$22)^Calculations!B476,0)</f>
        <v>882.22177494697905</v>
      </c>
      <c r="S476" s="3">
        <f>IF(B476&lt;='Input sheet(dashboard)'!$D$27*12,(E476+G476+K476+L476-O476+M476+Q476+R476),0)</f>
        <v>71866.333787196039</v>
      </c>
      <c r="T476" s="3">
        <f>IF(B476&lt;='Input sheet(dashboard)'!$D$27*12,IF(D476=12,SUM(S465:S476),0),0)</f>
        <v>0</v>
      </c>
      <c r="U476" s="3">
        <f>IF(B476&lt;='Input sheet(dashboard)'!$D$27*12,IF(S476&lt;AD476,AD476-S476,0),0)</f>
        <v>104668.07198523429</v>
      </c>
      <c r="V476" s="3">
        <f>IF(B476&lt;='Input sheet(dashboard)'!$D$27*12,V475*(1+'Input sheet(dashboard)'!$E$25)+U476,0)</f>
        <v>16286483.692578869</v>
      </c>
      <c r="W476" s="17">
        <f>IF(B476&lt;='Input sheet(dashboard)'!$D$27*12,J476-I476+V476-N476,0)</f>
        <v>76968943.625606596</v>
      </c>
      <c r="X476" s="3">
        <f>IF(B476&lt;='Input sheet(dashboard)'!$D$27*12,'Input sheet(dashboard)'!$D$17*(1+'Input sheet(dashboard)'!$E$23)^(B476-1),0)</f>
        <v>176534.40577243033</v>
      </c>
      <c r="Y476" s="3"/>
      <c r="Z476" s="18"/>
      <c r="AA476" s="18"/>
      <c r="AB476" s="3">
        <f>IF(B476=1,'Input sheet(dashboard)'!$D$18*Calculations!X476,IF(Calculations!B476=12*'Input sheet(dashboard)'!$D$27,'Input sheet(dashboard)'!$D$18*-Calculations!X476,0))</f>
        <v>0</v>
      </c>
      <c r="AC476" s="3">
        <f>IF(B476&lt;='Input sheet(dashboard)'!$D$27*12,IF(MOD(B475,'Input sheet(dashboard)'!$D$19*12),0,'Input sheet(dashboard)'!$D$20*(1+'Input sheet(dashboard)'!$E$22)^Calculations!B476),0)</f>
        <v>0</v>
      </c>
      <c r="AD476" s="17">
        <f t="shared" si="66"/>
        <v>176534.40577243033</v>
      </c>
      <c r="AE476" s="17">
        <f>IF(B476&lt;='Input sheet(dashboard)'!$D$27*12,IF(D476=12,SUM(AD465:AD476),0),0)</f>
        <v>0</v>
      </c>
      <c r="AF476" s="17">
        <f t="shared" si="67"/>
        <v>-104668.07198523429</v>
      </c>
      <c r="AG476" s="17">
        <f t="shared" si="68"/>
        <v>0</v>
      </c>
      <c r="AH476" s="3">
        <f>IF(B476&lt;='Input sheet(dashboard)'!$D$27*12,AH475*(1+'Input sheet(dashboard)'!$E$25)+AG476," ")</f>
        <v>70766552.081643835</v>
      </c>
    </row>
    <row r="477" spans="2:34">
      <c r="B477">
        <f t="shared" si="63"/>
        <v>474</v>
      </c>
      <c r="C477">
        <f t="shared" si="70"/>
        <v>40</v>
      </c>
      <c r="D477">
        <f t="shared" si="71"/>
        <v>6</v>
      </c>
      <c r="E477" s="15">
        <f>IF(C477&lt;='Input sheet(dashboard)'!$D$6, -PMT('Input sheet(dashboard)'!$E$5,'Input sheet(dashboard)'!$D$6*12,'Input sheet(dashboard)'!$D$3*'Input sheet(dashboard)'!$D$4),0)</f>
        <v>0</v>
      </c>
      <c r="F477" s="3">
        <f>I476*'Input sheet(dashboard)'!$E$5</f>
        <v>1.1392394866680297E-11</v>
      </c>
      <c r="G477" s="3">
        <f>IF(C477&lt;='Input sheet(dashboard)'!$D$6,E477*'Input sheet(dashboard)'!$D$7,0)</f>
        <v>0</v>
      </c>
      <c r="H477" s="3">
        <f t="shared" si="64"/>
        <v>-1.1392394866680297E-11</v>
      </c>
      <c r="I477" s="3">
        <f t="shared" si="65"/>
        <v>3.1387752880627543E-9</v>
      </c>
      <c r="J477" s="3">
        <f>IF(B477&lt;='Input sheet(dashboard)'!$D$27*12,'Input sheet(dashboard)'!$D$3*(1+'Input sheet(dashboard)'!$E$24)^B477,0)</f>
        <v>60929687.786291167</v>
      </c>
      <c r="K477" s="3">
        <f>IF(B477&lt;='Input sheet(dashboard)'!$D$27*12,J477*'Input sheet(dashboard)'!$E$8,0)</f>
        <v>63107.681301466277</v>
      </c>
      <c r="L477" s="3">
        <f>IF(B477&lt;='Input sheet(dashboard)'!$D$27*12,'Input sheet(dashboard)'!$D$9*(1+'Input sheet(dashboard)'!$E$22)^B477,0)</f>
        <v>7956.3510662135377</v>
      </c>
      <c r="M477" s="3">
        <f>IF(B477=1,'Input sheet(dashboard)'!$D$3*'Input sheet(dashboard)'!$D$10,0)</f>
        <v>0</v>
      </c>
      <c r="N477" s="3">
        <f>IF(B477='Input sheet(dashboard)'!$D$27*12,J477*'Input sheet(dashboard)'!$D$11,0)</f>
        <v>0</v>
      </c>
      <c r="O477" s="3">
        <f>IF(SUM(F477:F488)&gt;=150000,150000/12*'Input sheet(dashboard)'!$D$28,SUM(F477:F488)/12*'Input sheet(dashboard)'!$D$28)</f>
        <v>1.7435159629568213E-12</v>
      </c>
      <c r="P477" s="3">
        <f t="shared" si="69"/>
        <v>0</v>
      </c>
      <c r="Q477" s="3">
        <f>IF(B477&lt;='Input sheet(dashboard)'!$D$27*12,'Input sheet(dashboard)'!$D$12/12,0)</f>
        <v>192.5</v>
      </c>
      <c r="R477" s="3">
        <f>IF(B477&lt;='Input sheet(dashboard)'!$D$27*12,('Input sheet(dashboard)'!$D$15/12)*(1+'Input sheet(dashboard)'!$E$22)^Calculations!B477,0)</f>
        <v>884.03900735705963</v>
      </c>
      <c r="S477" s="3">
        <f>IF(B477&lt;='Input sheet(dashboard)'!$D$27*12,(E477+G477+K477+L477-O477+M477+Q477+R477),0)</f>
        <v>72140.571375036874</v>
      </c>
      <c r="T477" s="3">
        <f>IF(B477&lt;='Input sheet(dashboard)'!$D$27*12,IF(D477=12,SUM(S466:S477),0),0)</f>
        <v>0</v>
      </c>
      <c r="U477" s="3">
        <f>IF(B477&lt;='Input sheet(dashboard)'!$D$27*12,IF(S477&lt;AD477,AD477-S477,0),0)</f>
        <v>105113.05741858319</v>
      </c>
      <c r="V477" s="3">
        <f>IF(B477&lt;='Input sheet(dashboard)'!$D$27*12,V476*(1+'Input sheet(dashboard)'!$E$25)+U477,0)</f>
        <v>16496384.476461584</v>
      </c>
      <c r="W477" s="17">
        <f>IF(B477&lt;='Input sheet(dashboard)'!$D$27*12,J477-I477+V477-N477,0)</f>
        <v>77426072.262752756</v>
      </c>
      <c r="X477" s="3">
        <f>IF(B477&lt;='Input sheet(dashboard)'!$D$27*12,'Input sheet(dashboard)'!$D$17*(1+'Input sheet(dashboard)'!$E$23)^(B477-1),0)</f>
        <v>177253.62879362007</v>
      </c>
      <c r="Y477" s="3"/>
      <c r="Z477" s="18"/>
      <c r="AA477" s="18"/>
      <c r="AB477" s="3">
        <f>IF(B477=1,'Input sheet(dashboard)'!$D$18*Calculations!X477,IF(Calculations!B477=12*'Input sheet(dashboard)'!$D$27,'Input sheet(dashboard)'!$D$18*-Calculations!X477,0))</f>
        <v>0</v>
      </c>
      <c r="AC477" s="3">
        <f>IF(B477&lt;='Input sheet(dashboard)'!$D$27*12,IF(MOD(B476,'Input sheet(dashboard)'!$D$19*12),0,'Input sheet(dashboard)'!$D$20*(1+'Input sheet(dashboard)'!$E$22)^Calculations!B477),0)</f>
        <v>0</v>
      </c>
      <c r="AD477" s="17">
        <f t="shared" si="66"/>
        <v>177253.62879362007</v>
      </c>
      <c r="AE477" s="17">
        <f>IF(B477&lt;='Input sheet(dashboard)'!$D$27*12,IF(D477=12,SUM(AD466:AD477),0),0)</f>
        <v>0</v>
      </c>
      <c r="AF477" s="17">
        <f t="shared" si="67"/>
        <v>-105113.05741858319</v>
      </c>
      <c r="AG477" s="17">
        <f t="shared" si="68"/>
        <v>0</v>
      </c>
      <c r="AH477" s="3">
        <f>IF(B477&lt;='Input sheet(dashboard)'!$D$27*12,AH476*(1+'Input sheet(dashboard)'!$E$25)+AG477," ")</f>
        <v>71221866.208518252</v>
      </c>
    </row>
    <row r="478" spans="2:34">
      <c r="B478">
        <f t="shared" si="63"/>
        <v>475</v>
      </c>
      <c r="C478">
        <f t="shared" si="70"/>
        <v>40</v>
      </c>
      <c r="D478">
        <f t="shared" si="71"/>
        <v>7</v>
      </c>
      <c r="E478" s="15">
        <f>IF(C478&lt;='Input sheet(dashboard)'!$D$6, -PMT('Input sheet(dashboard)'!$E$5,'Input sheet(dashboard)'!$D$6*12,'Input sheet(dashboard)'!$D$3*'Input sheet(dashboard)'!$D$4),0)</f>
        <v>0</v>
      </c>
      <c r="F478" s="3">
        <f>I477*'Input sheet(dashboard)'!$E$5</f>
        <v>1.1433894953248119E-11</v>
      </c>
      <c r="G478" s="3">
        <f>IF(C478&lt;='Input sheet(dashboard)'!$D$6,E478*'Input sheet(dashboard)'!$D$7,0)</f>
        <v>0</v>
      </c>
      <c r="H478" s="3">
        <f t="shared" si="64"/>
        <v>-1.1433894953248119E-11</v>
      </c>
      <c r="I478" s="3">
        <f t="shared" si="65"/>
        <v>3.1502091830160023E-9</v>
      </c>
      <c r="J478" s="3">
        <f>IF(B478&lt;='Input sheet(dashboard)'!$D$27*12,'Input sheet(dashboard)'!$D$3*(1+'Input sheet(dashboard)'!$E$24)^B478,0)</f>
        <v>61177922.876431547</v>
      </c>
      <c r="K478" s="3">
        <f>IF(B478&lt;='Input sheet(dashboard)'!$D$27*12,J478*'Input sheet(dashboard)'!$E$8,0)</f>
        <v>63364.789806787463</v>
      </c>
      <c r="L478" s="3">
        <f>IF(B478&lt;='Input sheet(dashboard)'!$D$27*12,'Input sheet(dashboard)'!$D$9*(1+'Input sheet(dashboard)'!$E$22)^B478,0)</f>
        <v>7972.739846715328</v>
      </c>
      <c r="M478" s="3">
        <f>IF(B478=1,'Input sheet(dashboard)'!$D$3*'Input sheet(dashboard)'!$D$10,0)</f>
        <v>0</v>
      </c>
      <c r="N478" s="3">
        <f>IF(B478='Input sheet(dashboard)'!$D$27*12,J478*'Input sheet(dashboard)'!$D$11,0)</f>
        <v>0</v>
      </c>
      <c r="O478" s="3">
        <f>IF(SUM(F478:F489)&gt;=150000,150000/12*'Input sheet(dashboard)'!$D$28,SUM(F478:F489)/12*'Input sheet(dashboard)'!$D$28)</f>
        <v>1.7498672230949953E-12</v>
      </c>
      <c r="P478" s="3">
        <f t="shared" si="69"/>
        <v>0</v>
      </c>
      <c r="Q478" s="3">
        <f>IF(B478&lt;='Input sheet(dashboard)'!$D$27*12,'Input sheet(dashboard)'!$D$12/12,0)</f>
        <v>192.5</v>
      </c>
      <c r="R478" s="3">
        <f>IF(B478&lt;='Input sheet(dashboard)'!$D$27*12,('Input sheet(dashboard)'!$D$15/12)*(1+'Input sheet(dashboard)'!$E$22)^Calculations!B478,0)</f>
        <v>885.85998296836976</v>
      </c>
      <c r="S478" s="3">
        <f>IF(B478&lt;='Input sheet(dashboard)'!$D$27*12,(E478+G478+K478+L478-O478+M478+Q478+R478),0)</f>
        <v>72415.889636471155</v>
      </c>
      <c r="T478" s="3">
        <f>IF(B478&lt;='Input sheet(dashboard)'!$D$27*12,IF(D478=12,SUM(S467:S478),0),0)</f>
        <v>0</v>
      </c>
      <c r="U478" s="3">
        <f>IF(B478&lt;='Input sheet(dashboard)'!$D$27*12,IF(S478&lt;AD478,AD478-S478,0),0)</f>
        <v>105559.89238195498</v>
      </c>
      <c r="V478" s="3">
        <f>IF(B478&lt;='Input sheet(dashboard)'!$D$27*12,V477*(1+'Input sheet(dashboard)'!$E$25)+U478,0)</f>
        <v>16708082.603271285</v>
      </c>
      <c r="W478" s="17">
        <f>IF(B478&lt;='Input sheet(dashboard)'!$D$27*12,J478-I478+V478-N478,0)</f>
        <v>77886005.47970283</v>
      </c>
      <c r="X478" s="3">
        <f>IF(B478&lt;='Input sheet(dashboard)'!$D$27*12,'Input sheet(dashboard)'!$D$17*(1+'Input sheet(dashboard)'!$E$23)^(B478-1),0)</f>
        <v>177975.78201842614</v>
      </c>
      <c r="Y478" s="3"/>
      <c r="Z478" s="18"/>
      <c r="AA478" s="18"/>
      <c r="AB478" s="3">
        <f>IF(B478=1,'Input sheet(dashboard)'!$D$18*Calculations!X478,IF(Calculations!B478=12*'Input sheet(dashboard)'!$D$27,'Input sheet(dashboard)'!$D$18*-Calculations!X478,0))</f>
        <v>0</v>
      </c>
      <c r="AC478" s="3">
        <f>IF(B478&lt;='Input sheet(dashboard)'!$D$27*12,IF(MOD(B477,'Input sheet(dashboard)'!$D$19*12),0,'Input sheet(dashboard)'!$D$20*(1+'Input sheet(dashboard)'!$E$22)^Calculations!B478),0)</f>
        <v>0</v>
      </c>
      <c r="AD478" s="17">
        <f t="shared" si="66"/>
        <v>177975.78201842614</v>
      </c>
      <c r="AE478" s="17">
        <f>IF(B478&lt;='Input sheet(dashboard)'!$D$27*12,IF(D478=12,SUM(AD467:AD478),0),0)</f>
        <v>0</v>
      </c>
      <c r="AF478" s="17">
        <f t="shared" si="67"/>
        <v>-105559.89238195498</v>
      </c>
      <c r="AG478" s="17">
        <f t="shared" si="68"/>
        <v>0</v>
      </c>
      <c r="AH478" s="3">
        <f>IF(B478&lt;='Input sheet(dashboard)'!$D$27*12,AH477*(1+'Input sheet(dashboard)'!$E$25)+AG478," ")</f>
        <v>71680109.840194494</v>
      </c>
    </row>
    <row r="479" spans="2:34">
      <c r="B479">
        <f t="shared" si="63"/>
        <v>476</v>
      </c>
      <c r="C479">
        <f t="shared" si="70"/>
        <v>40</v>
      </c>
      <c r="D479">
        <f t="shared" si="71"/>
        <v>8</v>
      </c>
      <c r="E479" s="15">
        <f>IF(C479&lt;='Input sheet(dashboard)'!$D$6, -PMT('Input sheet(dashboard)'!$E$5,'Input sheet(dashboard)'!$D$6*12,'Input sheet(dashboard)'!$D$3*'Input sheet(dashboard)'!$D$4),0)</f>
        <v>0</v>
      </c>
      <c r="F479" s="3">
        <f>I478*'Input sheet(dashboard)'!$E$5</f>
        <v>1.1475546215859723E-11</v>
      </c>
      <c r="G479" s="3">
        <f>IF(C479&lt;='Input sheet(dashboard)'!$D$6,E479*'Input sheet(dashboard)'!$D$7,0)</f>
        <v>0</v>
      </c>
      <c r="H479" s="3">
        <f t="shared" si="64"/>
        <v>-1.1475546215859723E-11</v>
      </c>
      <c r="I479" s="3">
        <f t="shared" si="65"/>
        <v>3.1616847292318623E-9</v>
      </c>
      <c r="J479" s="3">
        <f>IF(B479&lt;='Input sheet(dashboard)'!$D$27*12,'Input sheet(dashboard)'!$D$3*(1+'Input sheet(dashboard)'!$E$24)^B479,0)</f>
        <v>61427169.307056636</v>
      </c>
      <c r="K479" s="3">
        <f>IF(B479&lt;='Input sheet(dashboard)'!$D$27*12,J479*'Input sheet(dashboard)'!$E$8,0)</f>
        <v>63622.945803985189</v>
      </c>
      <c r="L479" s="3">
        <f>IF(B479&lt;='Input sheet(dashboard)'!$D$27*12,'Input sheet(dashboard)'!$D$9*(1+'Input sheet(dashboard)'!$E$22)^B479,0)</f>
        <v>7989.1623854216123</v>
      </c>
      <c r="M479" s="3">
        <f>IF(B479=1,'Input sheet(dashboard)'!$D$3*'Input sheet(dashboard)'!$D$10,0)</f>
        <v>0</v>
      </c>
      <c r="N479" s="3">
        <f>IF(B479='Input sheet(dashboard)'!$D$27*12,J479*'Input sheet(dashboard)'!$D$11,0)</f>
        <v>0</v>
      </c>
      <c r="O479" s="3">
        <f>IF(SUM(F479:F490)&gt;=150000,150000/12*'Input sheet(dashboard)'!$D$28,SUM(F479:F490)/12*'Input sheet(dashboard)'!$D$28)</f>
        <v>1.7562416195314313E-12</v>
      </c>
      <c r="P479" s="3">
        <f t="shared" si="69"/>
        <v>0</v>
      </c>
      <c r="Q479" s="3">
        <f>IF(B479&lt;='Input sheet(dashboard)'!$D$27*12,'Input sheet(dashboard)'!$D$12/12,0)</f>
        <v>192.5</v>
      </c>
      <c r="R479" s="3">
        <f>IF(B479&lt;='Input sheet(dashboard)'!$D$27*12,('Input sheet(dashboard)'!$D$15/12)*(1+'Input sheet(dashboard)'!$E$22)^Calculations!B479,0)</f>
        <v>887.68470949129028</v>
      </c>
      <c r="S479" s="3">
        <f>IF(B479&lt;='Input sheet(dashboard)'!$D$27*12,(E479+G479+K479+L479-O479+M479+Q479+R479),0)</f>
        <v>72692.2928988981</v>
      </c>
      <c r="T479" s="3">
        <f>IF(B479&lt;='Input sheet(dashboard)'!$D$27*12,IF(D479=12,SUM(S468:S479),0),0)</f>
        <v>0</v>
      </c>
      <c r="U479" s="3">
        <f>IF(B479&lt;='Input sheet(dashboard)'!$D$27*12,IF(S479&lt;AD479,AD479-S479,0),0)</f>
        <v>106008.58448596267</v>
      </c>
      <c r="V479" s="3">
        <f>IF(B479&lt;='Input sheet(dashboard)'!$D$27*12,V478*(1+'Input sheet(dashboard)'!$E$25)+U479,0)</f>
        <v>16921591.494307119</v>
      </c>
      <c r="W479" s="17">
        <f>IF(B479&lt;='Input sheet(dashboard)'!$D$27*12,J479-I479+V479-N479,0)</f>
        <v>78348760.801363751</v>
      </c>
      <c r="X479" s="3">
        <f>IF(B479&lt;='Input sheet(dashboard)'!$D$27*12,'Input sheet(dashboard)'!$D$17*(1+'Input sheet(dashboard)'!$E$23)^(B479-1),0)</f>
        <v>178700.87738486077</v>
      </c>
      <c r="Y479" s="3"/>
      <c r="Z479" s="18"/>
      <c r="AA479" s="18"/>
      <c r="AB479" s="3">
        <f>IF(B479=1,'Input sheet(dashboard)'!$D$18*Calculations!X479,IF(Calculations!B479=12*'Input sheet(dashboard)'!$D$27,'Input sheet(dashboard)'!$D$18*-Calculations!X479,0))</f>
        <v>0</v>
      </c>
      <c r="AC479" s="3">
        <f>IF(B479&lt;='Input sheet(dashboard)'!$D$27*12,IF(MOD(B478,'Input sheet(dashboard)'!$D$19*12),0,'Input sheet(dashboard)'!$D$20*(1+'Input sheet(dashboard)'!$E$22)^Calculations!B479),0)</f>
        <v>0</v>
      </c>
      <c r="AD479" s="17">
        <f t="shared" si="66"/>
        <v>178700.87738486077</v>
      </c>
      <c r="AE479" s="17">
        <f>IF(B479&lt;='Input sheet(dashboard)'!$D$27*12,IF(D479=12,SUM(AD468:AD479),0),0)</f>
        <v>0</v>
      </c>
      <c r="AF479" s="17">
        <f t="shared" si="67"/>
        <v>-106008.58448596267</v>
      </c>
      <c r="AG479" s="17">
        <f t="shared" si="68"/>
        <v>0</v>
      </c>
      <c r="AH479" s="3">
        <f>IF(B479&lt;='Input sheet(dashboard)'!$D$27*12,AH478*(1+'Input sheet(dashboard)'!$E$25)+AG479," ")</f>
        <v>72141301.825194657</v>
      </c>
    </row>
    <row r="480" spans="2:34">
      <c r="B480">
        <f t="shared" si="63"/>
        <v>477</v>
      </c>
      <c r="C480">
        <f t="shared" si="70"/>
        <v>40</v>
      </c>
      <c r="D480">
        <f t="shared" si="71"/>
        <v>9</v>
      </c>
      <c r="E480" s="15">
        <f>IF(C480&lt;='Input sheet(dashboard)'!$D$6, -PMT('Input sheet(dashboard)'!$E$5,'Input sheet(dashboard)'!$D$6*12,'Input sheet(dashboard)'!$D$3*'Input sheet(dashboard)'!$D$4),0)</f>
        <v>0</v>
      </c>
      <c r="F480" s="3">
        <f>I479*'Input sheet(dashboard)'!$E$5</f>
        <v>1.1517349205217483E-11</v>
      </c>
      <c r="G480" s="3">
        <f>IF(C480&lt;='Input sheet(dashboard)'!$D$6,E480*'Input sheet(dashboard)'!$D$7,0)</f>
        <v>0</v>
      </c>
      <c r="H480" s="3">
        <f t="shared" si="64"/>
        <v>-1.1517349205217483E-11</v>
      </c>
      <c r="I480" s="3">
        <f t="shared" si="65"/>
        <v>3.1732020784370798E-9</v>
      </c>
      <c r="J480" s="3">
        <f>IF(B480&lt;='Input sheet(dashboard)'!$D$27*12,'Input sheet(dashboard)'!$D$3*(1+'Input sheet(dashboard)'!$E$24)^B480,0)</f>
        <v>61677431.198492713</v>
      </c>
      <c r="K480" s="3">
        <f>IF(B480&lt;='Input sheet(dashboard)'!$D$27*12,J480*'Input sheet(dashboard)'!$E$8,0)</f>
        <v>63882.15356067098</v>
      </c>
      <c r="L480" s="3">
        <f>IF(B480&lt;='Input sheet(dashboard)'!$D$27*12,'Input sheet(dashboard)'!$D$9*(1+'Input sheet(dashboard)'!$E$22)^B480,0)</f>
        <v>8005.6187518687648</v>
      </c>
      <c r="M480" s="3">
        <f>IF(B480=1,'Input sheet(dashboard)'!$D$3*'Input sheet(dashboard)'!$D$10,0)</f>
        <v>0</v>
      </c>
      <c r="N480" s="3">
        <f>IF(B480='Input sheet(dashboard)'!$D$27*12,J480*'Input sheet(dashboard)'!$D$11,0)</f>
        <v>0</v>
      </c>
      <c r="O480" s="3">
        <f>IF(SUM(F480:F491)&gt;=150000,150000/12*'Input sheet(dashboard)'!$D$28,SUM(F480:F491)/12*'Input sheet(dashboard)'!$D$28)</f>
        <v>1.7626392365467731E-12</v>
      </c>
      <c r="P480" s="3">
        <f t="shared" si="69"/>
        <v>0</v>
      </c>
      <c r="Q480" s="3">
        <f>IF(B480&lt;='Input sheet(dashboard)'!$D$27*12,'Input sheet(dashboard)'!$D$12/12,0)</f>
        <v>192.5</v>
      </c>
      <c r="R480" s="3">
        <f>IF(B480&lt;='Input sheet(dashboard)'!$D$27*12,('Input sheet(dashboard)'!$D$15/12)*(1+'Input sheet(dashboard)'!$E$22)^Calculations!B480,0)</f>
        <v>889.51319465208496</v>
      </c>
      <c r="S480" s="3">
        <f>IF(B480&lt;='Input sheet(dashboard)'!$D$27*12,(E480+G480+K480+L480-O480+M480+Q480+R480),0)</f>
        <v>72969.785507191831</v>
      </c>
      <c r="T480" s="3">
        <f>IF(B480&lt;='Input sheet(dashboard)'!$D$27*12,IF(D480=12,SUM(S469:S480),0),0)</f>
        <v>0</v>
      </c>
      <c r="U480" s="3">
        <f>IF(B480&lt;='Input sheet(dashboard)'!$D$27*12,IF(S480&lt;AD480,AD480-S480,0),0)</f>
        <v>106459.14137238146</v>
      </c>
      <c r="V480" s="3">
        <f>IF(B480&lt;='Input sheet(dashboard)'!$D$27*12,V479*(1+'Input sheet(dashboard)'!$E$25)+U480,0)</f>
        <v>17136924.664863054</v>
      </c>
      <c r="W480" s="17">
        <f>IF(B480&lt;='Input sheet(dashboard)'!$D$27*12,J480-I480+V480-N480,0)</f>
        <v>78814355.863355771</v>
      </c>
      <c r="X480" s="3">
        <f>IF(B480&lt;='Input sheet(dashboard)'!$D$27*12,'Input sheet(dashboard)'!$D$17*(1+'Input sheet(dashboard)'!$E$23)^(B480-1),0)</f>
        <v>179428.92687957329</v>
      </c>
      <c r="Y480" s="3"/>
      <c r="Z480" s="18"/>
      <c r="AA480" s="18"/>
      <c r="AB480" s="3">
        <f>IF(B480=1,'Input sheet(dashboard)'!$D$18*Calculations!X480,IF(Calculations!B480=12*'Input sheet(dashboard)'!$D$27,'Input sheet(dashboard)'!$D$18*-Calculations!X480,0))</f>
        <v>0</v>
      </c>
      <c r="AC480" s="3">
        <f>IF(B480&lt;='Input sheet(dashboard)'!$D$27*12,IF(MOD(B479,'Input sheet(dashboard)'!$D$19*12),0,'Input sheet(dashboard)'!$D$20*(1+'Input sheet(dashboard)'!$E$22)^Calculations!B480),0)</f>
        <v>0</v>
      </c>
      <c r="AD480" s="17">
        <f t="shared" si="66"/>
        <v>179428.92687957329</v>
      </c>
      <c r="AE480" s="17">
        <f>IF(B480&lt;='Input sheet(dashboard)'!$D$27*12,IF(D480=12,SUM(AD469:AD480),0),0)</f>
        <v>0</v>
      </c>
      <c r="AF480" s="17">
        <f t="shared" si="67"/>
        <v>-106459.14137238146</v>
      </c>
      <c r="AG480" s="17">
        <f t="shared" si="68"/>
        <v>0</v>
      </c>
      <c r="AH480" s="3">
        <f>IF(B480&lt;='Input sheet(dashboard)'!$D$27*12,AH479*(1+'Input sheet(dashboard)'!$E$25)+AG480," ")</f>
        <v>72605461.133312806</v>
      </c>
    </row>
    <row r="481" spans="2:34">
      <c r="B481">
        <f t="shared" si="63"/>
        <v>478</v>
      </c>
      <c r="C481">
        <f t="shared" si="70"/>
        <v>40</v>
      </c>
      <c r="D481">
        <f t="shared" si="71"/>
        <v>10</v>
      </c>
      <c r="E481" s="15">
        <f>IF(C481&lt;='Input sheet(dashboard)'!$D$6, -PMT('Input sheet(dashboard)'!$E$5,'Input sheet(dashboard)'!$D$6*12,'Input sheet(dashboard)'!$D$3*'Input sheet(dashboard)'!$D$4),0)</f>
        <v>0</v>
      </c>
      <c r="F481" s="3">
        <f>I480*'Input sheet(dashboard)'!$E$5</f>
        <v>1.1559304474029864E-11</v>
      </c>
      <c r="G481" s="3">
        <f>IF(C481&lt;='Input sheet(dashboard)'!$D$6,E481*'Input sheet(dashboard)'!$D$7,0)</f>
        <v>0</v>
      </c>
      <c r="H481" s="3">
        <f t="shared" si="64"/>
        <v>-1.1559304474029864E-11</v>
      </c>
      <c r="I481" s="3">
        <f t="shared" si="65"/>
        <v>3.1847613829111096E-9</v>
      </c>
      <c r="J481" s="3">
        <f>IF(B481&lt;='Input sheet(dashboard)'!$D$27*12,'Input sheet(dashboard)'!$D$3*(1+'Input sheet(dashboard)'!$E$24)^B481,0)</f>
        <v>61928712.68785283</v>
      </c>
      <c r="K481" s="3">
        <f>IF(B481&lt;='Input sheet(dashboard)'!$D$27*12,J481*'Input sheet(dashboard)'!$E$8,0)</f>
        <v>64142.417361843189</v>
      </c>
      <c r="L481" s="3">
        <f>IF(B481&lt;='Input sheet(dashboard)'!$D$27*12,'Input sheet(dashboard)'!$D$9*(1+'Input sheet(dashboard)'!$E$22)^B481,0)</f>
        <v>8022.1090157363979</v>
      </c>
      <c r="M481" s="3">
        <f>IF(B481=1,'Input sheet(dashboard)'!$D$3*'Input sheet(dashboard)'!$D$10,0)</f>
        <v>0</v>
      </c>
      <c r="N481" s="3">
        <f>IF(B481='Input sheet(dashboard)'!$D$27*12,J481*'Input sheet(dashboard)'!$D$11,0)</f>
        <v>0</v>
      </c>
      <c r="O481" s="3">
        <f>IF(SUM(F481:F492)&gt;=150000,150000/12*'Input sheet(dashboard)'!$D$28,SUM(F481:F492)/12*'Input sheet(dashboard)'!$D$28)</f>
        <v>1.7690601587286819E-12</v>
      </c>
      <c r="P481" s="3">
        <f t="shared" si="69"/>
        <v>0</v>
      </c>
      <c r="Q481" s="3">
        <f>IF(B481&lt;='Input sheet(dashboard)'!$D$27*12,'Input sheet(dashboard)'!$D$12/12,0)</f>
        <v>192.5</v>
      </c>
      <c r="R481" s="3">
        <f>IF(B481&lt;='Input sheet(dashboard)'!$D$27*12,('Input sheet(dashboard)'!$D$15/12)*(1+'Input sheet(dashboard)'!$E$22)^Calculations!B481,0)</f>
        <v>891.34544619293308</v>
      </c>
      <c r="S481" s="3">
        <f>IF(B481&lt;='Input sheet(dashboard)'!$D$27*12,(E481+G481+K481+L481-O481+M481+Q481+R481),0)</f>
        <v>73248.371823772526</v>
      </c>
      <c r="T481" s="3">
        <f>IF(B481&lt;='Input sheet(dashboard)'!$D$27*12,IF(D481=12,SUM(S470:S481),0),0)</f>
        <v>0</v>
      </c>
      <c r="U481" s="3">
        <f>IF(B481&lt;='Input sheet(dashboard)'!$D$27*12,IF(S481&lt;AD481,AD481-S481,0),0)</f>
        <v>106911.57071427535</v>
      </c>
      <c r="V481" s="3">
        <f>IF(B481&lt;='Input sheet(dashboard)'!$D$27*12,V480*(1+'Input sheet(dashboard)'!$E$25)+U481,0)</f>
        <v>17354095.72486392</v>
      </c>
      <c r="W481" s="17">
        <f>IF(B481&lt;='Input sheet(dashboard)'!$D$27*12,J481-I481+V481-N481,0)</f>
        <v>79282808.412716746</v>
      </c>
      <c r="X481" s="3">
        <f>IF(B481&lt;='Input sheet(dashboard)'!$D$27*12,'Input sheet(dashboard)'!$D$17*(1+'Input sheet(dashboard)'!$E$23)^(B481-1),0)</f>
        <v>180159.94253804788</v>
      </c>
      <c r="Y481" s="3"/>
      <c r="Z481" s="18"/>
      <c r="AA481" s="18"/>
      <c r="AB481" s="3">
        <f>IF(B481=1,'Input sheet(dashboard)'!$D$18*Calculations!X481,IF(Calculations!B481=12*'Input sheet(dashboard)'!$D$27,'Input sheet(dashboard)'!$D$18*-Calculations!X481,0))</f>
        <v>0</v>
      </c>
      <c r="AC481" s="3">
        <f>IF(B481&lt;='Input sheet(dashboard)'!$D$27*12,IF(MOD(B480,'Input sheet(dashboard)'!$D$19*12),0,'Input sheet(dashboard)'!$D$20*(1+'Input sheet(dashboard)'!$E$22)^Calculations!B481),0)</f>
        <v>0</v>
      </c>
      <c r="AD481" s="17">
        <f t="shared" si="66"/>
        <v>180159.94253804788</v>
      </c>
      <c r="AE481" s="17">
        <f>IF(B481&lt;='Input sheet(dashboard)'!$D$27*12,IF(D481=12,SUM(AD470:AD481),0),0)</f>
        <v>0</v>
      </c>
      <c r="AF481" s="17">
        <f t="shared" si="67"/>
        <v>-106911.57071427535</v>
      </c>
      <c r="AG481" s="17">
        <f t="shared" si="68"/>
        <v>0</v>
      </c>
      <c r="AH481" s="3">
        <f>IF(B481&lt;='Input sheet(dashboard)'!$D$27*12,AH480*(1+'Input sheet(dashboard)'!$E$25)+AG481," ")</f>
        <v>73072606.85639523</v>
      </c>
    </row>
    <row r="482" spans="2:34">
      <c r="B482">
        <f t="shared" si="63"/>
        <v>479</v>
      </c>
      <c r="C482">
        <f t="shared" si="70"/>
        <v>40</v>
      </c>
      <c r="D482">
        <f t="shared" si="71"/>
        <v>11</v>
      </c>
      <c r="E482" s="15">
        <f>IF(C482&lt;='Input sheet(dashboard)'!$D$6, -PMT('Input sheet(dashboard)'!$E$5,'Input sheet(dashboard)'!$D$6*12,'Input sheet(dashboard)'!$D$3*'Input sheet(dashboard)'!$D$4),0)</f>
        <v>0</v>
      </c>
      <c r="F482" s="3">
        <f>I481*'Input sheet(dashboard)'!$E$5</f>
        <v>1.1601412577018734E-11</v>
      </c>
      <c r="G482" s="3">
        <f>IF(C482&lt;='Input sheet(dashboard)'!$D$6,E482*'Input sheet(dashboard)'!$D$7,0)</f>
        <v>0</v>
      </c>
      <c r="H482" s="3">
        <f t="shared" si="64"/>
        <v>-1.1601412577018734E-11</v>
      </c>
      <c r="I482" s="3">
        <f t="shared" si="65"/>
        <v>3.1963627954881284E-9</v>
      </c>
      <c r="J482" s="3">
        <f>IF(B482&lt;='Input sheet(dashboard)'!$D$27*12,'Input sheet(dashboard)'!$D$3*(1+'Input sheet(dashboard)'!$E$24)^B482,0)</f>
        <v>62181017.92910514</v>
      </c>
      <c r="K482" s="3">
        <f>IF(B482&lt;='Input sheet(dashboard)'!$D$27*12,J482*'Input sheet(dashboard)'!$E$8,0)</f>
        <v>64403.741509957777</v>
      </c>
      <c r="L482" s="3">
        <f>IF(B482&lt;='Input sheet(dashboard)'!$D$27*12,'Input sheet(dashboard)'!$D$9*(1+'Input sheet(dashboard)'!$E$22)^B482,0)</f>
        <v>8038.6332468476467</v>
      </c>
      <c r="M482" s="3">
        <f>IF(B482=1,'Input sheet(dashboard)'!$D$3*'Input sheet(dashboard)'!$D$10,0)</f>
        <v>0</v>
      </c>
      <c r="N482" s="3">
        <f>IF(B482='Input sheet(dashboard)'!$D$27*12,J482*'Input sheet(dashboard)'!$D$11,0)</f>
        <v>0</v>
      </c>
      <c r="O482" s="3">
        <f>IF(SUM(F482:F493)&gt;=150000,150000/12*'Input sheet(dashboard)'!$D$28,SUM(F482:F493)/12*'Input sheet(dashboard)'!$D$28)</f>
        <v>1.7755044709729534E-12</v>
      </c>
      <c r="P482" s="3">
        <f t="shared" si="69"/>
        <v>0</v>
      </c>
      <c r="Q482" s="3">
        <f>IF(B482&lt;='Input sheet(dashboard)'!$D$27*12,'Input sheet(dashboard)'!$D$12/12,0)</f>
        <v>192.5</v>
      </c>
      <c r="R482" s="3">
        <f>IF(B482&lt;='Input sheet(dashboard)'!$D$27*12,('Input sheet(dashboard)'!$D$15/12)*(1+'Input sheet(dashboard)'!$E$22)^Calculations!B482,0)</f>
        <v>893.18147187196064</v>
      </c>
      <c r="S482" s="3">
        <f>IF(B482&lt;='Input sheet(dashboard)'!$D$27*12,(E482+G482+K482+L482-O482+M482+Q482+R482),0)</f>
        <v>73528.056228677378</v>
      </c>
      <c r="T482" s="3">
        <f>IF(B482&lt;='Input sheet(dashboard)'!$D$27*12,IF(D482=12,SUM(S471:S482),0),0)</f>
        <v>0</v>
      </c>
      <c r="U482" s="3">
        <f>IF(B482&lt;='Input sheet(dashboard)'!$D$27*12,IF(S482&lt;AD482,AD482-S482,0),0)</f>
        <v>107365.88021612547</v>
      </c>
      <c r="V482" s="3">
        <f>IF(B482&lt;='Input sheet(dashboard)'!$D$27*12,V481*(1+'Input sheet(dashboard)'!$E$25)+U482,0)</f>
        <v>17573118.379505701</v>
      </c>
      <c r="W482" s="17">
        <f>IF(B482&lt;='Input sheet(dashboard)'!$D$27*12,J482-I482+V482-N482,0)</f>
        <v>79754136.308610842</v>
      </c>
      <c r="X482" s="3">
        <f>IF(B482&lt;='Input sheet(dashboard)'!$D$27*12,'Input sheet(dashboard)'!$D$17*(1+'Input sheet(dashboard)'!$E$23)^(B482-1),0)</f>
        <v>180893.93644480285</v>
      </c>
      <c r="Y482" s="3"/>
      <c r="Z482" s="18"/>
      <c r="AA482" s="18"/>
      <c r="AB482" s="3">
        <f>IF(B482=1,'Input sheet(dashboard)'!$D$18*Calculations!X482,IF(Calculations!B482=12*'Input sheet(dashboard)'!$D$27,'Input sheet(dashboard)'!$D$18*-Calculations!X482,0))</f>
        <v>0</v>
      </c>
      <c r="AC482" s="3">
        <f>IF(B482&lt;='Input sheet(dashboard)'!$D$27*12,IF(MOD(B481,'Input sheet(dashboard)'!$D$19*12),0,'Input sheet(dashboard)'!$D$20*(1+'Input sheet(dashboard)'!$E$22)^Calculations!B482),0)</f>
        <v>0</v>
      </c>
      <c r="AD482" s="17">
        <f t="shared" si="66"/>
        <v>180893.93644480285</v>
      </c>
      <c r="AE482" s="17">
        <f>IF(B482&lt;='Input sheet(dashboard)'!$D$27*12,IF(D482=12,SUM(AD471:AD482),0),0)</f>
        <v>0</v>
      </c>
      <c r="AF482" s="17">
        <f t="shared" si="67"/>
        <v>-107365.88021612547</v>
      </c>
      <c r="AG482" s="17">
        <f t="shared" si="68"/>
        <v>0</v>
      </c>
      <c r="AH482" s="3">
        <f>IF(B482&lt;='Input sheet(dashboard)'!$D$27*12,AH481*(1+'Input sheet(dashboard)'!$E$25)+AG482," ")</f>
        <v>73542758.209125713</v>
      </c>
    </row>
    <row r="483" spans="2:34">
      <c r="B483">
        <f t="shared" si="63"/>
        <v>480</v>
      </c>
      <c r="C483">
        <f t="shared" si="70"/>
        <v>40</v>
      </c>
      <c r="D483">
        <f t="shared" si="71"/>
        <v>12</v>
      </c>
      <c r="E483" s="15">
        <f>IF(C483&lt;='Input sheet(dashboard)'!$D$6, -PMT('Input sheet(dashboard)'!$E$5,'Input sheet(dashboard)'!$D$6*12,'Input sheet(dashboard)'!$D$3*'Input sheet(dashboard)'!$D$4),0)</f>
        <v>0</v>
      </c>
      <c r="F483" s="3">
        <f>I482*'Input sheet(dashboard)'!$E$5</f>
        <v>1.1643674070926696E-11</v>
      </c>
      <c r="G483" s="3">
        <f>IF(C483&lt;='Input sheet(dashboard)'!$D$6,E483*'Input sheet(dashboard)'!$D$7,0)</f>
        <v>0</v>
      </c>
      <c r="H483" s="3">
        <f t="shared" si="64"/>
        <v>-1.1643674070926696E-11</v>
      </c>
      <c r="I483" s="3">
        <f t="shared" si="65"/>
        <v>3.208006469559055E-9</v>
      </c>
      <c r="J483" s="3">
        <f>IF(B483&lt;='Input sheet(dashboard)'!$D$27*12,'Input sheet(dashboard)'!$D$3*(1+'Input sheet(dashboard)'!$E$24)^B483,0)</f>
        <v>62434351.093141571</v>
      </c>
      <c r="K483" s="3">
        <f>IF(B483&lt;='Input sheet(dashboard)'!$D$27*12,J483*'Input sheet(dashboard)'!$E$8,0)</f>
        <v>64666.130324999431</v>
      </c>
      <c r="L483" s="3">
        <f>IF(B483&lt;='Input sheet(dashboard)'!$D$27*12,'Input sheet(dashboard)'!$D$9*(1+'Input sheet(dashboard)'!$E$22)^B483,0)</f>
        <v>8055.1915151694648</v>
      </c>
      <c r="M483" s="3">
        <f>IF(B483=1,'Input sheet(dashboard)'!$D$3*'Input sheet(dashboard)'!$D$10,0)</f>
        <v>0</v>
      </c>
      <c r="N483" s="3">
        <f>IF(B483='Input sheet(dashboard)'!$D$27*12,J483*'Input sheet(dashboard)'!$D$11,0)</f>
        <v>624343.51093141572</v>
      </c>
      <c r="O483" s="3">
        <f>IF(SUM(F483:F494)&gt;=150000,150000/12*'Input sheet(dashboard)'!$D$28,SUM(F483:F494)/12*'Input sheet(dashboard)'!$D$28)</f>
        <v>1.7819722584846416E-12</v>
      </c>
      <c r="P483" s="3">
        <f t="shared" si="69"/>
        <v>2.2298158766399604E-11</v>
      </c>
      <c r="Q483" s="3">
        <f>IF(B483&lt;='Input sheet(dashboard)'!$D$27*12,'Input sheet(dashboard)'!$D$12/12,0)</f>
        <v>192.5</v>
      </c>
      <c r="R483" s="3">
        <f>IF(B483&lt;='Input sheet(dashboard)'!$D$27*12,('Input sheet(dashboard)'!$D$15/12)*(1+'Input sheet(dashboard)'!$E$22)^Calculations!B483,0)</f>
        <v>895.0212794632738</v>
      </c>
      <c r="S483" s="3">
        <f>IF(B483&lt;='Input sheet(dashboard)'!$D$27*12,(E483+G483+K483+L483-O483+M483+Q483+R483),0)</f>
        <v>73808.843119632162</v>
      </c>
      <c r="T483" s="3">
        <f>IF(B483&lt;='Input sheet(dashboard)'!$D$27*12,IF(D483=12,SUM(S472:S483),0),0)</f>
        <v>867414.56663283403</v>
      </c>
      <c r="U483" s="3">
        <f>IF(B483&lt;='Input sheet(dashboard)'!$D$27*12,IF(S483&lt;AD483,AD483-S483,0),0)</f>
        <v>0</v>
      </c>
      <c r="V483" s="3">
        <f>IF(B483&lt;='Input sheet(dashboard)'!$D$27*12,V482*(1+'Input sheet(dashboard)'!$E$25)+U483,0)</f>
        <v>17686184.352286097</v>
      </c>
      <c r="W483" s="17">
        <f>IF(B483&lt;='Input sheet(dashboard)'!$D$27*12,J483-I483+V483-N483,0)</f>
        <v>79496191.934496254</v>
      </c>
      <c r="X483" s="3">
        <f>IF(B483&lt;='Input sheet(dashboard)'!$D$27*12,'Input sheet(dashboard)'!$D$17*(1+'Input sheet(dashboard)'!$E$23)^(B483-1),0)</f>
        <v>181630.92073359044</v>
      </c>
      <c r="Y483" s="3"/>
      <c r="Z483" s="18"/>
      <c r="AA483" s="18"/>
      <c r="AB483" s="3">
        <f>IF(B483=1,'Input sheet(dashboard)'!$D$18*Calculations!X483,IF(Calculations!B483=12*'Input sheet(dashboard)'!$D$27,'Input sheet(dashboard)'!$D$18*-Calculations!X483,0))</f>
        <v>-363261.84146718087</v>
      </c>
      <c r="AC483" s="3">
        <f>IF(B483&lt;='Input sheet(dashboard)'!$D$27*12,IF(MOD(B482,'Input sheet(dashboard)'!$D$19*12),0,'Input sheet(dashboard)'!$D$20*(1+'Input sheet(dashboard)'!$E$22)^Calculations!B483),0)</f>
        <v>0</v>
      </c>
      <c r="AD483" s="17">
        <f t="shared" si="66"/>
        <v>-181630.92073359044</v>
      </c>
      <c r="AE483" s="17">
        <f>IF(B483&lt;='Input sheet(dashboard)'!$D$27*12,IF(D483=12,SUM(AD472:AD483),0),0)</f>
        <v>1789319.9238929832</v>
      </c>
      <c r="AF483" s="17">
        <f t="shared" si="67"/>
        <v>255439.7638532226</v>
      </c>
      <c r="AG483" s="17">
        <f t="shared" si="68"/>
        <v>255439.7638532226</v>
      </c>
      <c r="AH483" s="3">
        <f>IF(B483&lt;='Input sheet(dashboard)'!$D$27*12,AH482*(1+'Input sheet(dashboard)'!$E$25)+AG483," ")</f>
        <v>74271374.293669149</v>
      </c>
    </row>
    <row r="484" spans="2:34">
      <c r="B484">
        <f t="shared" si="63"/>
        <v>481</v>
      </c>
      <c r="C484">
        <f t="shared" si="70"/>
        <v>41</v>
      </c>
      <c r="D484">
        <f t="shared" si="71"/>
        <v>1</v>
      </c>
      <c r="E484" s="15">
        <f>IF(C484&lt;='Input sheet(dashboard)'!$D$6, -PMT('Input sheet(dashboard)'!$E$5,'Input sheet(dashboard)'!$D$6*12,'Input sheet(dashboard)'!$D$3*'Input sheet(dashboard)'!$D$4),0)</f>
        <v>0</v>
      </c>
      <c r="F484" s="3">
        <f>I483*'Input sheet(dashboard)'!$E$5</f>
        <v>1.1686089514524445E-11</v>
      </c>
      <c r="G484" s="3">
        <f>IF(C484&lt;='Input sheet(dashboard)'!$D$6,E484*'Input sheet(dashboard)'!$D$7,0)</f>
        <v>0</v>
      </c>
      <c r="H484" s="3">
        <f t="shared" si="64"/>
        <v>-1.1686089514524445E-11</v>
      </c>
      <c r="I484" s="3">
        <f t="shared" si="65"/>
        <v>3.2196925590735795E-9</v>
      </c>
      <c r="J484" s="3">
        <f>IF(B484&lt;='Input sheet(dashboard)'!$D$27*12,'Input sheet(dashboard)'!$D$3*(1+'Input sheet(dashboard)'!$E$24)^B484,0)</f>
        <v>0</v>
      </c>
      <c r="K484" s="3">
        <f>IF(B484&lt;='Input sheet(dashboard)'!$D$27*12,J484*'Input sheet(dashboard)'!$E$8,0)</f>
        <v>0</v>
      </c>
      <c r="L484" s="3">
        <f>IF(B484&lt;='Input sheet(dashboard)'!$D$27*12,'Input sheet(dashboard)'!$D$9*(1+'Input sheet(dashboard)'!$E$22)^B484,0)</f>
        <v>0</v>
      </c>
      <c r="M484" s="3">
        <f>IF(B484=1,'Input sheet(dashboard)'!$D$3*'Input sheet(dashboard)'!$D$10,0)</f>
        <v>0</v>
      </c>
      <c r="N484" s="3">
        <f>IF(B484='Input sheet(dashboard)'!$D$27*12,J484*'Input sheet(dashboard)'!$D$11,0)</f>
        <v>0</v>
      </c>
      <c r="O484" s="3">
        <f>IF(SUM(F484:F495)&gt;=150000,150000/12*'Input sheet(dashboard)'!$D$28,SUM(F484:F495)/12*'Input sheet(dashboard)'!$D$28)</f>
        <v>1.7884636067791832E-12</v>
      </c>
      <c r="P484" s="3">
        <f t="shared" si="69"/>
        <v>0</v>
      </c>
      <c r="Q484" s="3">
        <f>IF(B484&lt;='Input sheet(dashboard)'!$D$27*12,'Input sheet(dashboard)'!$D$12/12,0)</f>
        <v>0</v>
      </c>
      <c r="R484" s="3">
        <f>IF(B484&lt;='Input sheet(dashboard)'!$D$27*12,('Input sheet(dashboard)'!$D$15/12)*(1+'Input sheet(dashboard)'!$E$22)^Calculations!B484,0)</f>
        <v>0</v>
      </c>
      <c r="S484" s="3">
        <f>IF(B484&lt;='Input sheet(dashboard)'!$D$27*12,(E484+G484+K484+L484-O484+M484+Q484+R484),0)</f>
        <v>0</v>
      </c>
      <c r="T484" s="3">
        <f>IF(B484&lt;='Input sheet(dashboard)'!$D$27*12,IF(D484=12,SUM(S473:S484),0),0)</f>
        <v>0</v>
      </c>
      <c r="U484" s="3">
        <f>IF(B484&lt;='Input sheet(dashboard)'!$D$27*12,IF(S484&lt;AD484,AD484-S484,0),0)</f>
        <v>0</v>
      </c>
      <c r="V484" s="3">
        <f>IF(B484&lt;='Input sheet(dashboard)'!$D$27*12,V483*(1+'Input sheet(dashboard)'!$E$25)+U484,0)</f>
        <v>0</v>
      </c>
      <c r="W484" s="17">
        <f>IF(B484&lt;='Input sheet(dashboard)'!$D$27*12,J484-I484+V484-N484,0)</f>
        <v>0</v>
      </c>
      <c r="X484" s="3">
        <f>IF(B484&lt;='Input sheet(dashboard)'!$D$27*12,'Input sheet(dashboard)'!$D$17*(1+'Input sheet(dashboard)'!$E$23)^(B484-1),0)</f>
        <v>0</v>
      </c>
      <c r="Y484" s="3"/>
      <c r="Z484" s="18"/>
      <c r="AA484" s="18"/>
      <c r="AB484" s="3">
        <f>IF(B484=1,'Input sheet(dashboard)'!$D$18*Calculations!X484,IF(Calculations!B484=12*'Input sheet(dashboard)'!$D$27,'Input sheet(dashboard)'!$D$18*-Calculations!X484,0))</f>
        <v>0</v>
      </c>
      <c r="AC484" s="3">
        <f>IF(B484&lt;='Input sheet(dashboard)'!$D$27*12,IF(MOD(B483,'Input sheet(dashboard)'!$D$19*12),0,'Input sheet(dashboard)'!$D$20*(1+'Input sheet(dashboard)'!$E$22)^Calculations!B484),0)</f>
        <v>0</v>
      </c>
      <c r="AD484" s="17">
        <f t="shared" si="66"/>
        <v>0</v>
      </c>
      <c r="AE484" s="17">
        <f>IF(B484&lt;='Input sheet(dashboard)'!$D$27*12,IF(D484=12,SUM(AD473:AD484),0),0)</f>
        <v>0</v>
      </c>
      <c r="AF484" s="17">
        <f t="shared" si="67"/>
        <v>0</v>
      </c>
      <c r="AG484" s="17">
        <f t="shared" si="68"/>
        <v>0</v>
      </c>
      <c r="AH484" s="3" t="str">
        <f>IF(B484&lt;='Input sheet(dashboard)'!$D$27*12,AH483*(1+'Input sheet(dashboard)'!$E$25)+AG484," ")</f>
        <v xml:space="preserve"> </v>
      </c>
    </row>
    <row r="485" spans="2:34">
      <c r="B485">
        <f t="shared" si="63"/>
        <v>482</v>
      </c>
      <c r="C485">
        <f t="shared" si="70"/>
        <v>41</v>
      </c>
      <c r="D485">
        <f t="shared" si="71"/>
        <v>2</v>
      </c>
      <c r="E485" s="15">
        <f>IF(C485&lt;='Input sheet(dashboard)'!$D$6, -PMT('Input sheet(dashboard)'!$E$5,'Input sheet(dashboard)'!$D$6*12,'Input sheet(dashboard)'!$D$3*'Input sheet(dashboard)'!$D$4),0)</f>
        <v>0</v>
      </c>
      <c r="F485" s="3">
        <f>I484*'Input sheet(dashboard)'!$E$5</f>
        <v>1.1728659468618163E-11</v>
      </c>
      <c r="G485" s="3">
        <f>IF(C485&lt;='Input sheet(dashboard)'!$D$6,E485*'Input sheet(dashboard)'!$D$7,0)</f>
        <v>0</v>
      </c>
      <c r="H485" s="3">
        <f t="shared" si="64"/>
        <v>-1.1728659468618163E-11</v>
      </c>
      <c r="I485" s="3">
        <f t="shared" si="65"/>
        <v>3.2314212185421976E-9</v>
      </c>
      <c r="J485" s="3">
        <f>IF(B485&lt;='Input sheet(dashboard)'!$D$27*12,'Input sheet(dashboard)'!$D$3*(1+'Input sheet(dashboard)'!$E$24)^B485,0)</f>
        <v>0</v>
      </c>
      <c r="K485" s="3">
        <f>IF(B485&lt;='Input sheet(dashboard)'!$D$27*12,J485*'Input sheet(dashboard)'!$E$8,0)</f>
        <v>0</v>
      </c>
      <c r="L485" s="3">
        <f>IF(B485&lt;='Input sheet(dashboard)'!$D$27*12,'Input sheet(dashboard)'!$D$9*(1+'Input sheet(dashboard)'!$E$22)^B485,0)</f>
        <v>0</v>
      </c>
      <c r="M485" s="3">
        <f>IF(B485=1,'Input sheet(dashboard)'!$D$3*'Input sheet(dashboard)'!$D$10,0)</f>
        <v>0</v>
      </c>
      <c r="N485" s="3">
        <f>IF(B485='Input sheet(dashboard)'!$D$27*12,J485*'Input sheet(dashboard)'!$D$11,0)</f>
        <v>0</v>
      </c>
      <c r="O485" s="3">
        <f>IF(SUM(F485:F496)&gt;=150000,150000/12*'Input sheet(dashboard)'!$D$28,SUM(F485:F496)/12*'Input sheet(dashboard)'!$D$28)</f>
        <v>1.7949786016835307E-12</v>
      </c>
      <c r="P485" s="3">
        <f t="shared" si="69"/>
        <v>0</v>
      </c>
      <c r="Q485" s="3">
        <f>IF(B485&lt;='Input sheet(dashboard)'!$D$27*12,'Input sheet(dashboard)'!$D$12/12,0)</f>
        <v>0</v>
      </c>
      <c r="R485" s="3">
        <f>IF(B485&lt;='Input sheet(dashboard)'!$D$27*12,('Input sheet(dashboard)'!$D$15/12)*(1+'Input sheet(dashboard)'!$E$22)^Calculations!B485,0)</f>
        <v>0</v>
      </c>
      <c r="S485" s="3">
        <f>IF(B485&lt;='Input sheet(dashboard)'!$D$27*12,(E485+G485+K485+L485-O485+M485+Q485+R485),0)</f>
        <v>0</v>
      </c>
      <c r="T485" s="3">
        <f>IF(B485&lt;='Input sheet(dashboard)'!$D$27*12,IF(D485=12,SUM(S474:S485),0),0)</f>
        <v>0</v>
      </c>
      <c r="U485" s="3">
        <f>IF(B485&lt;='Input sheet(dashboard)'!$D$27*12,IF(S485&lt;AD485,AD485-S485,0),0)</f>
        <v>0</v>
      </c>
      <c r="V485" s="3">
        <f>IF(B485&lt;='Input sheet(dashboard)'!$D$27*12,V484*(1+'Input sheet(dashboard)'!$E$25)+U485,0)</f>
        <v>0</v>
      </c>
      <c r="W485" s="17">
        <f>IF(B485&lt;='Input sheet(dashboard)'!$D$27*12,J485-I485+V485-N485,0)</f>
        <v>0</v>
      </c>
      <c r="X485" s="3">
        <f>IF(B485&lt;='Input sheet(dashboard)'!$D$27*12,'Input sheet(dashboard)'!$D$17*(1+'Input sheet(dashboard)'!$E$23)^(B485-1),0)</f>
        <v>0</v>
      </c>
      <c r="Y485" s="3"/>
      <c r="Z485" s="18"/>
      <c r="AA485" s="18"/>
      <c r="AB485" s="3">
        <f>IF(B485=1,'Input sheet(dashboard)'!$D$18*Calculations!X485,IF(Calculations!B485=12*'Input sheet(dashboard)'!$D$27,'Input sheet(dashboard)'!$D$18*-Calculations!X485,0))</f>
        <v>0</v>
      </c>
      <c r="AC485" s="3">
        <f>IF(B485&lt;='Input sheet(dashboard)'!$D$27*12,IF(MOD(B484,'Input sheet(dashboard)'!$D$19*12),0,'Input sheet(dashboard)'!$D$20*(1+'Input sheet(dashboard)'!$E$22)^Calculations!B485),0)</f>
        <v>0</v>
      </c>
      <c r="AD485" s="17">
        <f t="shared" si="66"/>
        <v>0</v>
      </c>
      <c r="AE485" s="17">
        <f>IF(B485&lt;='Input sheet(dashboard)'!$D$27*12,IF(D485=12,SUM(AD474:AD485),0),0)</f>
        <v>0</v>
      </c>
      <c r="AF485" s="17">
        <f t="shared" si="67"/>
        <v>0</v>
      </c>
      <c r="AG485" s="17">
        <f t="shared" si="68"/>
        <v>0</v>
      </c>
      <c r="AH485" s="3" t="str">
        <f>IF(B485&lt;='Input sheet(dashboard)'!$D$27*12,AH484*(1+'Input sheet(dashboard)'!$E$25)+AG485," ")</f>
        <v xml:space="preserve"> </v>
      </c>
    </row>
    <row r="486" spans="2:34">
      <c r="B486">
        <f t="shared" si="63"/>
        <v>483</v>
      </c>
      <c r="C486">
        <f t="shared" si="70"/>
        <v>41</v>
      </c>
      <c r="D486">
        <f t="shared" si="71"/>
        <v>3</v>
      </c>
      <c r="E486" s="15">
        <f>IF(C486&lt;='Input sheet(dashboard)'!$D$6, -PMT('Input sheet(dashboard)'!$E$5,'Input sheet(dashboard)'!$D$6*12,'Input sheet(dashboard)'!$D$3*'Input sheet(dashboard)'!$D$4),0)</f>
        <v>0</v>
      </c>
      <c r="F486" s="3">
        <f>I485*'Input sheet(dashboard)'!$E$5</f>
        <v>1.1771384496056927E-11</v>
      </c>
      <c r="G486" s="3">
        <f>IF(C486&lt;='Input sheet(dashboard)'!$D$6,E486*'Input sheet(dashboard)'!$D$7,0)</f>
        <v>0</v>
      </c>
      <c r="H486" s="3">
        <f t="shared" si="64"/>
        <v>-1.1771384496056927E-11</v>
      </c>
      <c r="I486" s="3">
        <f t="shared" si="65"/>
        <v>3.2431926030382545E-9</v>
      </c>
      <c r="J486" s="3">
        <f>IF(B486&lt;='Input sheet(dashboard)'!$D$27*12,'Input sheet(dashboard)'!$D$3*(1+'Input sheet(dashboard)'!$E$24)^B486,0)</f>
        <v>0</v>
      </c>
      <c r="K486" s="3">
        <f>IF(B486&lt;='Input sheet(dashboard)'!$D$27*12,J486*'Input sheet(dashboard)'!$E$8,0)</f>
        <v>0</v>
      </c>
      <c r="L486" s="3">
        <f>IF(B486&lt;='Input sheet(dashboard)'!$D$27*12,'Input sheet(dashboard)'!$D$9*(1+'Input sheet(dashboard)'!$E$22)^B486,0)</f>
        <v>0</v>
      </c>
      <c r="M486" s="3">
        <f>IF(B486=1,'Input sheet(dashboard)'!$D$3*'Input sheet(dashboard)'!$D$10,0)</f>
        <v>0</v>
      </c>
      <c r="N486" s="3">
        <f>IF(B486='Input sheet(dashboard)'!$D$27*12,J486*'Input sheet(dashboard)'!$D$11,0)</f>
        <v>0</v>
      </c>
      <c r="O486" s="3">
        <f>IF(SUM(F486:F497)&gt;=150000,150000/12*'Input sheet(dashboard)'!$D$28,SUM(F486:F497)/12*'Input sheet(dashboard)'!$D$28)</f>
        <v>1.8015173293372852E-12</v>
      </c>
      <c r="P486" s="3">
        <f t="shared" si="69"/>
        <v>0</v>
      </c>
      <c r="Q486" s="3">
        <f>IF(B486&lt;='Input sheet(dashboard)'!$D$27*12,'Input sheet(dashboard)'!$D$12/12,0)</f>
        <v>0</v>
      </c>
      <c r="R486" s="3">
        <f>IF(B486&lt;='Input sheet(dashboard)'!$D$27*12,('Input sheet(dashboard)'!$D$15/12)*(1+'Input sheet(dashboard)'!$E$22)^Calculations!B486,0)</f>
        <v>0</v>
      </c>
      <c r="S486" s="3">
        <f>IF(B486&lt;='Input sheet(dashboard)'!$D$27*12,(E486+G486+K486+L486-O486+M486+Q486+R486),0)</f>
        <v>0</v>
      </c>
      <c r="T486" s="3">
        <f>IF(B486&lt;='Input sheet(dashboard)'!$D$27*12,IF(D486=12,SUM(S475:S486),0),0)</f>
        <v>0</v>
      </c>
      <c r="U486" s="3">
        <f>IF(B486&lt;='Input sheet(dashboard)'!$D$27*12,IF(S486&lt;AD486,AD486-S486,0),0)</f>
        <v>0</v>
      </c>
      <c r="V486" s="3">
        <f>IF(B486&lt;='Input sheet(dashboard)'!$D$27*12,V485*(1+'Input sheet(dashboard)'!$E$25)+U486,0)</f>
        <v>0</v>
      </c>
      <c r="W486" s="17">
        <f>IF(B486&lt;='Input sheet(dashboard)'!$D$27*12,J486-I486+V486-N486,0)</f>
        <v>0</v>
      </c>
      <c r="X486" s="3">
        <f>IF(B486&lt;='Input sheet(dashboard)'!$D$27*12,'Input sheet(dashboard)'!$D$17*(1+'Input sheet(dashboard)'!$E$23)^(B486-1),0)</f>
        <v>0</v>
      </c>
      <c r="Y486" s="3"/>
      <c r="Z486" s="18"/>
      <c r="AA486" s="18"/>
      <c r="AB486" s="3">
        <f>IF(B486=1,'Input sheet(dashboard)'!$D$18*Calculations!X486,IF(Calculations!B486=12*'Input sheet(dashboard)'!$D$27,'Input sheet(dashboard)'!$D$18*-Calculations!X486,0))</f>
        <v>0</v>
      </c>
      <c r="AC486" s="3">
        <f>IF(B486&lt;='Input sheet(dashboard)'!$D$27*12,IF(MOD(B485,'Input sheet(dashboard)'!$D$19*12),0,'Input sheet(dashboard)'!$D$20*(1+'Input sheet(dashboard)'!$E$22)^Calculations!B486),0)</f>
        <v>0</v>
      </c>
      <c r="AD486" s="17">
        <f t="shared" si="66"/>
        <v>0</v>
      </c>
      <c r="AE486" s="17">
        <f>IF(B486&lt;='Input sheet(dashboard)'!$D$27*12,IF(D486=12,SUM(AD475:AD486),0),0)</f>
        <v>0</v>
      </c>
      <c r="AF486" s="17">
        <f t="shared" si="67"/>
        <v>0</v>
      </c>
      <c r="AG486" s="17">
        <f t="shared" si="68"/>
        <v>0</v>
      </c>
      <c r="AH486" s="3" t="str">
        <f>IF(B486&lt;='Input sheet(dashboard)'!$D$27*12,AH485*(1+'Input sheet(dashboard)'!$E$25)+AG486," ")</f>
        <v xml:space="preserve"> </v>
      </c>
    </row>
    <row r="487" spans="2:34">
      <c r="B487">
        <f t="shared" si="63"/>
        <v>484</v>
      </c>
      <c r="C487">
        <f t="shared" si="70"/>
        <v>41</v>
      </c>
      <c r="D487">
        <f t="shared" si="71"/>
        <v>4</v>
      </c>
      <c r="E487" s="15">
        <f>IF(C487&lt;='Input sheet(dashboard)'!$D$6, -PMT('Input sheet(dashboard)'!$E$5,'Input sheet(dashboard)'!$D$6*12,'Input sheet(dashboard)'!$D$3*'Input sheet(dashboard)'!$D$4),0)</f>
        <v>0</v>
      </c>
      <c r="F487" s="3">
        <f>I486*'Input sheet(dashboard)'!$E$5</f>
        <v>1.1814265161740159E-11</v>
      </c>
      <c r="G487" s="3">
        <f>IF(C487&lt;='Input sheet(dashboard)'!$D$6,E487*'Input sheet(dashboard)'!$D$7,0)</f>
        <v>0</v>
      </c>
      <c r="H487" s="3">
        <f t="shared" si="64"/>
        <v>-1.1814265161740159E-11</v>
      </c>
      <c r="I487" s="3">
        <f t="shared" si="65"/>
        <v>3.2550068681999948E-9</v>
      </c>
      <c r="J487" s="3">
        <f>IF(B487&lt;='Input sheet(dashboard)'!$D$27*12,'Input sheet(dashboard)'!$D$3*(1+'Input sheet(dashboard)'!$E$24)^B487,0)</f>
        <v>0</v>
      </c>
      <c r="K487" s="3">
        <f>IF(B487&lt;='Input sheet(dashboard)'!$D$27*12,J487*'Input sheet(dashboard)'!$E$8,0)</f>
        <v>0</v>
      </c>
      <c r="L487" s="3">
        <f>IF(B487&lt;='Input sheet(dashboard)'!$D$27*12,'Input sheet(dashboard)'!$D$9*(1+'Input sheet(dashboard)'!$E$22)^B487,0)</f>
        <v>0</v>
      </c>
      <c r="M487" s="3">
        <f>IF(B487=1,'Input sheet(dashboard)'!$D$3*'Input sheet(dashboard)'!$D$10,0)</f>
        <v>0</v>
      </c>
      <c r="N487" s="3">
        <f>IF(B487='Input sheet(dashboard)'!$D$27*12,J487*'Input sheet(dashboard)'!$D$11,0)</f>
        <v>0</v>
      </c>
      <c r="O487" s="3">
        <f>IF(SUM(F487:F498)&gt;=150000,150000/12*'Input sheet(dashboard)'!$D$28,SUM(F487:F498)/12*'Input sheet(dashboard)'!$D$28)</f>
        <v>1.8080798761938373E-12</v>
      </c>
      <c r="P487" s="3">
        <f t="shared" si="69"/>
        <v>0</v>
      </c>
      <c r="Q487" s="3">
        <f>IF(B487&lt;='Input sheet(dashboard)'!$D$27*12,'Input sheet(dashboard)'!$D$12/12,0)</f>
        <v>0</v>
      </c>
      <c r="R487" s="3">
        <f>IF(B487&lt;='Input sheet(dashboard)'!$D$27*12,('Input sheet(dashboard)'!$D$15/12)*(1+'Input sheet(dashboard)'!$E$22)^Calculations!B487,0)</f>
        <v>0</v>
      </c>
      <c r="S487" s="3">
        <f>IF(B487&lt;='Input sheet(dashboard)'!$D$27*12,(E487+G487+K487+L487-O487+M487+Q487+R487),0)</f>
        <v>0</v>
      </c>
      <c r="T487" s="3">
        <f>IF(B487&lt;='Input sheet(dashboard)'!$D$27*12,IF(D487=12,SUM(S476:S487),0),0)</f>
        <v>0</v>
      </c>
      <c r="U487" s="3">
        <f>IF(B487&lt;='Input sheet(dashboard)'!$D$27*12,IF(S487&lt;AD487,AD487-S487,0),0)</f>
        <v>0</v>
      </c>
      <c r="V487" s="3">
        <f>IF(B487&lt;='Input sheet(dashboard)'!$D$27*12,V486*(1+'Input sheet(dashboard)'!$E$25)+U487,0)</f>
        <v>0</v>
      </c>
      <c r="W487" s="17">
        <f>IF(B487&lt;='Input sheet(dashboard)'!$D$27*12,J487-I487+V487-N487,0)</f>
        <v>0</v>
      </c>
      <c r="X487" s="3">
        <f>IF(B487&lt;='Input sheet(dashboard)'!$D$27*12,'Input sheet(dashboard)'!$D$17*(1+'Input sheet(dashboard)'!$E$23)^(B487-1),0)</f>
        <v>0</v>
      </c>
      <c r="Y487" s="3"/>
      <c r="Z487" s="18"/>
      <c r="AA487" s="18"/>
      <c r="AB487" s="3">
        <f>IF(B487=1,'Input sheet(dashboard)'!$D$18*Calculations!X487,IF(Calculations!B487=12*'Input sheet(dashboard)'!$D$27,'Input sheet(dashboard)'!$D$18*-Calculations!X487,0))</f>
        <v>0</v>
      </c>
      <c r="AC487" s="3">
        <f>IF(B487&lt;='Input sheet(dashboard)'!$D$27*12,IF(MOD(B486,'Input sheet(dashboard)'!$D$19*12),0,'Input sheet(dashboard)'!$D$20*(1+'Input sheet(dashboard)'!$E$22)^Calculations!B487),0)</f>
        <v>0</v>
      </c>
      <c r="AD487" s="17">
        <f t="shared" si="66"/>
        <v>0</v>
      </c>
      <c r="AE487" s="17">
        <f>IF(B487&lt;='Input sheet(dashboard)'!$D$27*12,IF(D487=12,SUM(AD476:AD487),0),0)</f>
        <v>0</v>
      </c>
      <c r="AF487" s="17">
        <f t="shared" si="67"/>
        <v>0</v>
      </c>
      <c r="AG487" s="17">
        <f t="shared" si="68"/>
        <v>0</v>
      </c>
      <c r="AH487" s="3" t="str">
        <f>IF(B487&lt;='Input sheet(dashboard)'!$D$27*12,AH486*(1+'Input sheet(dashboard)'!$E$25)+AG487," ")</f>
        <v xml:space="preserve"> </v>
      </c>
    </row>
    <row r="488" spans="2:34">
      <c r="B488">
        <f t="shared" si="63"/>
        <v>485</v>
      </c>
      <c r="C488">
        <f t="shared" si="70"/>
        <v>41</v>
      </c>
      <c r="D488">
        <f t="shared" si="71"/>
        <v>5</v>
      </c>
      <c r="E488" s="15">
        <f>IF(C488&lt;='Input sheet(dashboard)'!$D$6, -PMT('Input sheet(dashboard)'!$E$5,'Input sheet(dashboard)'!$D$6*12,'Input sheet(dashboard)'!$D$3*'Input sheet(dashboard)'!$D$4),0)</f>
        <v>0</v>
      </c>
      <c r="F488" s="3">
        <f>I487*'Input sheet(dashboard)'!$E$5</f>
        <v>1.1857302032625086E-11</v>
      </c>
      <c r="G488" s="3">
        <f>IF(C488&lt;='Input sheet(dashboard)'!$D$6,E488*'Input sheet(dashboard)'!$D$7,0)</f>
        <v>0</v>
      </c>
      <c r="H488" s="3">
        <f t="shared" si="64"/>
        <v>-1.1857302032625086E-11</v>
      </c>
      <c r="I488" s="3">
        <f t="shared" si="65"/>
        <v>3.2668641702326199E-9</v>
      </c>
      <c r="J488" s="3">
        <f>IF(B488&lt;='Input sheet(dashboard)'!$D$27*12,'Input sheet(dashboard)'!$D$3*(1+'Input sheet(dashboard)'!$E$24)^B488,0)</f>
        <v>0</v>
      </c>
      <c r="K488" s="3">
        <f>IF(B488&lt;='Input sheet(dashboard)'!$D$27*12,J488*'Input sheet(dashboard)'!$E$8,0)</f>
        <v>0</v>
      </c>
      <c r="L488" s="3">
        <f>IF(B488&lt;='Input sheet(dashboard)'!$D$27*12,'Input sheet(dashboard)'!$D$9*(1+'Input sheet(dashboard)'!$E$22)^B488,0)</f>
        <v>0</v>
      </c>
      <c r="M488" s="3">
        <f>IF(B488=1,'Input sheet(dashboard)'!$D$3*'Input sheet(dashboard)'!$D$10,0)</f>
        <v>0</v>
      </c>
      <c r="N488" s="3">
        <f>IF(B488='Input sheet(dashboard)'!$D$27*12,J488*'Input sheet(dashboard)'!$D$11,0)</f>
        <v>0</v>
      </c>
      <c r="O488" s="3">
        <f>IF(SUM(F488:F499)&gt;=150000,150000/12*'Input sheet(dashboard)'!$D$28,SUM(F488:F499)/12*'Input sheet(dashboard)'!$D$28)</f>
        <v>1.8146663290215073E-12</v>
      </c>
      <c r="P488" s="3">
        <f t="shared" si="69"/>
        <v>0</v>
      </c>
      <c r="Q488" s="3">
        <f>IF(B488&lt;='Input sheet(dashboard)'!$D$27*12,'Input sheet(dashboard)'!$D$12/12,0)</f>
        <v>0</v>
      </c>
      <c r="R488" s="3">
        <f>IF(B488&lt;='Input sheet(dashboard)'!$D$27*12,('Input sheet(dashboard)'!$D$15/12)*(1+'Input sheet(dashboard)'!$E$22)^Calculations!B488,0)</f>
        <v>0</v>
      </c>
      <c r="S488" s="3">
        <f>IF(B488&lt;='Input sheet(dashboard)'!$D$27*12,(E488+G488+K488+L488-O488+M488+Q488+R488),0)</f>
        <v>0</v>
      </c>
      <c r="T488" s="3">
        <f>IF(B488&lt;='Input sheet(dashboard)'!$D$27*12,IF(D488=12,SUM(S477:S488),0),0)</f>
        <v>0</v>
      </c>
      <c r="U488" s="3">
        <f>IF(B488&lt;='Input sheet(dashboard)'!$D$27*12,IF(S488&lt;AD488,AD488-S488,0),0)</f>
        <v>0</v>
      </c>
      <c r="V488" s="3">
        <f>IF(B488&lt;='Input sheet(dashboard)'!$D$27*12,V487*(1+'Input sheet(dashboard)'!$E$25)+U488,0)</f>
        <v>0</v>
      </c>
      <c r="W488" s="17">
        <f>IF(B488&lt;='Input sheet(dashboard)'!$D$27*12,J488-I488+V488-N488,0)</f>
        <v>0</v>
      </c>
      <c r="X488" s="3">
        <f>IF(B488&lt;='Input sheet(dashboard)'!$D$27*12,'Input sheet(dashboard)'!$D$17*(1+'Input sheet(dashboard)'!$E$23)^(B488-1),0)</f>
        <v>0</v>
      </c>
      <c r="Y488" s="3"/>
      <c r="Z488" s="18"/>
      <c r="AA488" s="18"/>
      <c r="AB488" s="3">
        <f>IF(B488=1,'Input sheet(dashboard)'!$D$18*Calculations!X488,IF(Calculations!B488=12*'Input sheet(dashboard)'!$D$27,'Input sheet(dashboard)'!$D$18*-Calculations!X488,0))</f>
        <v>0</v>
      </c>
      <c r="AC488" s="3">
        <f>IF(B488&lt;='Input sheet(dashboard)'!$D$27*12,IF(MOD(B487,'Input sheet(dashboard)'!$D$19*12),0,'Input sheet(dashboard)'!$D$20*(1+'Input sheet(dashboard)'!$E$22)^Calculations!B488),0)</f>
        <v>0</v>
      </c>
      <c r="AD488" s="17">
        <f t="shared" si="66"/>
        <v>0</v>
      </c>
      <c r="AE488" s="17">
        <f>IF(B488&lt;='Input sheet(dashboard)'!$D$27*12,IF(D488=12,SUM(AD477:AD488),0),0)</f>
        <v>0</v>
      </c>
      <c r="AF488" s="17">
        <f t="shared" si="67"/>
        <v>0</v>
      </c>
      <c r="AG488" s="17">
        <f t="shared" si="68"/>
        <v>0</v>
      </c>
      <c r="AH488" s="3" t="str">
        <f>IF(B488&lt;='Input sheet(dashboard)'!$D$27*12,AH487*(1+'Input sheet(dashboard)'!$E$25)+AG488," ")</f>
        <v xml:space="preserve"> </v>
      </c>
    </row>
    <row r="489" spans="2:34">
      <c r="B489">
        <f t="shared" si="63"/>
        <v>486</v>
      </c>
      <c r="C489">
        <f t="shared" si="70"/>
        <v>41</v>
      </c>
      <c r="D489">
        <f t="shared" si="71"/>
        <v>6</v>
      </c>
      <c r="E489" s="15">
        <f>IF(C489&lt;='Input sheet(dashboard)'!$D$6, -PMT('Input sheet(dashboard)'!$E$5,'Input sheet(dashboard)'!$D$6*12,'Input sheet(dashboard)'!$D$3*'Input sheet(dashboard)'!$D$4),0)</f>
        <v>0</v>
      </c>
      <c r="F489" s="3">
        <f>I488*'Input sheet(dashboard)'!$E$5</f>
        <v>1.1900495677734242E-11</v>
      </c>
      <c r="G489" s="3">
        <f>IF(C489&lt;='Input sheet(dashboard)'!$D$6,E489*'Input sheet(dashboard)'!$D$7,0)</f>
        <v>0</v>
      </c>
      <c r="H489" s="3">
        <f t="shared" si="64"/>
        <v>-1.1900495677734242E-11</v>
      </c>
      <c r="I489" s="3">
        <f t="shared" si="65"/>
        <v>3.278764665910354E-9</v>
      </c>
      <c r="J489" s="3">
        <f>IF(B489&lt;='Input sheet(dashboard)'!$D$27*12,'Input sheet(dashboard)'!$D$3*(1+'Input sheet(dashboard)'!$E$24)^B489,0)</f>
        <v>0</v>
      </c>
      <c r="K489" s="3">
        <f>IF(B489&lt;='Input sheet(dashboard)'!$D$27*12,J489*'Input sheet(dashboard)'!$E$8,0)</f>
        <v>0</v>
      </c>
      <c r="L489" s="3">
        <f>IF(B489&lt;='Input sheet(dashboard)'!$D$27*12,'Input sheet(dashboard)'!$D$9*(1+'Input sheet(dashboard)'!$E$22)^B489,0)</f>
        <v>0</v>
      </c>
      <c r="M489" s="3">
        <f>IF(B489=1,'Input sheet(dashboard)'!$D$3*'Input sheet(dashboard)'!$D$10,0)</f>
        <v>0</v>
      </c>
      <c r="N489" s="3">
        <f>IF(B489='Input sheet(dashboard)'!$D$27*12,J489*'Input sheet(dashboard)'!$D$11,0)</f>
        <v>0</v>
      </c>
      <c r="O489" s="3">
        <f>IF(SUM(F489:F500)&gt;=150000,150000/12*'Input sheet(dashboard)'!$D$28,SUM(F489:F500)/12*'Input sheet(dashboard)'!$D$28)</f>
        <v>1.8212767749046956E-12</v>
      </c>
      <c r="P489" s="3">
        <f t="shared" si="69"/>
        <v>0</v>
      </c>
      <c r="Q489" s="3">
        <f>IF(B489&lt;='Input sheet(dashboard)'!$D$27*12,'Input sheet(dashboard)'!$D$12/12,0)</f>
        <v>0</v>
      </c>
      <c r="R489" s="3">
        <f>IF(B489&lt;='Input sheet(dashboard)'!$D$27*12,('Input sheet(dashboard)'!$D$15/12)*(1+'Input sheet(dashboard)'!$E$22)^Calculations!B489,0)</f>
        <v>0</v>
      </c>
      <c r="S489" s="3">
        <f>IF(B489&lt;='Input sheet(dashboard)'!$D$27*12,(E489+G489+K489+L489-O489+M489+Q489+R489),0)</f>
        <v>0</v>
      </c>
      <c r="T489" s="3">
        <f>IF(B489&lt;='Input sheet(dashboard)'!$D$27*12,IF(D489=12,SUM(S478:S489),0),0)</f>
        <v>0</v>
      </c>
      <c r="U489" s="3">
        <f>IF(B489&lt;='Input sheet(dashboard)'!$D$27*12,IF(S489&lt;AD489,AD489-S489,0),0)</f>
        <v>0</v>
      </c>
      <c r="V489" s="3">
        <f>IF(B489&lt;='Input sheet(dashboard)'!$D$27*12,V488*(1+'Input sheet(dashboard)'!$E$25)+U489,0)</f>
        <v>0</v>
      </c>
      <c r="W489" s="17">
        <f>IF(B489&lt;='Input sheet(dashboard)'!$D$27*12,J489-I489+V489-N489,0)</f>
        <v>0</v>
      </c>
      <c r="X489" s="3">
        <f>IF(B489&lt;='Input sheet(dashboard)'!$D$27*12,'Input sheet(dashboard)'!$D$17*(1+'Input sheet(dashboard)'!$E$23)^(B489-1),0)</f>
        <v>0</v>
      </c>
      <c r="Y489" s="3"/>
      <c r="Z489" s="18"/>
      <c r="AA489" s="18"/>
      <c r="AB489" s="3">
        <f>IF(B489=1,'Input sheet(dashboard)'!$D$18*Calculations!X489,IF(Calculations!B489=12*'Input sheet(dashboard)'!$D$27,'Input sheet(dashboard)'!$D$18*-Calculations!X489,0))</f>
        <v>0</v>
      </c>
      <c r="AC489" s="3">
        <f>IF(B489&lt;='Input sheet(dashboard)'!$D$27*12,IF(MOD(B488,'Input sheet(dashboard)'!$D$19*12),0,'Input sheet(dashboard)'!$D$20*(1+'Input sheet(dashboard)'!$E$22)^Calculations!B489),0)</f>
        <v>0</v>
      </c>
      <c r="AD489" s="17">
        <f t="shared" si="66"/>
        <v>0</v>
      </c>
      <c r="AE489" s="17">
        <f>IF(B489&lt;='Input sheet(dashboard)'!$D$27*12,IF(D489=12,SUM(AD478:AD489),0),0)</f>
        <v>0</v>
      </c>
      <c r="AF489" s="17">
        <f t="shared" si="67"/>
        <v>0</v>
      </c>
      <c r="AG489" s="17">
        <f t="shared" si="68"/>
        <v>0</v>
      </c>
      <c r="AH489" s="3" t="str">
        <f>IF(B489&lt;='Input sheet(dashboard)'!$D$27*12,AH488*(1+'Input sheet(dashboard)'!$E$25)+AG489," ")</f>
        <v xml:space="preserve"> </v>
      </c>
    </row>
    <row r="490" spans="2:34">
      <c r="B490">
        <f t="shared" si="63"/>
        <v>487</v>
      </c>
      <c r="C490">
        <f t="shared" si="70"/>
        <v>41</v>
      </c>
      <c r="D490">
        <f t="shared" si="71"/>
        <v>7</v>
      </c>
      <c r="E490" s="15">
        <f>IF(C490&lt;='Input sheet(dashboard)'!$D$6, -PMT('Input sheet(dashboard)'!$E$5,'Input sheet(dashboard)'!$D$6*12,'Input sheet(dashboard)'!$D$3*'Input sheet(dashboard)'!$D$4),0)</f>
        <v>0</v>
      </c>
      <c r="F490" s="3">
        <f>I489*'Input sheet(dashboard)'!$E$5</f>
        <v>1.1943846668162988E-11</v>
      </c>
      <c r="G490" s="3">
        <f>IF(C490&lt;='Input sheet(dashboard)'!$D$6,E490*'Input sheet(dashboard)'!$D$7,0)</f>
        <v>0</v>
      </c>
      <c r="H490" s="3">
        <f t="shared" si="64"/>
        <v>-1.1943846668162988E-11</v>
      </c>
      <c r="I490" s="3">
        <f t="shared" si="65"/>
        <v>3.2907085125785171E-9</v>
      </c>
      <c r="J490" s="3">
        <f>IF(B490&lt;='Input sheet(dashboard)'!$D$27*12,'Input sheet(dashboard)'!$D$3*(1+'Input sheet(dashboard)'!$E$24)^B490,0)</f>
        <v>0</v>
      </c>
      <c r="K490" s="3">
        <f>IF(B490&lt;='Input sheet(dashboard)'!$D$27*12,J490*'Input sheet(dashboard)'!$E$8,0)</f>
        <v>0</v>
      </c>
      <c r="L490" s="3">
        <f>IF(B490&lt;='Input sheet(dashboard)'!$D$27*12,'Input sheet(dashboard)'!$D$9*(1+'Input sheet(dashboard)'!$E$22)^B490,0)</f>
        <v>0</v>
      </c>
      <c r="M490" s="3">
        <f>IF(B490=1,'Input sheet(dashboard)'!$D$3*'Input sheet(dashboard)'!$D$10,0)</f>
        <v>0</v>
      </c>
      <c r="N490" s="3">
        <f>IF(B490='Input sheet(dashboard)'!$D$27*12,J490*'Input sheet(dashboard)'!$D$11,0)</f>
        <v>0</v>
      </c>
      <c r="O490" s="3">
        <f>IF(SUM(F490:F501)&gt;=150000,150000/12*'Input sheet(dashboard)'!$D$28,SUM(F490:F501)/12*'Input sheet(dashboard)'!$D$28)</f>
        <v>1.8279113012450324E-12</v>
      </c>
      <c r="P490" s="3">
        <f t="shared" si="69"/>
        <v>0</v>
      </c>
      <c r="Q490" s="3">
        <f>IF(B490&lt;='Input sheet(dashboard)'!$D$27*12,'Input sheet(dashboard)'!$D$12/12,0)</f>
        <v>0</v>
      </c>
      <c r="R490" s="3">
        <f>IF(B490&lt;='Input sheet(dashboard)'!$D$27*12,('Input sheet(dashboard)'!$D$15/12)*(1+'Input sheet(dashboard)'!$E$22)^Calculations!B490,0)</f>
        <v>0</v>
      </c>
      <c r="S490" s="3">
        <f>IF(B490&lt;='Input sheet(dashboard)'!$D$27*12,(E490+G490+K490+L490-O490+M490+Q490+R490),0)</f>
        <v>0</v>
      </c>
      <c r="T490" s="3">
        <f>IF(B490&lt;='Input sheet(dashboard)'!$D$27*12,IF(D490=12,SUM(S479:S490),0),0)</f>
        <v>0</v>
      </c>
      <c r="U490" s="3">
        <f>IF(B490&lt;='Input sheet(dashboard)'!$D$27*12,IF(S490&lt;AD490,AD490-S490,0),0)</f>
        <v>0</v>
      </c>
      <c r="V490" s="3">
        <f>IF(B490&lt;='Input sheet(dashboard)'!$D$27*12,V489*(1+'Input sheet(dashboard)'!$E$25)+U490,0)</f>
        <v>0</v>
      </c>
      <c r="W490" s="17">
        <f>IF(B490&lt;='Input sheet(dashboard)'!$D$27*12,J490-I490+V490-N490,0)</f>
        <v>0</v>
      </c>
      <c r="X490" s="3">
        <f>IF(B490&lt;='Input sheet(dashboard)'!$D$27*12,'Input sheet(dashboard)'!$D$17*(1+'Input sheet(dashboard)'!$E$23)^(B490-1),0)</f>
        <v>0</v>
      </c>
      <c r="Y490" s="3"/>
      <c r="Z490" s="18"/>
      <c r="AA490" s="18"/>
      <c r="AB490" s="3">
        <f>IF(B490=1,'Input sheet(dashboard)'!$D$18*Calculations!X490,IF(Calculations!B490=12*'Input sheet(dashboard)'!$D$27,'Input sheet(dashboard)'!$D$18*-Calculations!X490,0))</f>
        <v>0</v>
      </c>
      <c r="AC490" s="3">
        <f>IF(B490&lt;='Input sheet(dashboard)'!$D$27*12,IF(MOD(B489,'Input sheet(dashboard)'!$D$19*12),0,'Input sheet(dashboard)'!$D$20*(1+'Input sheet(dashboard)'!$E$22)^Calculations!B490),0)</f>
        <v>0</v>
      </c>
      <c r="AD490" s="17">
        <f t="shared" si="66"/>
        <v>0</v>
      </c>
      <c r="AE490" s="17">
        <f>IF(B490&lt;='Input sheet(dashboard)'!$D$27*12,IF(D490=12,SUM(AD479:AD490),0),0)</f>
        <v>0</v>
      </c>
      <c r="AF490" s="17">
        <f t="shared" si="67"/>
        <v>0</v>
      </c>
      <c r="AG490" s="17">
        <f t="shared" si="68"/>
        <v>0</v>
      </c>
      <c r="AH490" s="3" t="str">
        <f>IF(B490&lt;='Input sheet(dashboard)'!$D$27*12,AH489*(1+'Input sheet(dashboard)'!$E$25)+AG490," ")</f>
        <v xml:space="preserve"> </v>
      </c>
    </row>
    <row r="491" spans="2:34">
      <c r="B491">
        <f t="shared" si="63"/>
        <v>488</v>
      </c>
      <c r="C491">
        <f t="shared" si="70"/>
        <v>41</v>
      </c>
      <c r="D491">
        <f t="shared" si="71"/>
        <v>8</v>
      </c>
      <c r="E491" s="15">
        <f>IF(C491&lt;='Input sheet(dashboard)'!$D$6, -PMT('Input sheet(dashboard)'!$E$5,'Input sheet(dashboard)'!$D$6*12,'Input sheet(dashboard)'!$D$3*'Input sheet(dashboard)'!$D$4),0)</f>
        <v>0</v>
      </c>
      <c r="F491" s="3">
        <f>I490*'Input sheet(dashboard)'!$E$5</f>
        <v>1.198735557708707E-11</v>
      </c>
      <c r="G491" s="3">
        <f>IF(C491&lt;='Input sheet(dashboard)'!$D$6,E491*'Input sheet(dashboard)'!$D$7,0)</f>
        <v>0</v>
      </c>
      <c r="H491" s="3">
        <f t="shared" si="64"/>
        <v>-1.198735557708707E-11</v>
      </c>
      <c r="I491" s="3">
        <f t="shared" si="65"/>
        <v>3.3026958681556041E-9</v>
      </c>
      <c r="J491" s="3">
        <f>IF(B491&lt;='Input sheet(dashboard)'!$D$27*12,'Input sheet(dashboard)'!$D$3*(1+'Input sheet(dashboard)'!$E$24)^B491,0)</f>
        <v>0</v>
      </c>
      <c r="K491" s="3">
        <f>IF(B491&lt;='Input sheet(dashboard)'!$D$27*12,J491*'Input sheet(dashboard)'!$E$8,0)</f>
        <v>0</v>
      </c>
      <c r="L491" s="3">
        <f>IF(B491&lt;='Input sheet(dashboard)'!$D$27*12,'Input sheet(dashboard)'!$D$9*(1+'Input sheet(dashboard)'!$E$22)^B491,0)</f>
        <v>0</v>
      </c>
      <c r="M491" s="3">
        <f>IF(B491=1,'Input sheet(dashboard)'!$D$3*'Input sheet(dashboard)'!$D$10,0)</f>
        <v>0</v>
      </c>
      <c r="N491" s="3">
        <f>IF(B491='Input sheet(dashboard)'!$D$27*12,J491*'Input sheet(dashboard)'!$D$11,0)</f>
        <v>0</v>
      </c>
      <c r="O491" s="3">
        <f>IF(SUM(F491:F502)&gt;=150000,150000/12*'Input sheet(dashboard)'!$D$28,SUM(F491:F502)/12*'Input sheet(dashboard)'!$D$28)</f>
        <v>1.8345699957625334E-12</v>
      </c>
      <c r="P491" s="3">
        <f t="shared" si="69"/>
        <v>0</v>
      </c>
      <c r="Q491" s="3">
        <f>IF(B491&lt;='Input sheet(dashboard)'!$D$27*12,'Input sheet(dashboard)'!$D$12/12,0)</f>
        <v>0</v>
      </c>
      <c r="R491" s="3">
        <f>IF(B491&lt;='Input sheet(dashboard)'!$D$27*12,('Input sheet(dashboard)'!$D$15/12)*(1+'Input sheet(dashboard)'!$E$22)^Calculations!B491,0)</f>
        <v>0</v>
      </c>
      <c r="S491" s="3">
        <f>IF(B491&lt;='Input sheet(dashboard)'!$D$27*12,(E491+G491+K491+L491-O491+M491+Q491+R491),0)</f>
        <v>0</v>
      </c>
      <c r="T491" s="3">
        <f>IF(B491&lt;='Input sheet(dashboard)'!$D$27*12,IF(D491=12,SUM(S480:S491),0),0)</f>
        <v>0</v>
      </c>
      <c r="U491" s="3">
        <f>IF(B491&lt;='Input sheet(dashboard)'!$D$27*12,IF(S491&lt;AD491,AD491-S491,0),0)</f>
        <v>0</v>
      </c>
      <c r="V491" s="3">
        <f>IF(B491&lt;='Input sheet(dashboard)'!$D$27*12,V490*(1+'Input sheet(dashboard)'!$E$25)+U491,0)</f>
        <v>0</v>
      </c>
      <c r="W491" s="17">
        <f>IF(B491&lt;='Input sheet(dashboard)'!$D$27*12,J491-I491+V491-N491,0)</f>
        <v>0</v>
      </c>
      <c r="X491" s="3">
        <f>IF(B491&lt;='Input sheet(dashboard)'!$D$27*12,'Input sheet(dashboard)'!$D$17*(1+'Input sheet(dashboard)'!$E$23)^(B491-1),0)</f>
        <v>0</v>
      </c>
      <c r="Y491" s="3"/>
      <c r="Z491" s="18"/>
      <c r="AA491" s="18"/>
      <c r="AB491" s="3">
        <f>IF(B491=1,'Input sheet(dashboard)'!$D$18*Calculations!X491,IF(Calculations!B491=12*'Input sheet(dashboard)'!$D$27,'Input sheet(dashboard)'!$D$18*-Calculations!X491,0))</f>
        <v>0</v>
      </c>
      <c r="AC491" s="3">
        <f>IF(B491&lt;='Input sheet(dashboard)'!$D$27*12,IF(MOD(B490,'Input sheet(dashboard)'!$D$19*12),0,'Input sheet(dashboard)'!$D$20*(1+'Input sheet(dashboard)'!$E$22)^Calculations!B491),0)</f>
        <v>0</v>
      </c>
      <c r="AD491" s="17">
        <f t="shared" si="66"/>
        <v>0</v>
      </c>
      <c r="AE491" s="17">
        <f>IF(B491&lt;='Input sheet(dashboard)'!$D$27*12,IF(D491=12,SUM(AD480:AD491),0),0)</f>
        <v>0</v>
      </c>
      <c r="AF491" s="17">
        <f t="shared" si="67"/>
        <v>0</v>
      </c>
      <c r="AG491" s="17">
        <f t="shared" si="68"/>
        <v>0</v>
      </c>
      <c r="AH491" s="3" t="str">
        <f>IF(B491&lt;='Input sheet(dashboard)'!$D$27*12,AH490*(1+'Input sheet(dashboard)'!$E$25)+AG491," ")</f>
        <v xml:space="preserve"> </v>
      </c>
    </row>
    <row r="492" spans="2:34">
      <c r="B492">
        <f t="shared" si="63"/>
        <v>489</v>
      </c>
      <c r="C492">
        <f t="shared" si="70"/>
        <v>41</v>
      </c>
      <c r="D492">
        <f t="shared" si="71"/>
        <v>9</v>
      </c>
      <c r="E492" s="15">
        <f>IF(C492&lt;='Input sheet(dashboard)'!$D$6, -PMT('Input sheet(dashboard)'!$E$5,'Input sheet(dashboard)'!$D$6*12,'Input sheet(dashboard)'!$D$3*'Input sheet(dashboard)'!$D$4),0)</f>
        <v>0</v>
      </c>
      <c r="F492" s="3">
        <f>I491*'Input sheet(dashboard)'!$E$5</f>
        <v>1.2031022979770185E-11</v>
      </c>
      <c r="G492" s="3">
        <f>IF(C492&lt;='Input sheet(dashboard)'!$D$6,E492*'Input sheet(dashboard)'!$D$7,0)</f>
        <v>0</v>
      </c>
      <c r="H492" s="3">
        <f t="shared" si="64"/>
        <v>-1.2031022979770185E-11</v>
      </c>
      <c r="I492" s="3">
        <f t="shared" si="65"/>
        <v>3.3147268911353742E-9</v>
      </c>
      <c r="J492" s="3">
        <f>IF(B492&lt;='Input sheet(dashboard)'!$D$27*12,'Input sheet(dashboard)'!$D$3*(1+'Input sheet(dashboard)'!$E$24)^B492,0)</f>
        <v>0</v>
      </c>
      <c r="K492" s="3">
        <f>IF(B492&lt;='Input sheet(dashboard)'!$D$27*12,J492*'Input sheet(dashboard)'!$E$8,0)</f>
        <v>0</v>
      </c>
      <c r="L492" s="3">
        <f>IF(B492&lt;='Input sheet(dashboard)'!$D$27*12,'Input sheet(dashboard)'!$D$9*(1+'Input sheet(dashboard)'!$E$22)^B492,0)</f>
        <v>0</v>
      </c>
      <c r="M492" s="3">
        <f>IF(B492=1,'Input sheet(dashboard)'!$D$3*'Input sheet(dashboard)'!$D$10,0)</f>
        <v>0</v>
      </c>
      <c r="N492" s="3">
        <f>IF(B492='Input sheet(dashboard)'!$D$27*12,J492*'Input sheet(dashboard)'!$D$11,0)</f>
        <v>0</v>
      </c>
      <c r="O492" s="3">
        <f>IF(SUM(F492:F503)&gt;=150000,150000/12*'Input sheet(dashboard)'!$D$28,SUM(F492:F503)/12*'Input sheet(dashboard)'!$D$28)</f>
        <v>1.8412529464967598E-12</v>
      </c>
      <c r="P492" s="3">
        <f t="shared" si="69"/>
        <v>0</v>
      </c>
      <c r="Q492" s="3">
        <f>IF(B492&lt;='Input sheet(dashboard)'!$D$27*12,'Input sheet(dashboard)'!$D$12/12,0)</f>
        <v>0</v>
      </c>
      <c r="R492" s="3">
        <f>IF(B492&lt;='Input sheet(dashboard)'!$D$27*12,('Input sheet(dashboard)'!$D$15/12)*(1+'Input sheet(dashboard)'!$E$22)^Calculations!B492,0)</f>
        <v>0</v>
      </c>
      <c r="S492" s="3">
        <f>IF(B492&lt;='Input sheet(dashboard)'!$D$27*12,(E492+G492+K492+L492-O492+M492+Q492+R492),0)</f>
        <v>0</v>
      </c>
      <c r="T492" s="3">
        <f>IF(B492&lt;='Input sheet(dashboard)'!$D$27*12,IF(D492=12,SUM(S481:S492),0),0)</f>
        <v>0</v>
      </c>
      <c r="U492" s="3">
        <f>IF(B492&lt;='Input sheet(dashboard)'!$D$27*12,IF(S492&lt;AD492,AD492-S492,0),0)</f>
        <v>0</v>
      </c>
      <c r="V492" s="3">
        <f>IF(B492&lt;='Input sheet(dashboard)'!$D$27*12,V491*(1+'Input sheet(dashboard)'!$E$25)+U492,0)</f>
        <v>0</v>
      </c>
      <c r="W492" s="17">
        <f>IF(B492&lt;='Input sheet(dashboard)'!$D$27*12,J492-I492+V492-N492,0)</f>
        <v>0</v>
      </c>
      <c r="X492" s="3">
        <f>IF(B492&lt;='Input sheet(dashboard)'!$D$27*12,'Input sheet(dashboard)'!$D$17*(1+'Input sheet(dashboard)'!$E$23)^(B492-1),0)</f>
        <v>0</v>
      </c>
      <c r="Y492" s="3"/>
      <c r="Z492" s="18"/>
      <c r="AA492" s="18"/>
      <c r="AB492" s="3">
        <f>IF(B492=1,'Input sheet(dashboard)'!$D$18*Calculations!X492,IF(Calculations!B492=12*'Input sheet(dashboard)'!$D$27,'Input sheet(dashboard)'!$D$18*-Calculations!X492,0))</f>
        <v>0</v>
      </c>
      <c r="AC492" s="3">
        <f>IF(B492&lt;='Input sheet(dashboard)'!$D$27*12,IF(MOD(B491,'Input sheet(dashboard)'!$D$19*12),0,'Input sheet(dashboard)'!$D$20*(1+'Input sheet(dashboard)'!$E$22)^Calculations!B492),0)</f>
        <v>0</v>
      </c>
      <c r="AD492" s="17">
        <f t="shared" si="66"/>
        <v>0</v>
      </c>
      <c r="AE492" s="17">
        <f>IF(B492&lt;='Input sheet(dashboard)'!$D$27*12,IF(D492=12,SUM(AD481:AD492),0),0)</f>
        <v>0</v>
      </c>
      <c r="AF492" s="17">
        <f t="shared" si="67"/>
        <v>0</v>
      </c>
      <c r="AG492" s="17">
        <f t="shared" si="68"/>
        <v>0</v>
      </c>
      <c r="AH492" s="3" t="str">
        <f>IF(B492&lt;='Input sheet(dashboard)'!$D$27*12,AH491*(1+'Input sheet(dashboard)'!$E$25)+AG492," ")</f>
        <v xml:space="preserve"> </v>
      </c>
    </row>
    <row r="493" spans="2:34">
      <c r="B493">
        <f t="shared" si="63"/>
        <v>490</v>
      </c>
      <c r="C493">
        <f t="shared" si="70"/>
        <v>41</v>
      </c>
      <c r="D493">
        <f t="shared" si="71"/>
        <v>10</v>
      </c>
      <c r="E493" s="15">
        <f>IF(C493&lt;='Input sheet(dashboard)'!$D$6, -PMT('Input sheet(dashboard)'!$E$5,'Input sheet(dashboard)'!$D$6*12,'Input sheet(dashboard)'!$D$3*'Input sheet(dashboard)'!$D$4),0)</f>
        <v>0</v>
      </c>
      <c r="F493" s="3">
        <f>I492*'Input sheet(dashboard)'!$E$5</f>
        <v>1.2074849453571598E-11</v>
      </c>
      <c r="G493" s="3">
        <f>IF(C493&lt;='Input sheet(dashboard)'!$D$6,E493*'Input sheet(dashboard)'!$D$7,0)</f>
        <v>0</v>
      </c>
      <c r="H493" s="3">
        <f t="shared" si="64"/>
        <v>-1.2074849453571598E-11</v>
      </c>
      <c r="I493" s="3">
        <f t="shared" si="65"/>
        <v>3.326801740588946E-9</v>
      </c>
      <c r="J493" s="3">
        <f>IF(B493&lt;='Input sheet(dashboard)'!$D$27*12,'Input sheet(dashboard)'!$D$3*(1+'Input sheet(dashboard)'!$E$24)^B493,0)</f>
        <v>0</v>
      </c>
      <c r="K493" s="3">
        <f>IF(B493&lt;='Input sheet(dashboard)'!$D$27*12,J493*'Input sheet(dashboard)'!$E$8,0)</f>
        <v>0</v>
      </c>
      <c r="L493" s="3">
        <f>IF(B493&lt;='Input sheet(dashboard)'!$D$27*12,'Input sheet(dashboard)'!$D$9*(1+'Input sheet(dashboard)'!$E$22)^B493,0)</f>
        <v>0</v>
      </c>
      <c r="M493" s="3">
        <f>IF(B493=1,'Input sheet(dashboard)'!$D$3*'Input sheet(dashboard)'!$D$10,0)</f>
        <v>0</v>
      </c>
      <c r="N493" s="3">
        <f>IF(B493='Input sheet(dashboard)'!$D$27*12,J493*'Input sheet(dashboard)'!$D$11,0)</f>
        <v>0</v>
      </c>
      <c r="O493" s="3">
        <f>IF(SUM(F493:F504)&gt;=150000,150000/12*'Input sheet(dashboard)'!$D$28,SUM(F493:F504)/12*'Input sheet(dashboard)'!$D$28)</f>
        <v>1.8479602418079819E-12</v>
      </c>
      <c r="P493" s="3">
        <f t="shared" si="69"/>
        <v>0</v>
      </c>
      <c r="Q493" s="3">
        <f>IF(B493&lt;='Input sheet(dashboard)'!$D$27*12,'Input sheet(dashboard)'!$D$12/12,0)</f>
        <v>0</v>
      </c>
      <c r="R493" s="3">
        <f>IF(B493&lt;='Input sheet(dashboard)'!$D$27*12,('Input sheet(dashboard)'!$D$15/12)*(1+'Input sheet(dashboard)'!$E$22)^Calculations!B493,0)</f>
        <v>0</v>
      </c>
      <c r="S493" s="3">
        <f>IF(B493&lt;='Input sheet(dashboard)'!$D$27*12,(E493+G493+K493+L493-O493+M493+Q493+R493),0)</f>
        <v>0</v>
      </c>
      <c r="T493" s="3">
        <f>IF(B493&lt;='Input sheet(dashboard)'!$D$27*12,IF(D493=12,SUM(S482:S493),0),0)</f>
        <v>0</v>
      </c>
      <c r="U493" s="3">
        <f>IF(B493&lt;='Input sheet(dashboard)'!$D$27*12,IF(S493&lt;AD493,AD493-S493,0),0)</f>
        <v>0</v>
      </c>
      <c r="V493" s="3">
        <f>IF(B493&lt;='Input sheet(dashboard)'!$D$27*12,V492*(1+'Input sheet(dashboard)'!$E$25)+U493,0)</f>
        <v>0</v>
      </c>
      <c r="W493" s="17">
        <f>IF(B493&lt;='Input sheet(dashboard)'!$D$27*12,J493-I493+V493-N493,0)</f>
        <v>0</v>
      </c>
      <c r="X493" s="3">
        <f>IF(B493&lt;='Input sheet(dashboard)'!$D$27*12,'Input sheet(dashboard)'!$D$17*(1+'Input sheet(dashboard)'!$E$23)^(B493-1),0)</f>
        <v>0</v>
      </c>
      <c r="Y493" s="3"/>
      <c r="Z493" s="18"/>
      <c r="AA493" s="18"/>
      <c r="AB493" s="3">
        <f>IF(B493=1,'Input sheet(dashboard)'!$D$18*Calculations!X493,IF(Calculations!B493=12*'Input sheet(dashboard)'!$D$27,'Input sheet(dashboard)'!$D$18*-Calculations!X493,0))</f>
        <v>0</v>
      </c>
      <c r="AC493" s="3">
        <f>IF(B493&lt;='Input sheet(dashboard)'!$D$27*12,IF(MOD(B492,'Input sheet(dashboard)'!$D$19*12),0,'Input sheet(dashboard)'!$D$20*(1+'Input sheet(dashboard)'!$E$22)^Calculations!B493),0)</f>
        <v>0</v>
      </c>
      <c r="AD493" s="17">
        <f t="shared" si="66"/>
        <v>0</v>
      </c>
      <c r="AE493" s="17">
        <f>IF(B493&lt;='Input sheet(dashboard)'!$D$27*12,IF(D493=12,SUM(AD482:AD493),0),0)</f>
        <v>0</v>
      </c>
      <c r="AF493" s="17">
        <f t="shared" si="67"/>
        <v>0</v>
      </c>
      <c r="AG493" s="17">
        <f t="shared" si="68"/>
        <v>0</v>
      </c>
      <c r="AH493" s="3" t="str">
        <f>IF(B493&lt;='Input sheet(dashboard)'!$D$27*12,AH492*(1+'Input sheet(dashboard)'!$E$25)+AG493," ")</f>
        <v xml:space="preserve"> </v>
      </c>
    </row>
    <row r="494" spans="2:34">
      <c r="B494">
        <f t="shared" si="63"/>
        <v>491</v>
      </c>
      <c r="C494">
        <f t="shared" si="70"/>
        <v>41</v>
      </c>
      <c r="D494">
        <f t="shared" si="71"/>
        <v>11</v>
      </c>
      <c r="E494" s="15">
        <f>IF(C494&lt;='Input sheet(dashboard)'!$D$6, -PMT('Input sheet(dashboard)'!$E$5,'Input sheet(dashboard)'!$D$6*12,'Input sheet(dashboard)'!$D$3*'Input sheet(dashboard)'!$D$4),0)</f>
        <v>0</v>
      </c>
      <c r="F494" s="3">
        <f>I493*'Input sheet(dashboard)'!$E$5</f>
        <v>1.2118835577953773E-11</v>
      </c>
      <c r="G494" s="3">
        <f>IF(C494&lt;='Input sheet(dashboard)'!$D$6,E494*'Input sheet(dashboard)'!$D$7,0)</f>
        <v>0</v>
      </c>
      <c r="H494" s="3">
        <f t="shared" si="64"/>
        <v>-1.2118835577953773E-11</v>
      </c>
      <c r="I494" s="3">
        <f t="shared" si="65"/>
        <v>3.3389205761668996E-9</v>
      </c>
      <c r="J494" s="3">
        <f>IF(B494&lt;='Input sheet(dashboard)'!$D$27*12,'Input sheet(dashboard)'!$D$3*(1+'Input sheet(dashboard)'!$E$24)^B494,0)</f>
        <v>0</v>
      </c>
      <c r="K494" s="3">
        <f>IF(B494&lt;='Input sheet(dashboard)'!$D$27*12,J494*'Input sheet(dashboard)'!$E$8,0)</f>
        <v>0</v>
      </c>
      <c r="L494" s="3">
        <f>IF(B494&lt;='Input sheet(dashboard)'!$D$27*12,'Input sheet(dashboard)'!$D$9*(1+'Input sheet(dashboard)'!$E$22)^B494,0)</f>
        <v>0</v>
      </c>
      <c r="M494" s="3">
        <f>IF(B494=1,'Input sheet(dashboard)'!$D$3*'Input sheet(dashboard)'!$D$10,0)</f>
        <v>0</v>
      </c>
      <c r="N494" s="3">
        <f>IF(B494='Input sheet(dashboard)'!$D$27*12,J494*'Input sheet(dashboard)'!$D$11,0)</f>
        <v>0</v>
      </c>
      <c r="O494" s="3">
        <f>IF(SUM(F494:F505)&gt;=150000,150000/12*'Input sheet(dashboard)'!$D$28,SUM(F494:F505)/12*'Input sheet(dashboard)'!$D$28)</f>
        <v>1.854691970378348E-12</v>
      </c>
      <c r="P494" s="3">
        <f t="shared" si="69"/>
        <v>0</v>
      </c>
      <c r="Q494" s="3">
        <f>IF(B494&lt;='Input sheet(dashboard)'!$D$27*12,'Input sheet(dashboard)'!$D$12/12,0)</f>
        <v>0</v>
      </c>
      <c r="R494" s="3">
        <f>IF(B494&lt;='Input sheet(dashboard)'!$D$27*12,('Input sheet(dashboard)'!$D$15/12)*(1+'Input sheet(dashboard)'!$E$22)^Calculations!B494,0)</f>
        <v>0</v>
      </c>
      <c r="S494" s="3">
        <f>IF(B494&lt;='Input sheet(dashboard)'!$D$27*12,(E494+G494+K494+L494-O494+M494+Q494+R494),0)</f>
        <v>0</v>
      </c>
      <c r="T494" s="3">
        <f>IF(B494&lt;='Input sheet(dashboard)'!$D$27*12,IF(D494=12,SUM(S483:S494),0),0)</f>
        <v>0</v>
      </c>
      <c r="U494" s="3">
        <f>IF(B494&lt;='Input sheet(dashboard)'!$D$27*12,IF(S494&lt;AD494,AD494-S494,0),0)</f>
        <v>0</v>
      </c>
      <c r="V494" s="3">
        <f>IF(B494&lt;='Input sheet(dashboard)'!$D$27*12,V493*(1+'Input sheet(dashboard)'!$E$25)+U494,0)</f>
        <v>0</v>
      </c>
      <c r="W494" s="17">
        <f>IF(B494&lt;='Input sheet(dashboard)'!$D$27*12,J494-I494+V494-N494,0)</f>
        <v>0</v>
      </c>
      <c r="X494" s="3">
        <f>IF(B494&lt;='Input sheet(dashboard)'!$D$27*12,'Input sheet(dashboard)'!$D$17*(1+'Input sheet(dashboard)'!$E$23)^(B494-1),0)</f>
        <v>0</v>
      </c>
      <c r="Y494" s="3"/>
      <c r="Z494" s="18"/>
      <c r="AA494" s="18"/>
      <c r="AB494" s="3">
        <f>IF(B494=1,'Input sheet(dashboard)'!$D$18*Calculations!X494,IF(Calculations!B494=12*'Input sheet(dashboard)'!$D$27,'Input sheet(dashboard)'!$D$18*-Calculations!X494,0))</f>
        <v>0</v>
      </c>
      <c r="AC494" s="3">
        <f>IF(B494&lt;='Input sheet(dashboard)'!$D$27*12,IF(MOD(B493,'Input sheet(dashboard)'!$D$19*12),0,'Input sheet(dashboard)'!$D$20*(1+'Input sheet(dashboard)'!$E$22)^Calculations!B494),0)</f>
        <v>0</v>
      </c>
      <c r="AD494" s="17">
        <f t="shared" si="66"/>
        <v>0</v>
      </c>
      <c r="AE494" s="17">
        <f>IF(B494&lt;='Input sheet(dashboard)'!$D$27*12,IF(D494=12,SUM(AD483:AD494),0),0)</f>
        <v>0</v>
      </c>
      <c r="AF494" s="17">
        <f t="shared" si="67"/>
        <v>0</v>
      </c>
      <c r="AG494" s="17">
        <f t="shared" si="68"/>
        <v>0</v>
      </c>
      <c r="AH494" s="3" t="str">
        <f>IF(B494&lt;='Input sheet(dashboard)'!$D$27*12,AH493*(1+'Input sheet(dashboard)'!$E$25)+AG494," ")</f>
        <v xml:space="preserve"> </v>
      </c>
    </row>
    <row r="495" spans="2:34">
      <c r="B495">
        <f t="shared" si="63"/>
        <v>492</v>
      </c>
      <c r="C495">
        <f t="shared" si="70"/>
        <v>41</v>
      </c>
      <c r="D495">
        <f t="shared" si="71"/>
        <v>12</v>
      </c>
      <c r="E495" s="15">
        <f>IF(C495&lt;='Input sheet(dashboard)'!$D$6, -PMT('Input sheet(dashboard)'!$E$5,'Input sheet(dashboard)'!$D$6*12,'Input sheet(dashboard)'!$D$3*'Input sheet(dashboard)'!$D$4),0)</f>
        <v>0</v>
      </c>
      <c r="F495" s="3">
        <f>I494*'Input sheet(dashboard)'!$E$5</f>
        <v>1.2162981934490028E-11</v>
      </c>
      <c r="G495" s="3">
        <f>IF(C495&lt;='Input sheet(dashboard)'!$D$6,E495*'Input sheet(dashboard)'!$D$7,0)</f>
        <v>0</v>
      </c>
      <c r="H495" s="3">
        <f t="shared" si="64"/>
        <v>-1.2162981934490028E-11</v>
      </c>
      <c r="I495" s="3">
        <f t="shared" si="65"/>
        <v>3.3510835581013898E-9</v>
      </c>
      <c r="J495" s="3">
        <f>IF(B495&lt;='Input sheet(dashboard)'!$D$27*12,'Input sheet(dashboard)'!$D$3*(1+'Input sheet(dashboard)'!$E$24)^B495,0)</f>
        <v>0</v>
      </c>
      <c r="K495" s="3">
        <f>IF(B495&lt;='Input sheet(dashboard)'!$D$27*12,J495*'Input sheet(dashboard)'!$E$8,0)</f>
        <v>0</v>
      </c>
      <c r="L495" s="3">
        <f>IF(B495&lt;='Input sheet(dashboard)'!$D$27*12,'Input sheet(dashboard)'!$D$9*(1+'Input sheet(dashboard)'!$E$22)^B495,0)</f>
        <v>0</v>
      </c>
      <c r="M495" s="3">
        <f>IF(B495=1,'Input sheet(dashboard)'!$D$3*'Input sheet(dashboard)'!$D$10,0)</f>
        <v>0</v>
      </c>
      <c r="N495" s="3">
        <f>IF(B495='Input sheet(dashboard)'!$D$27*12,J495*'Input sheet(dashboard)'!$D$11,0)</f>
        <v>0</v>
      </c>
      <c r="O495" s="3">
        <f>IF(SUM(F495:F506)&gt;=150000,150000/12*'Input sheet(dashboard)'!$D$28,SUM(F495:F506)/12*'Input sheet(dashboard)'!$D$28)</f>
        <v>1.8614482212130574E-12</v>
      </c>
      <c r="P495" s="3">
        <f t="shared" si="69"/>
        <v>2.3292656647381035E-11</v>
      </c>
      <c r="Q495" s="3">
        <f>IF(B495&lt;='Input sheet(dashboard)'!$D$27*12,'Input sheet(dashboard)'!$D$12/12,0)</f>
        <v>0</v>
      </c>
      <c r="R495" s="3">
        <f>IF(B495&lt;='Input sheet(dashboard)'!$D$27*12,('Input sheet(dashboard)'!$D$15/12)*(1+'Input sheet(dashboard)'!$E$22)^Calculations!B495,0)</f>
        <v>0</v>
      </c>
      <c r="S495" s="3">
        <f>IF(B495&lt;='Input sheet(dashboard)'!$D$27*12,(E495+G495+K495+L495-O495+M495+Q495+R495),0)</f>
        <v>0</v>
      </c>
      <c r="T495" s="3">
        <f>IF(B495&lt;='Input sheet(dashboard)'!$D$27*12,IF(D495=12,SUM(S484:S495),0),0)</f>
        <v>0</v>
      </c>
      <c r="U495" s="3">
        <f>IF(B495&lt;='Input sheet(dashboard)'!$D$27*12,IF(S495&lt;AD495,AD495-S495,0),0)</f>
        <v>0</v>
      </c>
      <c r="V495" s="3">
        <f>IF(B495&lt;='Input sheet(dashboard)'!$D$27*12,V494*(1+'Input sheet(dashboard)'!$E$25)+U495,0)</f>
        <v>0</v>
      </c>
      <c r="W495" s="17">
        <f>IF(B495&lt;='Input sheet(dashboard)'!$D$27*12,J495-I495+V495-N495,0)</f>
        <v>0</v>
      </c>
      <c r="X495" s="3">
        <f>IF(B495&lt;='Input sheet(dashboard)'!$D$27*12,'Input sheet(dashboard)'!$D$17*(1+'Input sheet(dashboard)'!$E$23)^(B495-1),0)</f>
        <v>0</v>
      </c>
      <c r="Y495" s="3"/>
      <c r="Z495" s="18"/>
      <c r="AA495" s="18"/>
      <c r="AB495" s="3">
        <f>IF(B495=1,'Input sheet(dashboard)'!$D$18*Calculations!X495,IF(Calculations!B495=12*'Input sheet(dashboard)'!$D$27,'Input sheet(dashboard)'!$D$18*-Calculations!X495,0))</f>
        <v>0</v>
      </c>
      <c r="AC495" s="3">
        <f>IF(B495&lt;='Input sheet(dashboard)'!$D$27*12,IF(MOD(B494,'Input sheet(dashboard)'!$D$19*12),0,'Input sheet(dashboard)'!$D$20*(1+'Input sheet(dashboard)'!$E$22)^Calculations!B495),0)</f>
        <v>0</v>
      </c>
      <c r="AD495" s="17">
        <f t="shared" si="66"/>
        <v>0</v>
      </c>
      <c r="AE495" s="17">
        <f>IF(B495&lt;='Input sheet(dashboard)'!$D$27*12,IF(D495=12,SUM(AD484:AD495),0),0)</f>
        <v>0</v>
      </c>
      <c r="AF495" s="17">
        <f t="shared" si="67"/>
        <v>0</v>
      </c>
      <c r="AG495" s="17">
        <f t="shared" si="68"/>
        <v>0</v>
      </c>
      <c r="AH495" s="3" t="str">
        <f>IF(B495&lt;='Input sheet(dashboard)'!$D$27*12,AH494*(1+'Input sheet(dashboard)'!$E$25)+AG495," ")</f>
        <v xml:space="preserve"> </v>
      </c>
    </row>
    <row r="496" spans="2:34">
      <c r="B496">
        <f t="shared" si="63"/>
        <v>493</v>
      </c>
      <c r="C496">
        <f t="shared" si="70"/>
        <v>42</v>
      </c>
      <c r="D496">
        <f t="shared" si="71"/>
        <v>1</v>
      </c>
      <c r="E496" s="15">
        <f>IF(C496&lt;='Input sheet(dashboard)'!$D$6, -PMT('Input sheet(dashboard)'!$E$5,'Input sheet(dashboard)'!$D$6*12,'Input sheet(dashboard)'!$D$3*'Input sheet(dashboard)'!$D$4),0)</f>
        <v>0</v>
      </c>
      <c r="F496" s="3">
        <f>I495*'Input sheet(dashboard)'!$E$5</f>
        <v>1.2207289106872239E-11</v>
      </c>
      <c r="G496" s="3">
        <f>IF(C496&lt;='Input sheet(dashboard)'!$D$6,E496*'Input sheet(dashboard)'!$D$7,0)</f>
        <v>0</v>
      </c>
      <c r="H496" s="3">
        <f t="shared" si="64"/>
        <v>-1.2207289106872239E-11</v>
      </c>
      <c r="I496" s="3">
        <f t="shared" si="65"/>
        <v>3.3632908472082623E-9</v>
      </c>
      <c r="J496" s="3">
        <f>IF(B496&lt;='Input sheet(dashboard)'!$D$27*12,'Input sheet(dashboard)'!$D$3*(1+'Input sheet(dashboard)'!$E$24)^B496,0)</f>
        <v>0</v>
      </c>
      <c r="K496" s="3">
        <f>IF(B496&lt;='Input sheet(dashboard)'!$D$27*12,J496*'Input sheet(dashboard)'!$E$8,0)</f>
        <v>0</v>
      </c>
      <c r="L496" s="3">
        <f>IF(B496&lt;='Input sheet(dashboard)'!$D$27*12,'Input sheet(dashboard)'!$D$9*(1+'Input sheet(dashboard)'!$E$22)^B496,0)</f>
        <v>0</v>
      </c>
      <c r="M496" s="3">
        <f>IF(B496=1,'Input sheet(dashboard)'!$D$3*'Input sheet(dashboard)'!$D$10,0)</f>
        <v>0</v>
      </c>
      <c r="N496" s="3">
        <f>IF(B496='Input sheet(dashboard)'!$D$27*12,J496*'Input sheet(dashboard)'!$D$11,0)</f>
        <v>0</v>
      </c>
      <c r="O496" s="3">
        <f>IF(SUM(F496:F507)&gt;=150000,150000/12*'Input sheet(dashboard)'!$D$28,SUM(F496:F507)/12*'Input sheet(dashboard)'!$D$28)</f>
        <v>1.8682290836415355E-12</v>
      </c>
      <c r="P496" s="3">
        <f t="shared" si="69"/>
        <v>0</v>
      </c>
      <c r="Q496" s="3">
        <f>IF(B496&lt;='Input sheet(dashboard)'!$D$27*12,'Input sheet(dashboard)'!$D$12/12,0)</f>
        <v>0</v>
      </c>
      <c r="R496" s="3">
        <f>IF(B496&lt;='Input sheet(dashboard)'!$D$27*12,('Input sheet(dashboard)'!$D$15/12)*(1+'Input sheet(dashboard)'!$E$22)^Calculations!B496,0)</f>
        <v>0</v>
      </c>
      <c r="S496" s="3">
        <f>IF(B496&lt;='Input sheet(dashboard)'!$D$27*12,(E496+G496+K496+L496-O496+M496+Q496+R496),0)</f>
        <v>0</v>
      </c>
      <c r="T496" s="3">
        <f>IF(B496&lt;='Input sheet(dashboard)'!$D$27*12,IF(D496=12,SUM(S485:S496),0),0)</f>
        <v>0</v>
      </c>
      <c r="U496" s="3">
        <f>IF(B496&lt;='Input sheet(dashboard)'!$D$27*12,IF(S496&lt;AD496,AD496-S496,0),0)</f>
        <v>0</v>
      </c>
      <c r="V496" s="3">
        <f>IF(B496&lt;='Input sheet(dashboard)'!$D$27*12,V495*(1+'Input sheet(dashboard)'!$E$25)+U496,0)</f>
        <v>0</v>
      </c>
      <c r="W496" s="17">
        <f>IF(B496&lt;='Input sheet(dashboard)'!$D$27*12,J496-I496+V496-N496,0)</f>
        <v>0</v>
      </c>
      <c r="X496" s="3">
        <f>IF(B496&lt;='Input sheet(dashboard)'!$D$27*12,'Input sheet(dashboard)'!$D$17*(1+'Input sheet(dashboard)'!$E$23)^(B496-1),0)</f>
        <v>0</v>
      </c>
      <c r="Y496" s="3"/>
      <c r="Z496" s="18"/>
      <c r="AA496" s="18"/>
      <c r="AB496" s="3">
        <f>IF(B496=1,'Input sheet(dashboard)'!$D$18*Calculations!X496,IF(Calculations!B496=12*'Input sheet(dashboard)'!$D$27,'Input sheet(dashboard)'!$D$18*-Calculations!X496,0))</f>
        <v>0</v>
      </c>
      <c r="AC496" s="3">
        <f>IF(B496&lt;='Input sheet(dashboard)'!$D$27*12,IF(MOD(B495,'Input sheet(dashboard)'!$D$19*12),0,'Input sheet(dashboard)'!$D$20*(1+'Input sheet(dashboard)'!$E$22)^Calculations!B496),0)</f>
        <v>0</v>
      </c>
      <c r="AD496" s="17">
        <f t="shared" si="66"/>
        <v>0</v>
      </c>
      <c r="AE496" s="17">
        <f>IF(B496&lt;='Input sheet(dashboard)'!$D$27*12,IF(D496=12,SUM(AD485:AD496),0),0)</f>
        <v>0</v>
      </c>
      <c r="AF496" s="17">
        <f t="shared" si="67"/>
        <v>0</v>
      </c>
      <c r="AG496" s="17">
        <f t="shared" si="68"/>
        <v>0</v>
      </c>
      <c r="AH496" s="3" t="str">
        <f>IF(B496&lt;='Input sheet(dashboard)'!$D$27*12,AH495*(1+'Input sheet(dashboard)'!$E$25)+AG496," ")</f>
        <v xml:space="preserve"> </v>
      </c>
    </row>
    <row r="497" spans="2:34">
      <c r="B497">
        <f t="shared" si="63"/>
        <v>494</v>
      </c>
      <c r="C497">
        <f t="shared" si="70"/>
        <v>42</v>
      </c>
      <c r="D497">
        <f t="shared" si="71"/>
        <v>2</v>
      </c>
      <c r="E497" s="15">
        <f>IF(C497&lt;='Input sheet(dashboard)'!$D$6, -PMT('Input sheet(dashboard)'!$E$5,'Input sheet(dashboard)'!$D$6*12,'Input sheet(dashboard)'!$D$3*'Input sheet(dashboard)'!$D$4),0)</f>
        <v>0</v>
      </c>
      <c r="F497" s="3">
        <f>I496*'Input sheet(dashboard)'!$E$5</f>
        <v>1.2251757680918536E-11</v>
      </c>
      <c r="G497" s="3">
        <f>IF(C497&lt;='Input sheet(dashboard)'!$D$6,E497*'Input sheet(dashboard)'!$D$7,0)</f>
        <v>0</v>
      </c>
      <c r="H497" s="3">
        <f t="shared" si="64"/>
        <v>-1.2251757680918536E-11</v>
      </c>
      <c r="I497" s="3">
        <f t="shared" si="65"/>
        <v>3.375542604889181E-9</v>
      </c>
      <c r="J497" s="3">
        <f>IF(B497&lt;='Input sheet(dashboard)'!$D$27*12,'Input sheet(dashboard)'!$D$3*(1+'Input sheet(dashboard)'!$E$24)^B497,0)</f>
        <v>0</v>
      </c>
      <c r="K497" s="3">
        <f>IF(B497&lt;='Input sheet(dashboard)'!$D$27*12,J497*'Input sheet(dashboard)'!$E$8,0)</f>
        <v>0</v>
      </c>
      <c r="L497" s="3">
        <f>IF(B497&lt;='Input sheet(dashboard)'!$D$27*12,'Input sheet(dashboard)'!$D$9*(1+'Input sheet(dashboard)'!$E$22)^B497,0)</f>
        <v>0</v>
      </c>
      <c r="M497" s="3">
        <f>IF(B497=1,'Input sheet(dashboard)'!$D$3*'Input sheet(dashboard)'!$D$10,0)</f>
        <v>0</v>
      </c>
      <c r="N497" s="3">
        <f>IF(B497='Input sheet(dashboard)'!$D$27*12,J497*'Input sheet(dashboard)'!$D$11,0)</f>
        <v>0</v>
      </c>
      <c r="O497" s="3">
        <f>IF(SUM(F497:F508)&gt;=150000,150000/12*'Input sheet(dashboard)'!$D$28,SUM(F497:F508)/12*'Input sheet(dashboard)'!$D$28)</f>
        <v>1.8750346473186167E-12</v>
      </c>
      <c r="P497" s="3">
        <f t="shared" si="69"/>
        <v>0</v>
      </c>
      <c r="Q497" s="3">
        <f>IF(B497&lt;='Input sheet(dashboard)'!$D$27*12,'Input sheet(dashboard)'!$D$12/12,0)</f>
        <v>0</v>
      </c>
      <c r="R497" s="3">
        <f>IF(B497&lt;='Input sheet(dashboard)'!$D$27*12,('Input sheet(dashboard)'!$D$15/12)*(1+'Input sheet(dashboard)'!$E$22)^Calculations!B497,0)</f>
        <v>0</v>
      </c>
      <c r="S497" s="3">
        <f>IF(B497&lt;='Input sheet(dashboard)'!$D$27*12,(E497+G497+K497+L497-O497+M497+Q497+R497),0)</f>
        <v>0</v>
      </c>
      <c r="T497" s="3">
        <f>IF(B497&lt;='Input sheet(dashboard)'!$D$27*12,IF(D497=12,SUM(S486:S497),0),0)</f>
        <v>0</v>
      </c>
      <c r="U497" s="3">
        <f>IF(B497&lt;='Input sheet(dashboard)'!$D$27*12,IF(S497&lt;AD497,AD497-S497,0),0)</f>
        <v>0</v>
      </c>
      <c r="V497" s="3">
        <f>IF(B497&lt;='Input sheet(dashboard)'!$D$27*12,V496*(1+'Input sheet(dashboard)'!$E$25)+U497,0)</f>
        <v>0</v>
      </c>
      <c r="W497" s="17">
        <f>IF(B497&lt;='Input sheet(dashboard)'!$D$27*12,J497-I497+V497-N497,0)</f>
        <v>0</v>
      </c>
      <c r="X497" s="3">
        <f>IF(B497&lt;='Input sheet(dashboard)'!$D$27*12,'Input sheet(dashboard)'!$D$17*(1+'Input sheet(dashboard)'!$E$23)^(B497-1),0)</f>
        <v>0</v>
      </c>
      <c r="Y497" s="3"/>
      <c r="Z497" s="18"/>
      <c r="AA497" s="18"/>
      <c r="AB497" s="3">
        <f>IF(B497=1,'Input sheet(dashboard)'!$D$18*Calculations!X497,IF(Calculations!B497=12*'Input sheet(dashboard)'!$D$27,'Input sheet(dashboard)'!$D$18*-Calculations!X497,0))</f>
        <v>0</v>
      </c>
      <c r="AC497" s="3">
        <f>IF(B497&lt;='Input sheet(dashboard)'!$D$27*12,IF(MOD(B496,'Input sheet(dashboard)'!$D$19*12),0,'Input sheet(dashboard)'!$D$20*(1+'Input sheet(dashboard)'!$E$22)^Calculations!B497),0)</f>
        <v>0</v>
      </c>
      <c r="AD497" s="17">
        <f t="shared" si="66"/>
        <v>0</v>
      </c>
      <c r="AE497" s="17">
        <f>IF(B497&lt;='Input sheet(dashboard)'!$D$27*12,IF(D497=12,SUM(AD486:AD497),0),0)</f>
        <v>0</v>
      </c>
      <c r="AF497" s="17">
        <f t="shared" si="67"/>
        <v>0</v>
      </c>
      <c r="AG497" s="17">
        <f t="shared" si="68"/>
        <v>0</v>
      </c>
      <c r="AH497" s="3" t="str">
        <f>IF(B497&lt;='Input sheet(dashboard)'!$D$27*12,AH496*(1+'Input sheet(dashboard)'!$E$25)+AG497," ")</f>
        <v xml:space="preserve"> </v>
      </c>
    </row>
    <row r="498" spans="2:34">
      <c r="B498">
        <f t="shared" si="63"/>
        <v>495</v>
      </c>
      <c r="C498">
        <f t="shared" si="70"/>
        <v>42</v>
      </c>
      <c r="D498">
        <f t="shared" si="71"/>
        <v>3</v>
      </c>
      <c r="E498" s="15">
        <f>IF(C498&lt;='Input sheet(dashboard)'!$D$6, -PMT('Input sheet(dashboard)'!$E$5,'Input sheet(dashboard)'!$D$6*12,'Input sheet(dashboard)'!$D$3*'Input sheet(dashboard)'!$D$4),0)</f>
        <v>0</v>
      </c>
      <c r="F498" s="3">
        <f>I497*'Input sheet(dashboard)'!$E$5</f>
        <v>1.2296388244581072E-11</v>
      </c>
      <c r="G498" s="3">
        <f>IF(C498&lt;='Input sheet(dashboard)'!$D$6,E498*'Input sheet(dashboard)'!$D$7,0)</f>
        <v>0</v>
      </c>
      <c r="H498" s="3">
        <f t="shared" si="64"/>
        <v>-1.2296388244581072E-11</v>
      </c>
      <c r="I498" s="3">
        <f t="shared" si="65"/>
        <v>3.3878389931337622E-9</v>
      </c>
      <c r="J498" s="3">
        <f>IF(B498&lt;='Input sheet(dashboard)'!$D$27*12,'Input sheet(dashboard)'!$D$3*(1+'Input sheet(dashboard)'!$E$24)^B498,0)</f>
        <v>0</v>
      </c>
      <c r="K498" s="3">
        <f>IF(B498&lt;='Input sheet(dashboard)'!$D$27*12,J498*'Input sheet(dashboard)'!$E$8,0)</f>
        <v>0</v>
      </c>
      <c r="L498" s="3">
        <f>IF(B498&lt;='Input sheet(dashboard)'!$D$27*12,'Input sheet(dashboard)'!$D$9*(1+'Input sheet(dashboard)'!$E$22)^B498,0)</f>
        <v>0</v>
      </c>
      <c r="M498" s="3">
        <f>IF(B498=1,'Input sheet(dashboard)'!$D$3*'Input sheet(dashboard)'!$D$10,0)</f>
        <v>0</v>
      </c>
      <c r="N498" s="3">
        <f>IF(B498='Input sheet(dashboard)'!$D$27*12,J498*'Input sheet(dashboard)'!$D$11,0)</f>
        <v>0</v>
      </c>
      <c r="O498" s="3">
        <f>IF(SUM(F498:F509)&gt;=150000,150000/12*'Input sheet(dashboard)'!$D$28,SUM(F498:F509)/12*'Input sheet(dashboard)'!$D$28)</f>
        <v>1.8818650022257292E-12</v>
      </c>
      <c r="P498" s="3">
        <f t="shared" si="69"/>
        <v>0</v>
      </c>
      <c r="Q498" s="3">
        <f>IF(B498&lt;='Input sheet(dashboard)'!$D$27*12,'Input sheet(dashboard)'!$D$12/12,0)</f>
        <v>0</v>
      </c>
      <c r="R498" s="3">
        <f>IF(B498&lt;='Input sheet(dashboard)'!$D$27*12,('Input sheet(dashboard)'!$D$15/12)*(1+'Input sheet(dashboard)'!$E$22)^Calculations!B498,0)</f>
        <v>0</v>
      </c>
      <c r="S498" s="3">
        <f>IF(B498&lt;='Input sheet(dashboard)'!$D$27*12,(E498+G498+K498+L498-O498+M498+Q498+R498),0)</f>
        <v>0</v>
      </c>
      <c r="T498" s="3">
        <f>IF(B498&lt;='Input sheet(dashboard)'!$D$27*12,IF(D498=12,SUM(S487:S498),0),0)</f>
        <v>0</v>
      </c>
      <c r="U498" s="3">
        <f>IF(B498&lt;='Input sheet(dashboard)'!$D$27*12,IF(S498&lt;AD498,AD498-S498,0),0)</f>
        <v>0</v>
      </c>
      <c r="V498" s="3">
        <f>IF(B498&lt;='Input sheet(dashboard)'!$D$27*12,V497*(1+'Input sheet(dashboard)'!$E$25)+U498,0)</f>
        <v>0</v>
      </c>
      <c r="W498" s="17">
        <f>IF(B498&lt;='Input sheet(dashboard)'!$D$27*12,J498-I498+V498-N498,0)</f>
        <v>0</v>
      </c>
      <c r="X498" s="3">
        <f>IF(B498&lt;='Input sheet(dashboard)'!$D$27*12,'Input sheet(dashboard)'!$D$17*(1+'Input sheet(dashboard)'!$E$23)^(B498-1),0)</f>
        <v>0</v>
      </c>
      <c r="Y498" s="3"/>
      <c r="Z498" s="18"/>
      <c r="AA498" s="18"/>
      <c r="AB498" s="3">
        <f>IF(B498=1,'Input sheet(dashboard)'!$D$18*Calculations!X498,IF(Calculations!B498=12*'Input sheet(dashboard)'!$D$27,'Input sheet(dashboard)'!$D$18*-Calculations!X498,0))</f>
        <v>0</v>
      </c>
      <c r="AC498" s="3">
        <f>IF(B498&lt;='Input sheet(dashboard)'!$D$27*12,IF(MOD(B497,'Input sheet(dashboard)'!$D$19*12),0,'Input sheet(dashboard)'!$D$20*(1+'Input sheet(dashboard)'!$E$22)^Calculations!B498),0)</f>
        <v>0</v>
      </c>
      <c r="AD498" s="17">
        <f t="shared" si="66"/>
        <v>0</v>
      </c>
      <c r="AE498" s="17">
        <f>IF(B498&lt;='Input sheet(dashboard)'!$D$27*12,IF(D498=12,SUM(AD487:AD498),0),0)</f>
        <v>0</v>
      </c>
      <c r="AF498" s="17">
        <f t="shared" si="67"/>
        <v>0</v>
      </c>
      <c r="AG498" s="17">
        <f t="shared" si="68"/>
        <v>0</v>
      </c>
      <c r="AH498" s="3" t="str">
        <f>IF(B498&lt;='Input sheet(dashboard)'!$D$27*12,AH497*(1+'Input sheet(dashboard)'!$E$25)+AG498," ")</f>
        <v xml:space="preserve"> </v>
      </c>
    </row>
    <row r="499" spans="2:34">
      <c r="B499">
        <f t="shared" si="63"/>
        <v>496</v>
      </c>
      <c r="C499">
        <f t="shared" si="70"/>
        <v>42</v>
      </c>
      <c r="D499">
        <f t="shared" si="71"/>
        <v>4</v>
      </c>
      <c r="E499" s="15">
        <f>IF(C499&lt;='Input sheet(dashboard)'!$D$6, -PMT('Input sheet(dashboard)'!$E$5,'Input sheet(dashboard)'!$D$6*12,'Input sheet(dashboard)'!$D$3*'Input sheet(dashboard)'!$D$4),0)</f>
        <v>0</v>
      </c>
      <c r="F499" s="3">
        <f>I498*'Input sheet(dashboard)'!$E$5</f>
        <v>1.2341181387953775E-11</v>
      </c>
      <c r="G499" s="3">
        <f>IF(C499&lt;='Input sheet(dashboard)'!$D$6,E499*'Input sheet(dashboard)'!$D$7,0)</f>
        <v>0</v>
      </c>
      <c r="H499" s="3">
        <f t="shared" si="64"/>
        <v>-1.2341181387953775E-11</v>
      </c>
      <c r="I499" s="3">
        <f t="shared" si="65"/>
        <v>3.4001801745217161E-9</v>
      </c>
      <c r="J499" s="3">
        <f>IF(B499&lt;='Input sheet(dashboard)'!$D$27*12,'Input sheet(dashboard)'!$D$3*(1+'Input sheet(dashboard)'!$E$24)^B499,0)</f>
        <v>0</v>
      </c>
      <c r="K499" s="3">
        <f>IF(B499&lt;='Input sheet(dashboard)'!$D$27*12,J499*'Input sheet(dashboard)'!$E$8,0)</f>
        <v>0</v>
      </c>
      <c r="L499" s="3">
        <f>IF(B499&lt;='Input sheet(dashboard)'!$D$27*12,'Input sheet(dashboard)'!$D$9*(1+'Input sheet(dashboard)'!$E$22)^B499,0)</f>
        <v>0</v>
      </c>
      <c r="M499" s="3">
        <f>IF(B499=1,'Input sheet(dashboard)'!$D$3*'Input sheet(dashboard)'!$D$10,0)</f>
        <v>0</v>
      </c>
      <c r="N499" s="3">
        <f>IF(B499='Input sheet(dashboard)'!$D$27*12,J499*'Input sheet(dashboard)'!$D$11,0)</f>
        <v>0</v>
      </c>
      <c r="O499" s="3">
        <f>IF(SUM(F499:F510)&gt;=150000,150000/12*'Input sheet(dashboard)'!$D$28,SUM(F499:F510)/12*'Input sheet(dashboard)'!$D$28)</f>
        <v>1.8887202386720832E-12</v>
      </c>
      <c r="P499" s="3">
        <f t="shared" si="69"/>
        <v>0</v>
      </c>
      <c r="Q499" s="3">
        <f>IF(B499&lt;='Input sheet(dashboard)'!$D$27*12,'Input sheet(dashboard)'!$D$12/12,0)</f>
        <v>0</v>
      </c>
      <c r="R499" s="3">
        <f>IF(B499&lt;='Input sheet(dashboard)'!$D$27*12,('Input sheet(dashboard)'!$D$15/12)*(1+'Input sheet(dashboard)'!$E$22)^Calculations!B499,0)</f>
        <v>0</v>
      </c>
      <c r="S499" s="3">
        <f>IF(B499&lt;='Input sheet(dashboard)'!$D$27*12,(E499+G499+K499+L499-O499+M499+Q499+R499),0)</f>
        <v>0</v>
      </c>
      <c r="T499" s="3">
        <f>IF(B499&lt;='Input sheet(dashboard)'!$D$27*12,IF(D499=12,SUM(S488:S499),0),0)</f>
        <v>0</v>
      </c>
      <c r="U499" s="3">
        <f>IF(B499&lt;='Input sheet(dashboard)'!$D$27*12,IF(S499&lt;AD499,AD499-S499,0),0)</f>
        <v>0</v>
      </c>
      <c r="V499" s="3">
        <f>IF(B499&lt;='Input sheet(dashboard)'!$D$27*12,V498*(1+'Input sheet(dashboard)'!$E$25)+U499,0)</f>
        <v>0</v>
      </c>
      <c r="W499" s="17">
        <f>IF(B499&lt;='Input sheet(dashboard)'!$D$27*12,J499-I499+V499-N499,0)</f>
        <v>0</v>
      </c>
      <c r="X499" s="3">
        <f>IF(B499&lt;='Input sheet(dashboard)'!$D$27*12,'Input sheet(dashboard)'!$D$17*(1+'Input sheet(dashboard)'!$E$23)^(B499-1),0)</f>
        <v>0</v>
      </c>
      <c r="Y499" s="3"/>
      <c r="Z499" s="18"/>
      <c r="AA499" s="18"/>
      <c r="AB499" s="3">
        <f>IF(B499=1,'Input sheet(dashboard)'!$D$18*Calculations!X499,IF(Calculations!B499=12*'Input sheet(dashboard)'!$D$27,'Input sheet(dashboard)'!$D$18*-Calculations!X499,0))</f>
        <v>0</v>
      </c>
      <c r="AC499" s="3">
        <f>IF(B499&lt;='Input sheet(dashboard)'!$D$27*12,IF(MOD(B498,'Input sheet(dashboard)'!$D$19*12),0,'Input sheet(dashboard)'!$D$20*(1+'Input sheet(dashboard)'!$E$22)^Calculations!B499),0)</f>
        <v>0</v>
      </c>
      <c r="AD499" s="17">
        <f t="shared" si="66"/>
        <v>0</v>
      </c>
      <c r="AE499" s="17">
        <f>IF(B499&lt;='Input sheet(dashboard)'!$D$27*12,IF(D499=12,SUM(AD488:AD499),0),0)</f>
        <v>0</v>
      </c>
      <c r="AF499" s="17">
        <f t="shared" si="67"/>
        <v>0</v>
      </c>
      <c r="AG499" s="17">
        <f t="shared" si="68"/>
        <v>0</v>
      </c>
      <c r="AH499" s="3" t="str">
        <f>IF(B499&lt;='Input sheet(dashboard)'!$D$27*12,AH498*(1+'Input sheet(dashboard)'!$E$25)+AG499," ")</f>
        <v xml:space="preserve"> </v>
      </c>
    </row>
    <row r="500" spans="2:34">
      <c r="B500">
        <f t="shared" si="63"/>
        <v>497</v>
      </c>
      <c r="C500">
        <f t="shared" si="70"/>
        <v>42</v>
      </c>
      <c r="D500">
        <f t="shared" si="71"/>
        <v>5</v>
      </c>
      <c r="E500" s="15">
        <f>IF(C500&lt;='Input sheet(dashboard)'!$D$6, -PMT('Input sheet(dashboard)'!$E$5,'Input sheet(dashboard)'!$D$6*12,'Input sheet(dashboard)'!$D$3*'Input sheet(dashboard)'!$D$4),0)</f>
        <v>0</v>
      </c>
      <c r="F500" s="3">
        <f>I499*'Input sheet(dashboard)'!$E$5</f>
        <v>1.238613770328017E-11</v>
      </c>
      <c r="G500" s="3">
        <f>IF(C500&lt;='Input sheet(dashboard)'!$D$6,E500*'Input sheet(dashboard)'!$D$7,0)</f>
        <v>0</v>
      </c>
      <c r="H500" s="3">
        <f t="shared" si="64"/>
        <v>-1.238613770328017E-11</v>
      </c>
      <c r="I500" s="3">
        <f t="shared" si="65"/>
        <v>3.4125663122249962E-9</v>
      </c>
      <c r="J500" s="3">
        <f>IF(B500&lt;='Input sheet(dashboard)'!$D$27*12,'Input sheet(dashboard)'!$D$3*(1+'Input sheet(dashboard)'!$E$24)^B500,0)</f>
        <v>0</v>
      </c>
      <c r="K500" s="3">
        <f>IF(B500&lt;='Input sheet(dashboard)'!$D$27*12,J500*'Input sheet(dashboard)'!$E$8,0)</f>
        <v>0</v>
      </c>
      <c r="L500" s="3">
        <f>IF(B500&lt;='Input sheet(dashboard)'!$D$27*12,'Input sheet(dashboard)'!$D$9*(1+'Input sheet(dashboard)'!$E$22)^B500,0)</f>
        <v>0</v>
      </c>
      <c r="M500" s="3">
        <f>IF(B500=1,'Input sheet(dashboard)'!$D$3*'Input sheet(dashboard)'!$D$10,0)</f>
        <v>0</v>
      </c>
      <c r="N500" s="3">
        <f>IF(B500='Input sheet(dashboard)'!$D$27*12,J500*'Input sheet(dashboard)'!$D$11,0)</f>
        <v>0</v>
      </c>
      <c r="O500" s="3">
        <f>IF(SUM(F500:F511)&gt;=150000,150000/12*'Input sheet(dashboard)'!$D$28,SUM(F500:F511)/12*'Input sheet(dashboard)'!$D$28)</f>
        <v>1.895600447295867E-12</v>
      </c>
      <c r="P500" s="3">
        <f t="shared" si="69"/>
        <v>0</v>
      </c>
      <c r="Q500" s="3">
        <f>IF(B500&lt;='Input sheet(dashboard)'!$D$27*12,'Input sheet(dashboard)'!$D$12/12,0)</f>
        <v>0</v>
      </c>
      <c r="R500" s="3">
        <f>IF(B500&lt;='Input sheet(dashboard)'!$D$27*12,('Input sheet(dashboard)'!$D$15/12)*(1+'Input sheet(dashboard)'!$E$22)^Calculations!B500,0)</f>
        <v>0</v>
      </c>
      <c r="S500" s="3">
        <f>IF(B500&lt;='Input sheet(dashboard)'!$D$27*12,(E500+G500+K500+L500-O500+M500+Q500+R500),0)</f>
        <v>0</v>
      </c>
      <c r="T500" s="3">
        <f>IF(B500&lt;='Input sheet(dashboard)'!$D$27*12,IF(D500=12,SUM(S489:S500),0),0)</f>
        <v>0</v>
      </c>
      <c r="U500" s="3">
        <f>IF(B500&lt;='Input sheet(dashboard)'!$D$27*12,IF(S500&lt;AD500,AD500-S500,0),0)</f>
        <v>0</v>
      </c>
      <c r="V500" s="3">
        <f>IF(B500&lt;='Input sheet(dashboard)'!$D$27*12,V499*(1+'Input sheet(dashboard)'!$E$25)+U500,0)</f>
        <v>0</v>
      </c>
      <c r="W500" s="17">
        <f>IF(B500&lt;='Input sheet(dashboard)'!$D$27*12,J500-I500+V500-N500,0)</f>
        <v>0</v>
      </c>
      <c r="X500" s="3">
        <f>IF(B500&lt;='Input sheet(dashboard)'!$D$27*12,'Input sheet(dashboard)'!$D$17*(1+'Input sheet(dashboard)'!$E$23)^(B500-1),0)</f>
        <v>0</v>
      </c>
      <c r="Y500" s="3"/>
      <c r="Z500" s="18"/>
      <c r="AA500" s="18"/>
      <c r="AB500" s="3">
        <f>IF(B500=1,'Input sheet(dashboard)'!$D$18*Calculations!X500,IF(Calculations!B500=12*'Input sheet(dashboard)'!$D$27,'Input sheet(dashboard)'!$D$18*-Calculations!X500,0))</f>
        <v>0</v>
      </c>
      <c r="AC500" s="3">
        <f>IF(B500&lt;='Input sheet(dashboard)'!$D$27*12,IF(MOD(B499,'Input sheet(dashboard)'!$D$19*12),0,'Input sheet(dashboard)'!$D$20*(1+'Input sheet(dashboard)'!$E$22)^Calculations!B500),0)</f>
        <v>0</v>
      </c>
      <c r="AD500" s="17">
        <f t="shared" si="66"/>
        <v>0</v>
      </c>
      <c r="AE500" s="17">
        <f>IF(B500&lt;='Input sheet(dashboard)'!$D$27*12,IF(D500=12,SUM(AD489:AD500),0),0)</f>
        <v>0</v>
      </c>
      <c r="AF500" s="17">
        <f t="shared" si="67"/>
        <v>0</v>
      </c>
      <c r="AG500" s="17">
        <f t="shared" si="68"/>
        <v>0</v>
      </c>
      <c r="AH500" s="3" t="str">
        <f>IF(B500&lt;='Input sheet(dashboard)'!$D$27*12,AH499*(1+'Input sheet(dashboard)'!$E$25)+AG500," ")</f>
        <v xml:space="preserve"> </v>
      </c>
    </row>
    <row r="501" spans="2:34">
      <c r="B501">
        <f t="shared" si="63"/>
        <v>498</v>
      </c>
      <c r="C501">
        <f t="shared" si="70"/>
        <v>42</v>
      </c>
      <c r="D501">
        <f t="shared" si="71"/>
        <v>6</v>
      </c>
      <c r="E501" s="15">
        <f>IF(C501&lt;='Input sheet(dashboard)'!$D$6, -PMT('Input sheet(dashboard)'!$E$5,'Input sheet(dashboard)'!$D$6*12,'Input sheet(dashboard)'!$D$3*'Input sheet(dashboard)'!$D$4),0)</f>
        <v>0</v>
      </c>
      <c r="F501" s="3">
        <f>I500*'Input sheet(dashboard)'!$E$5</f>
        <v>1.2431257784961194E-11</v>
      </c>
      <c r="G501" s="3">
        <f>IF(C501&lt;='Input sheet(dashboard)'!$D$6,E501*'Input sheet(dashboard)'!$D$7,0)</f>
        <v>0</v>
      </c>
      <c r="H501" s="3">
        <f t="shared" si="64"/>
        <v>-1.2431257784961194E-11</v>
      </c>
      <c r="I501" s="3">
        <f t="shared" si="65"/>
        <v>3.4249975700099574E-9</v>
      </c>
      <c r="J501" s="3">
        <f>IF(B501&lt;='Input sheet(dashboard)'!$D$27*12,'Input sheet(dashboard)'!$D$3*(1+'Input sheet(dashboard)'!$E$24)^B501,0)</f>
        <v>0</v>
      </c>
      <c r="K501" s="3">
        <f>IF(B501&lt;='Input sheet(dashboard)'!$D$27*12,J501*'Input sheet(dashboard)'!$E$8,0)</f>
        <v>0</v>
      </c>
      <c r="L501" s="3">
        <f>IF(B501&lt;='Input sheet(dashboard)'!$D$27*12,'Input sheet(dashboard)'!$D$9*(1+'Input sheet(dashboard)'!$E$22)^B501,0)</f>
        <v>0</v>
      </c>
      <c r="M501" s="3">
        <f>IF(B501=1,'Input sheet(dashboard)'!$D$3*'Input sheet(dashboard)'!$D$10,0)</f>
        <v>0</v>
      </c>
      <c r="N501" s="3">
        <f>IF(B501='Input sheet(dashboard)'!$D$27*12,J501*'Input sheet(dashboard)'!$D$11,0)</f>
        <v>0</v>
      </c>
      <c r="O501" s="3">
        <f>IF(SUM(F501:F512)&gt;=150000,150000/12*'Input sheet(dashboard)'!$D$28,SUM(F501:F512)/12*'Input sheet(dashboard)'!$D$28)</f>
        <v>1.9025057190654457E-12</v>
      </c>
      <c r="P501" s="3">
        <f t="shared" si="69"/>
        <v>0</v>
      </c>
      <c r="Q501" s="3">
        <f>IF(B501&lt;='Input sheet(dashboard)'!$D$27*12,'Input sheet(dashboard)'!$D$12/12,0)</f>
        <v>0</v>
      </c>
      <c r="R501" s="3">
        <f>IF(B501&lt;='Input sheet(dashboard)'!$D$27*12,('Input sheet(dashboard)'!$D$15/12)*(1+'Input sheet(dashboard)'!$E$22)^Calculations!B501,0)</f>
        <v>0</v>
      </c>
      <c r="S501" s="3">
        <f>IF(B501&lt;='Input sheet(dashboard)'!$D$27*12,(E501+G501+K501+L501-O501+M501+Q501+R501),0)</f>
        <v>0</v>
      </c>
      <c r="T501" s="3">
        <f>IF(B501&lt;='Input sheet(dashboard)'!$D$27*12,IF(D501=12,SUM(S490:S501),0),0)</f>
        <v>0</v>
      </c>
      <c r="U501" s="3">
        <f>IF(B501&lt;='Input sheet(dashboard)'!$D$27*12,IF(S501&lt;AD501,AD501-S501,0),0)</f>
        <v>0</v>
      </c>
      <c r="V501" s="3">
        <f>IF(B501&lt;='Input sheet(dashboard)'!$D$27*12,V500*(1+'Input sheet(dashboard)'!$E$25)+U501,0)</f>
        <v>0</v>
      </c>
      <c r="W501" s="17">
        <f>IF(B501&lt;='Input sheet(dashboard)'!$D$27*12,J501-I501+V501-N501,0)</f>
        <v>0</v>
      </c>
      <c r="X501" s="3">
        <f>IF(B501&lt;='Input sheet(dashboard)'!$D$27*12,'Input sheet(dashboard)'!$D$17*(1+'Input sheet(dashboard)'!$E$23)^(B501-1),0)</f>
        <v>0</v>
      </c>
      <c r="Y501" s="3"/>
      <c r="Z501" s="18"/>
      <c r="AA501" s="18"/>
      <c r="AB501" s="3">
        <f>IF(B501=1,'Input sheet(dashboard)'!$D$18*Calculations!X501,IF(Calculations!B501=12*'Input sheet(dashboard)'!$D$27,'Input sheet(dashboard)'!$D$18*-Calculations!X501,0))</f>
        <v>0</v>
      </c>
      <c r="AC501" s="3">
        <f>IF(B501&lt;='Input sheet(dashboard)'!$D$27*12,IF(MOD(B500,'Input sheet(dashboard)'!$D$19*12),0,'Input sheet(dashboard)'!$D$20*(1+'Input sheet(dashboard)'!$E$22)^Calculations!B501),0)</f>
        <v>0</v>
      </c>
      <c r="AD501" s="17">
        <f t="shared" si="66"/>
        <v>0</v>
      </c>
      <c r="AE501" s="17">
        <f>IF(B501&lt;='Input sheet(dashboard)'!$D$27*12,IF(D501=12,SUM(AD490:AD501),0),0)</f>
        <v>0</v>
      </c>
      <c r="AF501" s="17">
        <f t="shared" si="67"/>
        <v>0</v>
      </c>
      <c r="AG501" s="17">
        <f t="shared" si="68"/>
        <v>0</v>
      </c>
      <c r="AH501" s="3" t="str">
        <f>IF(B501&lt;='Input sheet(dashboard)'!$D$27*12,AH500*(1+'Input sheet(dashboard)'!$E$25)+AG501," ")</f>
        <v xml:space="preserve"> </v>
      </c>
    </row>
    <row r="502" spans="2:34">
      <c r="B502">
        <f t="shared" si="63"/>
        <v>499</v>
      </c>
      <c r="C502">
        <f t="shared" si="70"/>
        <v>42</v>
      </c>
      <c r="D502">
        <f t="shared" si="71"/>
        <v>7</v>
      </c>
      <c r="E502" s="15">
        <f>IF(C502&lt;='Input sheet(dashboard)'!$D$6, -PMT('Input sheet(dashboard)'!$E$5,'Input sheet(dashboard)'!$D$6*12,'Input sheet(dashboard)'!$D$3*'Input sheet(dashboard)'!$D$4),0)</f>
        <v>0</v>
      </c>
      <c r="F502" s="3">
        <f>I501*'Input sheet(dashboard)'!$E$5</f>
        <v>1.2476542229563064E-11</v>
      </c>
      <c r="G502" s="3">
        <f>IF(C502&lt;='Input sheet(dashboard)'!$D$6,E502*'Input sheet(dashboard)'!$D$7,0)</f>
        <v>0</v>
      </c>
      <c r="H502" s="3">
        <f t="shared" si="64"/>
        <v>-1.2476542229563064E-11</v>
      </c>
      <c r="I502" s="3">
        <f t="shared" si="65"/>
        <v>3.4374741122395204E-9</v>
      </c>
      <c r="J502" s="3">
        <f>IF(B502&lt;='Input sheet(dashboard)'!$D$27*12,'Input sheet(dashboard)'!$D$3*(1+'Input sheet(dashboard)'!$E$24)^B502,0)</f>
        <v>0</v>
      </c>
      <c r="K502" s="3">
        <f>IF(B502&lt;='Input sheet(dashboard)'!$D$27*12,J502*'Input sheet(dashboard)'!$E$8,0)</f>
        <v>0</v>
      </c>
      <c r="L502" s="3">
        <f>IF(B502&lt;='Input sheet(dashboard)'!$D$27*12,'Input sheet(dashboard)'!$D$9*(1+'Input sheet(dashboard)'!$E$22)^B502,0)</f>
        <v>0</v>
      </c>
      <c r="M502" s="3">
        <f>IF(B502=1,'Input sheet(dashboard)'!$D$3*'Input sheet(dashboard)'!$D$10,0)</f>
        <v>0</v>
      </c>
      <c r="N502" s="3">
        <f>IF(B502='Input sheet(dashboard)'!$D$27*12,J502*'Input sheet(dashboard)'!$D$11,0)</f>
        <v>0</v>
      </c>
      <c r="O502" s="3">
        <f>IF(SUM(F502:F513)&gt;=150000,150000/12*'Input sheet(dashboard)'!$D$28,SUM(F502:F513)/12*'Input sheet(dashboard)'!$D$28)</f>
        <v>1.909436145280562E-12</v>
      </c>
      <c r="P502" s="3">
        <f t="shared" si="69"/>
        <v>0</v>
      </c>
      <c r="Q502" s="3">
        <f>IF(B502&lt;='Input sheet(dashboard)'!$D$27*12,'Input sheet(dashboard)'!$D$12/12,0)</f>
        <v>0</v>
      </c>
      <c r="R502" s="3">
        <f>IF(B502&lt;='Input sheet(dashboard)'!$D$27*12,('Input sheet(dashboard)'!$D$15/12)*(1+'Input sheet(dashboard)'!$E$22)^Calculations!B502,0)</f>
        <v>0</v>
      </c>
      <c r="S502" s="3">
        <f>IF(B502&lt;='Input sheet(dashboard)'!$D$27*12,(E502+G502+K502+L502-O502+M502+Q502+R502),0)</f>
        <v>0</v>
      </c>
      <c r="T502" s="3">
        <f>IF(B502&lt;='Input sheet(dashboard)'!$D$27*12,IF(D502=12,SUM(S491:S502),0),0)</f>
        <v>0</v>
      </c>
      <c r="U502" s="3">
        <f>IF(B502&lt;='Input sheet(dashboard)'!$D$27*12,IF(S502&lt;AD502,AD502-S502,0),0)</f>
        <v>0</v>
      </c>
      <c r="V502" s="3">
        <f>IF(B502&lt;='Input sheet(dashboard)'!$D$27*12,V501*(1+'Input sheet(dashboard)'!$E$25)+U502,0)</f>
        <v>0</v>
      </c>
      <c r="W502" s="17">
        <f>IF(B502&lt;='Input sheet(dashboard)'!$D$27*12,J502-I502+V502-N502,0)</f>
        <v>0</v>
      </c>
      <c r="X502" s="3">
        <f>IF(B502&lt;='Input sheet(dashboard)'!$D$27*12,'Input sheet(dashboard)'!$D$17*(1+'Input sheet(dashboard)'!$E$23)^(B502-1),0)</f>
        <v>0</v>
      </c>
      <c r="Y502" s="3"/>
      <c r="Z502" s="18"/>
      <c r="AA502" s="18"/>
      <c r="AB502" s="3">
        <f>IF(B502=1,'Input sheet(dashboard)'!$D$18*Calculations!X502,IF(Calculations!B502=12*'Input sheet(dashboard)'!$D$27,'Input sheet(dashboard)'!$D$18*-Calculations!X502,0))</f>
        <v>0</v>
      </c>
      <c r="AC502" s="3">
        <f>IF(B502&lt;='Input sheet(dashboard)'!$D$27*12,IF(MOD(B501,'Input sheet(dashboard)'!$D$19*12),0,'Input sheet(dashboard)'!$D$20*(1+'Input sheet(dashboard)'!$E$22)^Calculations!B502),0)</f>
        <v>0</v>
      </c>
      <c r="AD502" s="17">
        <f t="shared" si="66"/>
        <v>0</v>
      </c>
      <c r="AE502" s="17">
        <f>IF(B502&lt;='Input sheet(dashboard)'!$D$27*12,IF(D502=12,SUM(AD491:AD502),0),0)</f>
        <v>0</v>
      </c>
      <c r="AF502" s="17">
        <f t="shared" si="67"/>
        <v>0</v>
      </c>
      <c r="AG502" s="17">
        <f t="shared" si="68"/>
        <v>0</v>
      </c>
      <c r="AH502" s="3" t="str">
        <f>IF(B502&lt;='Input sheet(dashboard)'!$D$27*12,AH501*(1+'Input sheet(dashboard)'!$E$25)+AG502," ")</f>
        <v xml:space="preserve"> </v>
      </c>
    </row>
    <row r="503" spans="2:34">
      <c r="B503">
        <f t="shared" si="63"/>
        <v>500</v>
      </c>
      <c r="C503">
        <f t="shared" si="70"/>
        <v>42</v>
      </c>
      <c r="D503">
        <f t="shared" si="71"/>
        <v>8</v>
      </c>
      <c r="E503" s="15">
        <f>IF(C503&lt;='Input sheet(dashboard)'!$D$6, -PMT('Input sheet(dashboard)'!$E$5,'Input sheet(dashboard)'!$D$6*12,'Input sheet(dashboard)'!$D$3*'Input sheet(dashboard)'!$D$4),0)</f>
        <v>0</v>
      </c>
      <c r="F503" s="3">
        <f>I502*'Input sheet(dashboard)'!$E$5</f>
        <v>1.2521991635825159E-11</v>
      </c>
      <c r="G503" s="3">
        <f>IF(C503&lt;='Input sheet(dashboard)'!$D$6,E503*'Input sheet(dashboard)'!$D$7,0)</f>
        <v>0</v>
      </c>
      <c r="H503" s="3">
        <f t="shared" si="64"/>
        <v>-1.2521991635825159E-11</v>
      </c>
      <c r="I503" s="3">
        <f t="shared" si="65"/>
        <v>3.4499961038753456E-9</v>
      </c>
      <c r="J503" s="3">
        <f>IF(B503&lt;='Input sheet(dashboard)'!$D$27*12,'Input sheet(dashboard)'!$D$3*(1+'Input sheet(dashboard)'!$E$24)^B503,0)</f>
        <v>0</v>
      </c>
      <c r="K503" s="3">
        <f>IF(B503&lt;='Input sheet(dashboard)'!$D$27*12,J503*'Input sheet(dashboard)'!$E$8,0)</f>
        <v>0</v>
      </c>
      <c r="L503" s="3">
        <f>IF(B503&lt;='Input sheet(dashboard)'!$D$27*12,'Input sheet(dashboard)'!$D$9*(1+'Input sheet(dashboard)'!$E$22)^B503,0)</f>
        <v>0</v>
      </c>
      <c r="M503" s="3">
        <f>IF(B503=1,'Input sheet(dashboard)'!$D$3*'Input sheet(dashboard)'!$D$10,0)</f>
        <v>0</v>
      </c>
      <c r="N503" s="3">
        <f>IF(B503='Input sheet(dashboard)'!$D$27*12,J503*'Input sheet(dashboard)'!$D$11,0)</f>
        <v>0</v>
      </c>
      <c r="O503" s="3">
        <f>IF(SUM(F503:F514)&gt;=150000,150000/12*'Input sheet(dashboard)'!$D$28,SUM(F503:F514)/12*'Input sheet(dashboard)'!$D$28)</f>
        <v>1.9163918175735433E-12</v>
      </c>
      <c r="P503" s="3">
        <f t="shared" si="69"/>
        <v>0</v>
      </c>
      <c r="Q503" s="3">
        <f>IF(B503&lt;='Input sheet(dashboard)'!$D$27*12,'Input sheet(dashboard)'!$D$12/12,0)</f>
        <v>0</v>
      </c>
      <c r="R503" s="3">
        <f>IF(B503&lt;='Input sheet(dashboard)'!$D$27*12,('Input sheet(dashboard)'!$D$15/12)*(1+'Input sheet(dashboard)'!$E$22)^Calculations!B503,0)</f>
        <v>0</v>
      </c>
      <c r="S503" s="3">
        <f>IF(B503&lt;='Input sheet(dashboard)'!$D$27*12,(E503+G503+K503+L503-O503+M503+Q503+R503),0)</f>
        <v>0</v>
      </c>
      <c r="T503" s="3">
        <f>IF(B503&lt;='Input sheet(dashboard)'!$D$27*12,IF(D503=12,SUM(S492:S503),0),0)</f>
        <v>0</v>
      </c>
      <c r="U503" s="3">
        <f>IF(B503&lt;='Input sheet(dashboard)'!$D$27*12,IF(S503&lt;AD503,AD503-S503,0),0)</f>
        <v>0</v>
      </c>
      <c r="V503" s="3">
        <f>IF(B503&lt;='Input sheet(dashboard)'!$D$27*12,V502*(1+'Input sheet(dashboard)'!$E$25)+U503,0)</f>
        <v>0</v>
      </c>
      <c r="W503" s="17">
        <f>IF(B503&lt;='Input sheet(dashboard)'!$D$27*12,J503-I503+V503-N503,0)</f>
        <v>0</v>
      </c>
      <c r="X503" s="3">
        <f>IF(B503&lt;='Input sheet(dashboard)'!$D$27*12,'Input sheet(dashboard)'!$D$17*(1+'Input sheet(dashboard)'!$E$23)^(B503-1),0)</f>
        <v>0</v>
      </c>
      <c r="Y503" s="3"/>
      <c r="Z503" s="18"/>
      <c r="AA503" s="18"/>
      <c r="AB503" s="3">
        <f>IF(B503=1,'Input sheet(dashboard)'!$D$18*Calculations!X503,IF(Calculations!B503=12*'Input sheet(dashboard)'!$D$27,'Input sheet(dashboard)'!$D$18*-Calculations!X503,0))</f>
        <v>0</v>
      </c>
      <c r="AC503" s="3">
        <f>IF(B503&lt;='Input sheet(dashboard)'!$D$27*12,IF(MOD(B502,'Input sheet(dashboard)'!$D$19*12),0,'Input sheet(dashboard)'!$D$20*(1+'Input sheet(dashboard)'!$E$22)^Calculations!B503),0)</f>
        <v>0</v>
      </c>
      <c r="AD503" s="17">
        <f t="shared" si="66"/>
        <v>0</v>
      </c>
      <c r="AE503" s="17">
        <f>IF(B503&lt;='Input sheet(dashboard)'!$D$27*12,IF(D503=12,SUM(AD492:AD503),0),0)</f>
        <v>0</v>
      </c>
      <c r="AF503" s="17">
        <f t="shared" si="67"/>
        <v>0</v>
      </c>
      <c r="AG503" s="17">
        <f t="shared" si="68"/>
        <v>0</v>
      </c>
      <c r="AH503" s="3" t="str">
        <f>IF(B503&lt;='Input sheet(dashboard)'!$D$27*12,AH502*(1+'Input sheet(dashboard)'!$E$25)+AG503," ")</f>
        <v xml:space="preserve"> </v>
      </c>
    </row>
    <row r="504" spans="2:34">
      <c r="B504">
        <f t="shared" si="63"/>
        <v>501</v>
      </c>
      <c r="C504">
        <f t="shared" si="70"/>
        <v>42</v>
      </c>
      <c r="D504">
        <f t="shared" si="71"/>
        <v>9</v>
      </c>
      <c r="E504" s="15">
        <f>IF(C504&lt;='Input sheet(dashboard)'!$D$6, -PMT('Input sheet(dashboard)'!$E$5,'Input sheet(dashboard)'!$D$6*12,'Input sheet(dashboard)'!$D$3*'Input sheet(dashboard)'!$D$4),0)</f>
        <v>0</v>
      </c>
      <c r="F504" s="3">
        <f>I503*'Input sheet(dashboard)'!$E$5</f>
        <v>1.256760660466794E-11</v>
      </c>
      <c r="G504" s="3">
        <f>IF(C504&lt;='Input sheet(dashboard)'!$D$6,E504*'Input sheet(dashboard)'!$D$7,0)</f>
        <v>0</v>
      </c>
      <c r="H504" s="3">
        <f t="shared" si="64"/>
        <v>-1.256760660466794E-11</v>
      </c>
      <c r="I504" s="3">
        <f t="shared" si="65"/>
        <v>3.4625637104800136E-9</v>
      </c>
      <c r="J504" s="3">
        <f>IF(B504&lt;='Input sheet(dashboard)'!$D$27*12,'Input sheet(dashboard)'!$D$3*(1+'Input sheet(dashboard)'!$E$24)^B504,0)</f>
        <v>0</v>
      </c>
      <c r="K504" s="3">
        <f>IF(B504&lt;='Input sheet(dashboard)'!$D$27*12,J504*'Input sheet(dashboard)'!$E$8,0)</f>
        <v>0</v>
      </c>
      <c r="L504" s="3">
        <f>IF(B504&lt;='Input sheet(dashboard)'!$D$27*12,'Input sheet(dashboard)'!$D$9*(1+'Input sheet(dashboard)'!$E$22)^B504,0)</f>
        <v>0</v>
      </c>
      <c r="M504" s="3">
        <f>IF(B504=1,'Input sheet(dashboard)'!$D$3*'Input sheet(dashboard)'!$D$10,0)</f>
        <v>0</v>
      </c>
      <c r="N504" s="3">
        <f>IF(B504='Input sheet(dashboard)'!$D$27*12,J504*'Input sheet(dashboard)'!$D$11,0)</f>
        <v>0</v>
      </c>
      <c r="O504" s="3">
        <f>IF(SUM(F504:F515)&gt;=150000,150000/12*'Input sheet(dashboard)'!$D$28,SUM(F504:F515)/12*'Input sheet(dashboard)'!$D$28)</f>
        <v>1.9233728279105155E-12</v>
      </c>
      <c r="P504" s="3">
        <f t="shared" si="69"/>
        <v>0</v>
      </c>
      <c r="Q504" s="3">
        <f>IF(B504&lt;='Input sheet(dashboard)'!$D$27*12,'Input sheet(dashboard)'!$D$12/12,0)</f>
        <v>0</v>
      </c>
      <c r="R504" s="3">
        <f>IF(B504&lt;='Input sheet(dashboard)'!$D$27*12,('Input sheet(dashboard)'!$D$15/12)*(1+'Input sheet(dashboard)'!$E$22)^Calculations!B504,0)</f>
        <v>0</v>
      </c>
      <c r="S504" s="3">
        <f>IF(B504&lt;='Input sheet(dashboard)'!$D$27*12,(E504+G504+K504+L504-O504+M504+Q504+R504),0)</f>
        <v>0</v>
      </c>
      <c r="T504" s="3">
        <f>IF(B504&lt;='Input sheet(dashboard)'!$D$27*12,IF(D504=12,SUM(S493:S504),0),0)</f>
        <v>0</v>
      </c>
      <c r="U504" s="3">
        <f>IF(B504&lt;='Input sheet(dashboard)'!$D$27*12,IF(S504&lt;AD504,AD504-S504,0),0)</f>
        <v>0</v>
      </c>
      <c r="V504" s="3">
        <f>IF(B504&lt;='Input sheet(dashboard)'!$D$27*12,V503*(1+'Input sheet(dashboard)'!$E$25)+U504,0)</f>
        <v>0</v>
      </c>
      <c r="W504" s="17">
        <f>IF(B504&lt;='Input sheet(dashboard)'!$D$27*12,J504-I504+V504-N504,0)</f>
        <v>0</v>
      </c>
      <c r="X504" s="3">
        <f>IF(B504&lt;='Input sheet(dashboard)'!$D$27*12,'Input sheet(dashboard)'!$D$17*(1+'Input sheet(dashboard)'!$E$23)^(B504-1),0)</f>
        <v>0</v>
      </c>
      <c r="Y504" s="3"/>
      <c r="Z504" s="18"/>
      <c r="AA504" s="18"/>
      <c r="AB504" s="3">
        <f>IF(B504=1,'Input sheet(dashboard)'!$D$18*Calculations!X504,IF(Calculations!B504=12*'Input sheet(dashboard)'!$D$27,'Input sheet(dashboard)'!$D$18*-Calculations!X504,0))</f>
        <v>0</v>
      </c>
      <c r="AC504" s="3">
        <f>IF(B504&lt;='Input sheet(dashboard)'!$D$27*12,IF(MOD(B503,'Input sheet(dashboard)'!$D$19*12),0,'Input sheet(dashboard)'!$D$20*(1+'Input sheet(dashboard)'!$E$22)^Calculations!B504),0)</f>
        <v>0</v>
      </c>
      <c r="AD504" s="17">
        <f t="shared" si="66"/>
        <v>0</v>
      </c>
      <c r="AE504" s="17">
        <f>IF(B504&lt;='Input sheet(dashboard)'!$D$27*12,IF(D504=12,SUM(AD493:AD504),0),0)</f>
        <v>0</v>
      </c>
      <c r="AF504" s="17">
        <f t="shared" si="67"/>
        <v>0</v>
      </c>
      <c r="AG504" s="17">
        <f t="shared" si="68"/>
        <v>0</v>
      </c>
      <c r="AH504" s="3" t="str">
        <f>IF(B504&lt;='Input sheet(dashboard)'!$D$27*12,AH503*(1+'Input sheet(dashboard)'!$E$25)+AG504," ")</f>
        <v xml:space="preserve"> </v>
      </c>
    </row>
    <row r="505" spans="2:34">
      <c r="B505">
        <f t="shared" si="63"/>
        <v>502</v>
      </c>
      <c r="C505">
        <f t="shared" si="70"/>
        <v>42</v>
      </c>
      <c r="D505">
        <f t="shared" si="71"/>
        <v>10</v>
      </c>
      <c r="E505" s="15">
        <f>IF(C505&lt;='Input sheet(dashboard)'!$D$6, -PMT('Input sheet(dashboard)'!$E$5,'Input sheet(dashboard)'!$D$6*12,'Input sheet(dashboard)'!$D$3*'Input sheet(dashboard)'!$D$4),0)</f>
        <v>0</v>
      </c>
      <c r="F505" s="3">
        <f>I504*'Input sheet(dashboard)'!$E$5</f>
        <v>1.2613387739200897E-11</v>
      </c>
      <c r="G505" s="3">
        <f>IF(C505&lt;='Input sheet(dashboard)'!$D$6,E505*'Input sheet(dashboard)'!$D$7,0)</f>
        <v>0</v>
      </c>
      <c r="H505" s="3">
        <f t="shared" si="64"/>
        <v>-1.2613387739200897E-11</v>
      </c>
      <c r="I505" s="3">
        <f t="shared" si="65"/>
        <v>3.4751770982192144E-9</v>
      </c>
      <c r="J505" s="3">
        <f>IF(B505&lt;='Input sheet(dashboard)'!$D$27*12,'Input sheet(dashboard)'!$D$3*(1+'Input sheet(dashboard)'!$E$24)^B505,0)</f>
        <v>0</v>
      </c>
      <c r="K505" s="3">
        <f>IF(B505&lt;='Input sheet(dashboard)'!$D$27*12,J505*'Input sheet(dashboard)'!$E$8,0)</f>
        <v>0</v>
      </c>
      <c r="L505" s="3">
        <f>IF(B505&lt;='Input sheet(dashboard)'!$D$27*12,'Input sheet(dashboard)'!$D$9*(1+'Input sheet(dashboard)'!$E$22)^B505,0)</f>
        <v>0</v>
      </c>
      <c r="M505" s="3">
        <f>IF(B505=1,'Input sheet(dashboard)'!$D$3*'Input sheet(dashboard)'!$D$10,0)</f>
        <v>0</v>
      </c>
      <c r="N505" s="3">
        <f>IF(B505='Input sheet(dashboard)'!$D$27*12,J505*'Input sheet(dashboard)'!$D$11,0)</f>
        <v>0</v>
      </c>
      <c r="O505" s="3">
        <f>IF(SUM(F505:F516)&gt;=150000,150000/12*'Input sheet(dashboard)'!$D$28,SUM(F505:F516)/12*'Input sheet(dashboard)'!$D$28)</f>
        <v>1.9303792685926183E-12</v>
      </c>
      <c r="P505" s="3">
        <f t="shared" si="69"/>
        <v>0</v>
      </c>
      <c r="Q505" s="3">
        <f>IF(B505&lt;='Input sheet(dashboard)'!$D$27*12,'Input sheet(dashboard)'!$D$12/12,0)</f>
        <v>0</v>
      </c>
      <c r="R505" s="3">
        <f>IF(B505&lt;='Input sheet(dashboard)'!$D$27*12,('Input sheet(dashboard)'!$D$15/12)*(1+'Input sheet(dashboard)'!$E$22)^Calculations!B505,0)</f>
        <v>0</v>
      </c>
      <c r="S505" s="3">
        <f>IF(B505&lt;='Input sheet(dashboard)'!$D$27*12,(E505+G505+K505+L505-O505+M505+Q505+R505),0)</f>
        <v>0</v>
      </c>
      <c r="T505" s="3">
        <f>IF(B505&lt;='Input sheet(dashboard)'!$D$27*12,IF(D505=12,SUM(S494:S505),0),0)</f>
        <v>0</v>
      </c>
      <c r="U505" s="3">
        <f>IF(B505&lt;='Input sheet(dashboard)'!$D$27*12,IF(S505&lt;AD505,AD505-S505,0),0)</f>
        <v>0</v>
      </c>
      <c r="V505" s="3">
        <f>IF(B505&lt;='Input sheet(dashboard)'!$D$27*12,V504*(1+'Input sheet(dashboard)'!$E$25)+U505,0)</f>
        <v>0</v>
      </c>
      <c r="W505" s="17">
        <f>IF(B505&lt;='Input sheet(dashboard)'!$D$27*12,J505-I505+V505-N505,0)</f>
        <v>0</v>
      </c>
      <c r="X505" s="3">
        <f>IF(B505&lt;='Input sheet(dashboard)'!$D$27*12,'Input sheet(dashboard)'!$D$17*(1+'Input sheet(dashboard)'!$E$23)^(B505-1),0)</f>
        <v>0</v>
      </c>
      <c r="Y505" s="3"/>
      <c r="Z505" s="18"/>
      <c r="AA505" s="18"/>
      <c r="AB505" s="3">
        <f>IF(B505=1,'Input sheet(dashboard)'!$D$18*Calculations!X505,IF(Calculations!B505=12*'Input sheet(dashboard)'!$D$27,'Input sheet(dashboard)'!$D$18*-Calculations!X505,0))</f>
        <v>0</v>
      </c>
      <c r="AC505" s="3">
        <f>IF(B505&lt;='Input sheet(dashboard)'!$D$27*12,IF(MOD(B504,'Input sheet(dashboard)'!$D$19*12),0,'Input sheet(dashboard)'!$D$20*(1+'Input sheet(dashboard)'!$E$22)^Calculations!B505),0)</f>
        <v>0</v>
      </c>
      <c r="AD505" s="17">
        <f t="shared" si="66"/>
        <v>0</v>
      </c>
      <c r="AE505" s="17">
        <f>IF(B505&lt;='Input sheet(dashboard)'!$D$27*12,IF(D505=12,SUM(AD494:AD505),0),0)</f>
        <v>0</v>
      </c>
      <c r="AF505" s="17">
        <f t="shared" si="67"/>
        <v>0</v>
      </c>
      <c r="AG505" s="17">
        <f t="shared" si="68"/>
        <v>0</v>
      </c>
      <c r="AH505" s="3" t="str">
        <f>IF(B505&lt;='Input sheet(dashboard)'!$D$27*12,AH504*(1+'Input sheet(dashboard)'!$E$25)+AG505," ")</f>
        <v xml:space="preserve"> </v>
      </c>
    </row>
    <row r="506" spans="2:34">
      <c r="B506">
        <f t="shared" si="63"/>
        <v>503</v>
      </c>
      <c r="C506">
        <f t="shared" si="70"/>
        <v>42</v>
      </c>
      <c r="D506">
        <f t="shared" si="71"/>
        <v>11</v>
      </c>
      <c r="E506" s="15">
        <f>IF(C506&lt;='Input sheet(dashboard)'!$D$6, -PMT('Input sheet(dashboard)'!$E$5,'Input sheet(dashboard)'!$D$6*12,'Input sheet(dashboard)'!$D$3*'Input sheet(dashboard)'!$D$4),0)</f>
        <v>0</v>
      </c>
      <c r="F506" s="3">
        <f>I505*'Input sheet(dashboard)'!$E$5</f>
        <v>1.2659335644730516E-11</v>
      </c>
      <c r="G506" s="3">
        <f>IF(C506&lt;='Input sheet(dashboard)'!$D$6,E506*'Input sheet(dashboard)'!$D$7,0)</f>
        <v>0</v>
      </c>
      <c r="H506" s="3">
        <f t="shared" si="64"/>
        <v>-1.2659335644730516E-11</v>
      </c>
      <c r="I506" s="3">
        <f t="shared" si="65"/>
        <v>3.4878364338639449E-9</v>
      </c>
      <c r="J506" s="3">
        <f>IF(B506&lt;='Input sheet(dashboard)'!$D$27*12,'Input sheet(dashboard)'!$D$3*(1+'Input sheet(dashboard)'!$E$24)^B506,0)</f>
        <v>0</v>
      </c>
      <c r="K506" s="3">
        <f>IF(B506&lt;='Input sheet(dashboard)'!$D$27*12,J506*'Input sheet(dashboard)'!$E$8,0)</f>
        <v>0</v>
      </c>
      <c r="L506" s="3">
        <f>IF(B506&lt;='Input sheet(dashboard)'!$D$27*12,'Input sheet(dashboard)'!$D$9*(1+'Input sheet(dashboard)'!$E$22)^B506,0)</f>
        <v>0</v>
      </c>
      <c r="M506" s="3">
        <f>IF(B506=1,'Input sheet(dashboard)'!$D$3*'Input sheet(dashboard)'!$D$10,0)</f>
        <v>0</v>
      </c>
      <c r="N506" s="3">
        <f>IF(B506='Input sheet(dashboard)'!$D$27*12,J506*'Input sheet(dashboard)'!$D$11,0)</f>
        <v>0</v>
      </c>
      <c r="O506" s="3">
        <f>IF(SUM(F506:F517)&gt;=150000,150000/12*'Input sheet(dashboard)'!$D$28,SUM(F506:F517)/12*'Input sheet(dashboard)'!$D$28)</f>
        <v>1.9374112322572229E-12</v>
      </c>
      <c r="P506" s="3">
        <f t="shared" si="69"/>
        <v>0</v>
      </c>
      <c r="Q506" s="3">
        <f>IF(B506&lt;='Input sheet(dashboard)'!$D$27*12,'Input sheet(dashboard)'!$D$12/12,0)</f>
        <v>0</v>
      </c>
      <c r="R506" s="3">
        <f>IF(B506&lt;='Input sheet(dashboard)'!$D$27*12,('Input sheet(dashboard)'!$D$15/12)*(1+'Input sheet(dashboard)'!$E$22)^Calculations!B506,0)</f>
        <v>0</v>
      </c>
      <c r="S506" s="3">
        <f>IF(B506&lt;='Input sheet(dashboard)'!$D$27*12,(E506+G506+K506+L506-O506+M506+Q506+R506),0)</f>
        <v>0</v>
      </c>
      <c r="T506" s="3">
        <f>IF(B506&lt;='Input sheet(dashboard)'!$D$27*12,IF(D506=12,SUM(S495:S506),0),0)</f>
        <v>0</v>
      </c>
      <c r="U506" s="3">
        <f>IF(B506&lt;='Input sheet(dashboard)'!$D$27*12,IF(S506&lt;AD506,AD506-S506,0),0)</f>
        <v>0</v>
      </c>
      <c r="V506" s="3">
        <f>IF(B506&lt;='Input sheet(dashboard)'!$D$27*12,V505*(1+'Input sheet(dashboard)'!$E$25)+U506,0)</f>
        <v>0</v>
      </c>
      <c r="W506" s="17">
        <f>IF(B506&lt;='Input sheet(dashboard)'!$D$27*12,J506-I506+V506-N506,0)</f>
        <v>0</v>
      </c>
      <c r="X506" s="3">
        <f>IF(B506&lt;='Input sheet(dashboard)'!$D$27*12,'Input sheet(dashboard)'!$D$17*(1+'Input sheet(dashboard)'!$E$23)^(B506-1),0)</f>
        <v>0</v>
      </c>
      <c r="Y506" s="3"/>
      <c r="Z506" s="18"/>
      <c r="AA506" s="18"/>
      <c r="AB506" s="3">
        <f>IF(B506=1,'Input sheet(dashboard)'!$D$18*Calculations!X506,IF(Calculations!B506=12*'Input sheet(dashboard)'!$D$27,'Input sheet(dashboard)'!$D$18*-Calculations!X506,0))</f>
        <v>0</v>
      </c>
      <c r="AC506" s="3">
        <f>IF(B506&lt;='Input sheet(dashboard)'!$D$27*12,IF(MOD(B505,'Input sheet(dashboard)'!$D$19*12),0,'Input sheet(dashboard)'!$D$20*(1+'Input sheet(dashboard)'!$E$22)^Calculations!B506),0)</f>
        <v>0</v>
      </c>
      <c r="AD506" s="17">
        <f t="shared" si="66"/>
        <v>0</v>
      </c>
      <c r="AE506" s="17">
        <f>IF(B506&lt;='Input sheet(dashboard)'!$D$27*12,IF(D506=12,SUM(AD495:AD506),0),0)</f>
        <v>0</v>
      </c>
      <c r="AF506" s="17">
        <f t="shared" si="67"/>
        <v>0</v>
      </c>
      <c r="AG506" s="17">
        <f t="shared" si="68"/>
        <v>0</v>
      </c>
      <c r="AH506" s="3" t="str">
        <f>IF(B506&lt;='Input sheet(dashboard)'!$D$27*12,AH505*(1+'Input sheet(dashboard)'!$E$25)+AG506," ")</f>
        <v xml:space="preserve"> </v>
      </c>
    </row>
    <row r="507" spans="2:34">
      <c r="B507">
        <f t="shared" si="63"/>
        <v>504</v>
      </c>
      <c r="C507">
        <f t="shared" si="70"/>
        <v>42</v>
      </c>
      <c r="D507">
        <f t="shared" si="71"/>
        <v>12</v>
      </c>
      <c r="E507" s="15">
        <f>IF(C507&lt;='Input sheet(dashboard)'!$D$6, -PMT('Input sheet(dashboard)'!$E$5,'Input sheet(dashboard)'!$D$6*12,'Input sheet(dashboard)'!$D$3*'Input sheet(dashboard)'!$D$4),0)</f>
        <v>0</v>
      </c>
      <c r="F507" s="3">
        <f>I506*'Input sheet(dashboard)'!$E$5</f>
        <v>1.270545092876829E-11</v>
      </c>
      <c r="G507" s="3">
        <f>IF(C507&lt;='Input sheet(dashboard)'!$D$6,E507*'Input sheet(dashboard)'!$D$7,0)</f>
        <v>0</v>
      </c>
      <c r="H507" s="3">
        <f t="shared" si="64"/>
        <v>-1.270545092876829E-11</v>
      </c>
      <c r="I507" s="3">
        <f t="shared" si="65"/>
        <v>3.5005418847927131E-9</v>
      </c>
      <c r="J507" s="3">
        <f>IF(B507&lt;='Input sheet(dashboard)'!$D$27*12,'Input sheet(dashboard)'!$D$3*(1+'Input sheet(dashboard)'!$E$24)^B507,0)</f>
        <v>0</v>
      </c>
      <c r="K507" s="3">
        <f>IF(B507&lt;='Input sheet(dashboard)'!$D$27*12,J507*'Input sheet(dashboard)'!$E$8,0)</f>
        <v>0</v>
      </c>
      <c r="L507" s="3">
        <f>IF(B507&lt;='Input sheet(dashboard)'!$D$27*12,'Input sheet(dashboard)'!$D$9*(1+'Input sheet(dashboard)'!$E$22)^B507,0)</f>
        <v>0</v>
      </c>
      <c r="M507" s="3">
        <f>IF(B507=1,'Input sheet(dashboard)'!$D$3*'Input sheet(dashboard)'!$D$10,0)</f>
        <v>0</v>
      </c>
      <c r="N507" s="3">
        <f>IF(B507='Input sheet(dashboard)'!$D$27*12,J507*'Input sheet(dashboard)'!$D$11,0)</f>
        <v>0</v>
      </c>
      <c r="O507" s="3">
        <f>IF(SUM(F507:F518)&gt;=150000,150000/12*'Input sheet(dashboard)'!$D$28,SUM(F507:F518)/12*'Input sheet(dashboard)'!$D$28)</f>
        <v>1.9444688118791604E-12</v>
      </c>
      <c r="P507" s="3">
        <f t="shared" si="69"/>
        <v>2.4331509133854241E-11</v>
      </c>
      <c r="Q507" s="3">
        <f>IF(B507&lt;='Input sheet(dashboard)'!$D$27*12,'Input sheet(dashboard)'!$D$12/12,0)</f>
        <v>0</v>
      </c>
      <c r="R507" s="3">
        <f>IF(B507&lt;='Input sheet(dashboard)'!$D$27*12,('Input sheet(dashboard)'!$D$15/12)*(1+'Input sheet(dashboard)'!$E$22)^Calculations!B507,0)</f>
        <v>0</v>
      </c>
      <c r="S507" s="3">
        <f>IF(B507&lt;='Input sheet(dashboard)'!$D$27*12,(E507+G507+K507+L507-O507+M507+Q507+R507),0)</f>
        <v>0</v>
      </c>
      <c r="T507" s="3">
        <f>IF(B507&lt;='Input sheet(dashboard)'!$D$27*12,IF(D507=12,SUM(S496:S507),0),0)</f>
        <v>0</v>
      </c>
      <c r="U507" s="3">
        <f>IF(B507&lt;='Input sheet(dashboard)'!$D$27*12,IF(S507&lt;AD507,AD507-S507,0),0)</f>
        <v>0</v>
      </c>
      <c r="V507" s="3">
        <f>IF(B507&lt;='Input sheet(dashboard)'!$D$27*12,V506*(1+'Input sheet(dashboard)'!$E$25)+U507,0)</f>
        <v>0</v>
      </c>
      <c r="W507" s="17">
        <f>IF(B507&lt;='Input sheet(dashboard)'!$D$27*12,J507-I507+V507-N507,0)</f>
        <v>0</v>
      </c>
      <c r="X507" s="3">
        <f>IF(B507&lt;='Input sheet(dashboard)'!$D$27*12,'Input sheet(dashboard)'!$D$17*(1+'Input sheet(dashboard)'!$E$23)^(B507-1),0)</f>
        <v>0</v>
      </c>
      <c r="Y507" s="3"/>
      <c r="Z507" s="18"/>
      <c r="AA507" s="18"/>
      <c r="AB507" s="3">
        <f>IF(B507=1,'Input sheet(dashboard)'!$D$18*Calculations!X507,IF(Calculations!B507=12*'Input sheet(dashboard)'!$D$27,'Input sheet(dashboard)'!$D$18*-Calculations!X507,0))</f>
        <v>0</v>
      </c>
      <c r="AC507" s="3">
        <f>IF(B507&lt;='Input sheet(dashboard)'!$D$27*12,IF(MOD(B506,'Input sheet(dashboard)'!$D$19*12),0,'Input sheet(dashboard)'!$D$20*(1+'Input sheet(dashboard)'!$E$22)^Calculations!B507),0)</f>
        <v>0</v>
      </c>
      <c r="AD507" s="17">
        <f t="shared" si="66"/>
        <v>0</v>
      </c>
      <c r="AE507" s="17">
        <f>IF(B507&lt;='Input sheet(dashboard)'!$D$27*12,IF(D507=12,SUM(AD496:AD507),0),0)</f>
        <v>0</v>
      </c>
      <c r="AF507" s="17">
        <f t="shared" si="67"/>
        <v>0</v>
      </c>
      <c r="AG507" s="17">
        <f t="shared" si="68"/>
        <v>0</v>
      </c>
      <c r="AH507" s="3" t="str">
        <f>IF(B507&lt;='Input sheet(dashboard)'!$D$27*12,AH506*(1+'Input sheet(dashboard)'!$E$25)+AG507," ")</f>
        <v xml:space="preserve"> </v>
      </c>
    </row>
    <row r="508" spans="2:34">
      <c r="B508">
        <f t="shared" si="63"/>
        <v>505</v>
      </c>
      <c r="C508">
        <f t="shared" si="70"/>
        <v>43</v>
      </c>
      <c r="D508">
        <f t="shared" si="71"/>
        <v>1</v>
      </c>
      <c r="E508" s="15">
        <f>IF(C508&lt;='Input sheet(dashboard)'!$D$6, -PMT('Input sheet(dashboard)'!$E$5,'Input sheet(dashboard)'!$D$6*12,'Input sheet(dashboard)'!$D$3*'Input sheet(dashboard)'!$D$4),0)</f>
        <v>0</v>
      </c>
      <c r="F508" s="3">
        <f>I507*'Input sheet(dashboard)'!$E$5</f>
        <v>1.2751734201038744E-11</v>
      </c>
      <c r="G508" s="3">
        <f>IF(C508&lt;='Input sheet(dashboard)'!$D$6,E508*'Input sheet(dashboard)'!$D$7,0)</f>
        <v>0</v>
      </c>
      <c r="H508" s="3">
        <f t="shared" si="64"/>
        <v>-1.2751734201038744E-11</v>
      </c>
      <c r="I508" s="3">
        <f t="shared" si="65"/>
        <v>3.5132936189937517E-9</v>
      </c>
      <c r="J508" s="3">
        <f>IF(B508&lt;='Input sheet(dashboard)'!$D$27*12,'Input sheet(dashboard)'!$D$3*(1+'Input sheet(dashboard)'!$E$24)^B508,0)</f>
        <v>0</v>
      </c>
      <c r="K508" s="3">
        <f>IF(B508&lt;='Input sheet(dashboard)'!$D$27*12,J508*'Input sheet(dashboard)'!$E$8,0)</f>
        <v>0</v>
      </c>
      <c r="L508" s="3">
        <f>IF(B508&lt;='Input sheet(dashboard)'!$D$27*12,'Input sheet(dashboard)'!$D$9*(1+'Input sheet(dashboard)'!$E$22)^B508,0)</f>
        <v>0</v>
      </c>
      <c r="M508" s="3">
        <f>IF(B508=1,'Input sheet(dashboard)'!$D$3*'Input sheet(dashboard)'!$D$10,0)</f>
        <v>0</v>
      </c>
      <c r="N508" s="3">
        <f>IF(B508='Input sheet(dashboard)'!$D$27*12,J508*'Input sheet(dashboard)'!$D$11,0)</f>
        <v>0</v>
      </c>
      <c r="O508" s="3">
        <f>IF(SUM(F508:F519)&gt;=150000,150000/12*'Input sheet(dashboard)'!$D$28,SUM(F508:F519)/12*'Input sheet(dashboard)'!$D$28)</f>
        <v>1.9515521007719486E-12</v>
      </c>
      <c r="P508" s="3">
        <f t="shared" si="69"/>
        <v>0</v>
      </c>
      <c r="Q508" s="3">
        <f>IF(B508&lt;='Input sheet(dashboard)'!$D$27*12,'Input sheet(dashboard)'!$D$12/12,0)</f>
        <v>0</v>
      </c>
      <c r="R508" s="3">
        <f>IF(B508&lt;='Input sheet(dashboard)'!$D$27*12,('Input sheet(dashboard)'!$D$15/12)*(1+'Input sheet(dashboard)'!$E$22)^Calculations!B508,0)</f>
        <v>0</v>
      </c>
      <c r="S508" s="3">
        <f>IF(B508&lt;='Input sheet(dashboard)'!$D$27*12,(E508+G508+K508+L508-O508+M508+Q508+R508),0)</f>
        <v>0</v>
      </c>
      <c r="T508" s="3">
        <f>IF(B508&lt;='Input sheet(dashboard)'!$D$27*12,IF(D508=12,SUM(S497:S508),0),0)</f>
        <v>0</v>
      </c>
      <c r="U508" s="3">
        <f>IF(B508&lt;='Input sheet(dashboard)'!$D$27*12,IF(S508&lt;AD508,AD508-S508,0),0)</f>
        <v>0</v>
      </c>
      <c r="V508" s="3">
        <f>IF(B508&lt;='Input sheet(dashboard)'!$D$27*12,V507*(1+'Input sheet(dashboard)'!$E$25)+U508,0)</f>
        <v>0</v>
      </c>
      <c r="W508" s="17">
        <f>IF(B508&lt;='Input sheet(dashboard)'!$D$27*12,J508-I508+V508-N508,0)</f>
        <v>0</v>
      </c>
      <c r="X508" s="3">
        <f>IF(B508&lt;='Input sheet(dashboard)'!$D$27*12,'Input sheet(dashboard)'!$D$17*(1+'Input sheet(dashboard)'!$E$23)^(B508-1),0)</f>
        <v>0</v>
      </c>
      <c r="Y508" s="3"/>
      <c r="Z508" s="18"/>
      <c r="AA508" s="18"/>
      <c r="AB508" s="3">
        <f>IF(B508=1,'Input sheet(dashboard)'!$D$18*Calculations!X508,IF(Calculations!B508=12*'Input sheet(dashboard)'!$D$27,'Input sheet(dashboard)'!$D$18*-Calculations!X508,0))</f>
        <v>0</v>
      </c>
      <c r="AC508" s="3">
        <f>IF(B508&lt;='Input sheet(dashboard)'!$D$27*12,IF(MOD(B507,'Input sheet(dashboard)'!$D$19*12),0,'Input sheet(dashboard)'!$D$20*(1+'Input sheet(dashboard)'!$E$22)^Calculations!B508),0)</f>
        <v>0</v>
      </c>
      <c r="AD508" s="17">
        <f t="shared" si="66"/>
        <v>0</v>
      </c>
      <c r="AE508" s="17">
        <f>IF(B508&lt;='Input sheet(dashboard)'!$D$27*12,IF(D508=12,SUM(AD497:AD508),0),0)</f>
        <v>0</v>
      </c>
      <c r="AF508" s="17">
        <f t="shared" si="67"/>
        <v>0</v>
      </c>
      <c r="AG508" s="17">
        <f t="shared" si="68"/>
        <v>0</v>
      </c>
      <c r="AH508" s="3" t="str">
        <f>IF(B508&lt;='Input sheet(dashboard)'!$D$27*12,AH507*(1+'Input sheet(dashboard)'!$E$25)+AG508," ")</f>
        <v xml:space="preserve"> </v>
      </c>
    </row>
    <row r="509" spans="2:34">
      <c r="B509">
        <f t="shared" si="63"/>
        <v>506</v>
      </c>
      <c r="C509">
        <f t="shared" si="70"/>
        <v>43</v>
      </c>
      <c r="D509">
        <f t="shared" si="71"/>
        <v>2</v>
      </c>
      <c r="E509" s="15">
        <f>IF(C509&lt;='Input sheet(dashboard)'!$D$6, -PMT('Input sheet(dashboard)'!$E$5,'Input sheet(dashboard)'!$D$6*12,'Input sheet(dashboard)'!$D$3*'Input sheet(dashboard)'!$D$4),0)</f>
        <v>0</v>
      </c>
      <c r="F509" s="3">
        <f>I508*'Input sheet(dashboard)'!$E$5</f>
        <v>1.2798186073487506E-11</v>
      </c>
      <c r="G509" s="3">
        <f>IF(C509&lt;='Input sheet(dashboard)'!$D$6,E509*'Input sheet(dashboard)'!$D$7,0)</f>
        <v>0</v>
      </c>
      <c r="H509" s="3">
        <f t="shared" si="64"/>
        <v>-1.2798186073487506E-11</v>
      </c>
      <c r="I509" s="3">
        <f t="shared" si="65"/>
        <v>3.5260918050672393E-9</v>
      </c>
      <c r="J509" s="3">
        <f>IF(B509&lt;='Input sheet(dashboard)'!$D$27*12,'Input sheet(dashboard)'!$D$3*(1+'Input sheet(dashboard)'!$E$24)^B509,0)</f>
        <v>0</v>
      </c>
      <c r="K509" s="3">
        <f>IF(B509&lt;='Input sheet(dashboard)'!$D$27*12,J509*'Input sheet(dashboard)'!$E$8,0)</f>
        <v>0</v>
      </c>
      <c r="L509" s="3">
        <f>IF(B509&lt;='Input sheet(dashboard)'!$D$27*12,'Input sheet(dashboard)'!$D$9*(1+'Input sheet(dashboard)'!$E$22)^B509,0)</f>
        <v>0</v>
      </c>
      <c r="M509" s="3">
        <f>IF(B509=1,'Input sheet(dashboard)'!$D$3*'Input sheet(dashboard)'!$D$10,0)</f>
        <v>0</v>
      </c>
      <c r="N509" s="3">
        <f>IF(B509='Input sheet(dashboard)'!$D$27*12,J509*'Input sheet(dashboard)'!$D$11,0)</f>
        <v>0</v>
      </c>
      <c r="O509" s="3">
        <f>IF(SUM(F509:F520)&gt;=150000,150000/12*'Input sheet(dashboard)'!$D$28,SUM(F509:F520)/12*'Input sheet(dashboard)'!$D$28)</f>
        <v>1.9586611925890275E-12</v>
      </c>
      <c r="P509" s="3">
        <f t="shared" si="69"/>
        <v>0</v>
      </c>
      <c r="Q509" s="3">
        <f>IF(B509&lt;='Input sheet(dashboard)'!$D$27*12,'Input sheet(dashboard)'!$D$12/12,0)</f>
        <v>0</v>
      </c>
      <c r="R509" s="3">
        <f>IF(B509&lt;='Input sheet(dashboard)'!$D$27*12,('Input sheet(dashboard)'!$D$15/12)*(1+'Input sheet(dashboard)'!$E$22)^Calculations!B509,0)</f>
        <v>0</v>
      </c>
      <c r="S509" s="3">
        <f>IF(B509&lt;='Input sheet(dashboard)'!$D$27*12,(E509+G509+K509+L509-O509+M509+Q509+R509),0)</f>
        <v>0</v>
      </c>
      <c r="T509" s="3">
        <f>IF(B509&lt;='Input sheet(dashboard)'!$D$27*12,IF(D509=12,SUM(S498:S509),0),0)</f>
        <v>0</v>
      </c>
      <c r="U509" s="3">
        <f>IF(B509&lt;='Input sheet(dashboard)'!$D$27*12,IF(S509&lt;AD509,AD509-S509,0),0)</f>
        <v>0</v>
      </c>
      <c r="V509" s="3">
        <f>IF(B509&lt;='Input sheet(dashboard)'!$D$27*12,V508*(1+'Input sheet(dashboard)'!$E$25)+U509,0)</f>
        <v>0</v>
      </c>
      <c r="W509" s="17">
        <f>IF(B509&lt;='Input sheet(dashboard)'!$D$27*12,J509-I509+V509-N509,0)</f>
        <v>0</v>
      </c>
      <c r="X509" s="3">
        <f>IF(B509&lt;='Input sheet(dashboard)'!$D$27*12,'Input sheet(dashboard)'!$D$17*(1+'Input sheet(dashboard)'!$E$23)^(B509-1),0)</f>
        <v>0</v>
      </c>
      <c r="Y509" s="3"/>
      <c r="Z509" s="18"/>
      <c r="AA509" s="18"/>
      <c r="AB509" s="3">
        <f>IF(B509=1,'Input sheet(dashboard)'!$D$18*Calculations!X509,IF(Calculations!B509=12*'Input sheet(dashboard)'!$D$27,'Input sheet(dashboard)'!$D$18*-Calculations!X509,0))</f>
        <v>0</v>
      </c>
      <c r="AC509" s="3">
        <f>IF(B509&lt;='Input sheet(dashboard)'!$D$27*12,IF(MOD(B508,'Input sheet(dashboard)'!$D$19*12),0,'Input sheet(dashboard)'!$D$20*(1+'Input sheet(dashboard)'!$E$22)^Calculations!B509),0)</f>
        <v>0</v>
      </c>
      <c r="AD509" s="17">
        <f t="shared" si="66"/>
        <v>0</v>
      </c>
      <c r="AE509" s="17">
        <f>IF(B509&lt;='Input sheet(dashboard)'!$D$27*12,IF(D509=12,SUM(AD498:AD509),0),0)</f>
        <v>0</v>
      </c>
      <c r="AF509" s="17">
        <f t="shared" si="67"/>
        <v>0</v>
      </c>
      <c r="AG509" s="17">
        <f t="shared" si="68"/>
        <v>0</v>
      </c>
      <c r="AH509" s="3" t="str">
        <f>IF(B509&lt;='Input sheet(dashboard)'!$D$27*12,AH508*(1+'Input sheet(dashboard)'!$E$25)+AG509," ")</f>
        <v xml:space="preserve"> </v>
      </c>
    </row>
    <row r="510" spans="2:34">
      <c r="B510">
        <f t="shared" si="63"/>
        <v>507</v>
      </c>
      <c r="C510">
        <f t="shared" si="70"/>
        <v>43</v>
      </c>
      <c r="D510">
        <f t="shared" si="71"/>
        <v>3</v>
      </c>
      <c r="E510" s="15">
        <f>IF(C510&lt;='Input sheet(dashboard)'!$D$6, -PMT('Input sheet(dashboard)'!$E$5,'Input sheet(dashboard)'!$D$6*12,'Input sheet(dashboard)'!$D$3*'Input sheet(dashboard)'!$D$4),0)</f>
        <v>0</v>
      </c>
      <c r="F510" s="3">
        <f>I509*'Input sheet(dashboard)'!$E$5</f>
        <v>1.2844807160289391E-11</v>
      </c>
      <c r="G510" s="3">
        <f>IF(C510&lt;='Input sheet(dashboard)'!$D$6,E510*'Input sheet(dashboard)'!$D$7,0)</f>
        <v>0</v>
      </c>
      <c r="H510" s="3">
        <f t="shared" si="64"/>
        <v>-1.2844807160289391E-11</v>
      </c>
      <c r="I510" s="3">
        <f t="shared" si="65"/>
        <v>3.5389366122275285E-9</v>
      </c>
      <c r="J510" s="3">
        <f>IF(B510&lt;='Input sheet(dashboard)'!$D$27*12,'Input sheet(dashboard)'!$D$3*(1+'Input sheet(dashboard)'!$E$24)^B510,0)</f>
        <v>0</v>
      </c>
      <c r="K510" s="3">
        <f>IF(B510&lt;='Input sheet(dashboard)'!$D$27*12,J510*'Input sheet(dashboard)'!$E$8,0)</f>
        <v>0</v>
      </c>
      <c r="L510" s="3">
        <f>IF(B510&lt;='Input sheet(dashboard)'!$D$27*12,'Input sheet(dashboard)'!$D$9*(1+'Input sheet(dashboard)'!$E$22)^B510,0)</f>
        <v>0</v>
      </c>
      <c r="M510" s="3">
        <f>IF(B510=1,'Input sheet(dashboard)'!$D$3*'Input sheet(dashboard)'!$D$10,0)</f>
        <v>0</v>
      </c>
      <c r="N510" s="3">
        <f>IF(B510='Input sheet(dashboard)'!$D$27*12,J510*'Input sheet(dashboard)'!$D$11,0)</f>
        <v>0</v>
      </c>
      <c r="O510" s="3">
        <f>IF(SUM(F510:F521)&gt;=150000,150000/12*'Input sheet(dashboard)'!$D$28,SUM(F510:F521)/12*'Input sheet(dashboard)'!$D$28)</f>
        <v>1.9657961813249967E-12</v>
      </c>
      <c r="P510" s="3">
        <f t="shared" si="69"/>
        <v>0</v>
      </c>
      <c r="Q510" s="3">
        <f>IF(B510&lt;='Input sheet(dashboard)'!$D$27*12,'Input sheet(dashboard)'!$D$12/12,0)</f>
        <v>0</v>
      </c>
      <c r="R510" s="3">
        <f>IF(B510&lt;='Input sheet(dashboard)'!$D$27*12,('Input sheet(dashboard)'!$D$15/12)*(1+'Input sheet(dashboard)'!$E$22)^Calculations!B510,0)</f>
        <v>0</v>
      </c>
      <c r="S510" s="3">
        <f>IF(B510&lt;='Input sheet(dashboard)'!$D$27*12,(E510+G510+K510+L510-O510+M510+Q510+R510),0)</f>
        <v>0</v>
      </c>
      <c r="T510" s="3">
        <f>IF(B510&lt;='Input sheet(dashboard)'!$D$27*12,IF(D510=12,SUM(S499:S510),0),0)</f>
        <v>0</v>
      </c>
      <c r="U510" s="3">
        <f>IF(B510&lt;='Input sheet(dashboard)'!$D$27*12,IF(S510&lt;AD510,AD510-S510,0),0)</f>
        <v>0</v>
      </c>
      <c r="V510" s="3">
        <f>IF(B510&lt;='Input sheet(dashboard)'!$D$27*12,V509*(1+'Input sheet(dashboard)'!$E$25)+U510,0)</f>
        <v>0</v>
      </c>
      <c r="W510" s="17">
        <f>IF(B510&lt;='Input sheet(dashboard)'!$D$27*12,J510-I510+V510-N510,0)</f>
        <v>0</v>
      </c>
      <c r="X510" s="3">
        <f>IF(B510&lt;='Input sheet(dashboard)'!$D$27*12,'Input sheet(dashboard)'!$D$17*(1+'Input sheet(dashboard)'!$E$23)^(B510-1),0)</f>
        <v>0</v>
      </c>
      <c r="Y510" s="3"/>
      <c r="Z510" s="18"/>
      <c r="AA510" s="18"/>
      <c r="AB510" s="3">
        <f>IF(B510=1,'Input sheet(dashboard)'!$D$18*Calculations!X510,IF(Calculations!B510=12*'Input sheet(dashboard)'!$D$27,'Input sheet(dashboard)'!$D$18*-Calculations!X510,0))</f>
        <v>0</v>
      </c>
      <c r="AC510" s="3">
        <f>IF(B510&lt;='Input sheet(dashboard)'!$D$27*12,IF(MOD(B509,'Input sheet(dashboard)'!$D$19*12),0,'Input sheet(dashboard)'!$D$20*(1+'Input sheet(dashboard)'!$E$22)^Calculations!B510),0)</f>
        <v>0</v>
      </c>
      <c r="AD510" s="17">
        <f t="shared" si="66"/>
        <v>0</v>
      </c>
      <c r="AE510" s="17">
        <f>IF(B510&lt;='Input sheet(dashboard)'!$D$27*12,IF(D510=12,SUM(AD499:AD510),0),0)</f>
        <v>0</v>
      </c>
      <c r="AF510" s="17">
        <f t="shared" si="67"/>
        <v>0</v>
      </c>
      <c r="AG510" s="17">
        <f t="shared" si="68"/>
        <v>0</v>
      </c>
      <c r="AH510" s="3" t="str">
        <f>IF(B510&lt;='Input sheet(dashboard)'!$D$27*12,AH509*(1+'Input sheet(dashboard)'!$E$25)+AG510," ")</f>
        <v xml:space="preserve"> </v>
      </c>
    </row>
    <row r="511" spans="2:34">
      <c r="B511">
        <f t="shared" si="63"/>
        <v>508</v>
      </c>
      <c r="C511">
        <f t="shared" si="70"/>
        <v>43</v>
      </c>
      <c r="D511">
        <f t="shared" si="71"/>
        <v>4</v>
      </c>
      <c r="E511" s="15">
        <f>IF(C511&lt;='Input sheet(dashboard)'!$D$6, -PMT('Input sheet(dashboard)'!$E$5,'Input sheet(dashboard)'!$D$6*12,'Input sheet(dashboard)'!$D$3*'Input sheet(dashboard)'!$D$4),0)</f>
        <v>0</v>
      </c>
      <c r="F511" s="3">
        <f>I510*'Input sheet(dashboard)'!$E$5</f>
        <v>1.2891598077856516E-11</v>
      </c>
      <c r="G511" s="3">
        <f>IF(C511&lt;='Input sheet(dashboard)'!$D$6,E511*'Input sheet(dashboard)'!$D$7,0)</f>
        <v>0</v>
      </c>
      <c r="H511" s="3">
        <f t="shared" si="64"/>
        <v>-1.2891598077856516E-11</v>
      </c>
      <c r="I511" s="3">
        <f t="shared" si="65"/>
        <v>3.551828210305385E-9</v>
      </c>
      <c r="J511" s="3">
        <f>IF(B511&lt;='Input sheet(dashboard)'!$D$27*12,'Input sheet(dashboard)'!$D$3*(1+'Input sheet(dashboard)'!$E$24)^B511,0)</f>
        <v>0</v>
      </c>
      <c r="K511" s="3">
        <f>IF(B511&lt;='Input sheet(dashboard)'!$D$27*12,J511*'Input sheet(dashboard)'!$E$8,0)</f>
        <v>0</v>
      </c>
      <c r="L511" s="3">
        <f>IF(B511&lt;='Input sheet(dashboard)'!$D$27*12,'Input sheet(dashboard)'!$D$9*(1+'Input sheet(dashboard)'!$E$22)^B511,0)</f>
        <v>0</v>
      </c>
      <c r="M511" s="3">
        <f>IF(B511=1,'Input sheet(dashboard)'!$D$3*'Input sheet(dashboard)'!$D$10,0)</f>
        <v>0</v>
      </c>
      <c r="N511" s="3">
        <f>IF(B511='Input sheet(dashboard)'!$D$27*12,J511*'Input sheet(dashboard)'!$D$11,0)</f>
        <v>0</v>
      </c>
      <c r="O511" s="3">
        <f>IF(SUM(F511:F522)&gt;=150000,150000/12*'Input sheet(dashboard)'!$D$28,SUM(F511:F522)/12*'Input sheet(dashboard)'!$D$28)</f>
        <v>1.972957161316858E-12</v>
      </c>
      <c r="P511" s="3">
        <f t="shared" si="69"/>
        <v>0</v>
      </c>
      <c r="Q511" s="3">
        <f>IF(B511&lt;='Input sheet(dashboard)'!$D$27*12,'Input sheet(dashboard)'!$D$12/12,0)</f>
        <v>0</v>
      </c>
      <c r="R511" s="3">
        <f>IF(B511&lt;='Input sheet(dashboard)'!$D$27*12,('Input sheet(dashboard)'!$D$15/12)*(1+'Input sheet(dashboard)'!$E$22)^Calculations!B511,0)</f>
        <v>0</v>
      </c>
      <c r="S511" s="3">
        <f>IF(B511&lt;='Input sheet(dashboard)'!$D$27*12,(E511+G511+K511+L511-O511+M511+Q511+R511),0)</f>
        <v>0</v>
      </c>
      <c r="T511" s="3">
        <f>IF(B511&lt;='Input sheet(dashboard)'!$D$27*12,IF(D511=12,SUM(S500:S511),0),0)</f>
        <v>0</v>
      </c>
      <c r="U511" s="3">
        <f>IF(B511&lt;='Input sheet(dashboard)'!$D$27*12,IF(S511&lt;AD511,AD511-S511,0),0)</f>
        <v>0</v>
      </c>
      <c r="V511" s="3">
        <f>IF(B511&lt;='Input sheet(dashboard)'!$D$27*12,V510*(1+'Input sheet(dashboard)'!$E$25)+U511,0)</f>
        <v>0</v>
      </c>
      <c r="W511" s="17">
        <f>IF(B511&lt;='Input sheet(dashboard)'!$D$27*12,J511-I511+V511-N511,0)</f>
        <v>0</v>
      </c>
      <c r="X511" s="3">
        <f>IF(B511&lt;='Input sheet(dashboard)'!$D$27*12,'Input sheet(dashboard)'!$D$17*(1+'Input sheet(dashboard)'!$E$23)^(B511-1),0)</f>
        <v>0</v>
      </c>
      <c r="Y511" s="3"/>
      <c r="Z511" s="18"/>
      <c r="AA511" s="18"/>
      <c r="AB511" s="3">
        <f>IF(B511=1,'Input sheet(dashboard)'!$D$18*Calculations!X511,IF(Calculations!B511=12*'Input sheet(dashboard)'!$D$27,'Input sheet(dashboard)'!$D$18*-Calculations!X511,0))</f>
        <v>0</v>
      </c>
      <c r="AC511" s="3">
        <f>IF(B511&lt;='Input sheet(dashboard)'!$D$27*12,IF(MOD(B510,'Input sheet(dashboard)'!$D$19*12),0,'Input sheet(dashboard)'!$D$20*(1+'Input sheet(dashboard)'!$E$22)^Calculations!B511),0)</f>
        <v>0</v>
      </c>
      <c r="AD511" s="17">
        <f t="shared" si="66"/>
        <v>0</v>
      </c>
      <c r="AE511" s="17">
        <f>IF(B511&lt;='Input sheet(dashboard)'!$D$27*12,IF(D511=12,SUM(AD500:AD511),0),0)</f>
        <v>0</v>
      </c>
      <c r="AF511" s="17">
        <f t="shared" si="67"/>
        <v>0</v>
      </c>
      <c r="AG511" s="17">
        <f t="shared" si="68"/>
        <v>0</v>
      </c>
      <c r="AH511" s="3" t="str">
        <f>IF(B511&lt;='Input sheet(dashboard)'!$D$27*12,AH510*(1+'Input sheet(dashboard)'!$E$25)+AG511," ")</f>
        <v xml:space="preserve"> </v>
      </c>
    </row>
    <row r="512" spans="2:34">
      <c r="B512">
        <f t="shared" si="63"/>
        <v>509</v>
      </c>
      <c r="C512">
        <f t="shared" si="70"/>
        <v>43</v>
      </c>
      <c r="D512">
        <f t="shared" si="71"/>
        <v>5</v>
      </c>
      <c r="E512" s="15">
        <f>IF(C512&lt;='Input sheet(dashboard)'!$D$6, -PMT('Input sheet(dashboard)'!$E$5,'Input sheet(dashboard)'!$D$6*12,'Input sheet(dashboard)'!$D$3*'Input sheet(dashboard)'!$D$4),0)</f>
        <v>0</v>
      </c>
      <c r="F512" s="3">
        <f>I511*'Input sheet(dashboard)'!$E$5</f>
        <v>1.2938559444846468E-11</v>
      </c>
      <c r="G512" s="3">
        <f>IF(C512&lt;='Input sheet(dashboard)'!$D$6,E512*'Input sheet(dashboard)'!$D$7,0)</f>
        <v>0</v>
      </c>
      <c r="H512" s="3">
        <f t="shared" si="64"/>
        <v>-1.2938559444846468E-11</v>
      </c>
      <c r="I512" s="3">
        <f t="shared" si="65"/>
        <v>3.5647667697502313E-9</v>
      </c>
      <c r="J512" s="3">
        <f>IF(B512&lt;='Input sheet(dashboard)'!$D$27*12,'Input sheet(dashboard)'!$D$3*(1+'Input sheet(dashboard)'!$E$24)^B512,0)</f>
        <v>0</v>
      </c>
      <c r="K512" s="3">
        <f>IF(B512&lt;='Input sheet(dashboard)'!$D$27*12,J512*'Input sheet(dashboard)'!$E$8,0)</f>
        <v>0</v>
      </c>
      <c r="L512" s="3">
        <f>IF(B512&lt;='Input sheet(dashboard)'!$D$27*12,'Input sheet(dashboard)'!$D$9*(1+'Input sheet(dashboard)'!$E$22)^B512,0)</f>
        <v>0</v>
      </c>
      <c r="M512" s="3">
        <f>IF(B512=1,'Input sheet(dashboard)'!$D$3*'Input sheet(dashboard)'!$D$10,0)</f>
        <v>0</v>
      </c>
      <c r="N512" s="3">
        <f>IF(B512='Input sheet(dashboard)'!$D$27*12,J512*'Input sheet(dashboard)'!$D$11,0)</f>
        <v>0</v>
      </c>
      <c r="O512" s="3">
        <f>IF(SUM(F512:F523)&gt;=150000,150000/12*'Input sheet(dashboard)'!$D$28,SUM(F512:F523)/12*'Input sheet(dashboard)'!$D$28)</f>
        <v>1.9801442272452631E-12</v>
      </c>
      <c r="P512" s="3">
        <f t="shared" si="69"/>
        <v>0</v>
      </c>
      <c r="Q512" s="3">
        <f>IF(B512&lt;='Input sheet(dashboard)'!$D$27*12,'Input sheet(dashboard)'!$D$12/12,0)</f>
        <v>0</v>
      </c>
      <c r="R512" s="3">
        <f>IF(B512&lt;='Input sheet(dashboard)'!$D$27*12,('Input sheet(dashboard)'!$D$15/12)*(1+'Input sheet(dashboard)'!$E$22)^Calculations!B512,0)</f>
        <v>0</v>
      </c>
      <c r="S512" s="3">
        <f>IF(B512&lt;='Input sheet(dashboard)'!$D$27*12,(E512+G512+K512+L512-O512+M512+Q512+R512),0)</f>
        <v>0</v>
      </c>
      <c r="T512" s="3">
        <f>IF(B512&lt;='Input sheet(dashboard)'!$D$27*12,IF(D512=12,SUM(S501:S512),0),0)</f>
        <v>0</v>
      </c>
      <c r="U512" s="3">
        <f>IF(B512&lt;='Input sheet(dashboard)'!$D$27*12,IF(S512&lt;AD512,AD512-S512,0),0)</f>
        <v>0</v>
      </c>
      <c r="V512" s="3">
        <f>IF(B512&lt;='Input sheet(dashboard)'!$D$27*12,V511*(1+'Input sheet(dashboard)'!$E$25)+U512,0)</f>
        <v>0</v>
      </c>
      <c r="W512" s="17">
        <f>IF(B512&lt;='Input sheet(dashboard)'!$D$27*12,J512-I512+V512-N512,0)</f>
        <v>0</v>
      </c>
      <c r="X512" s="3">
        <f>IF(B512&lt;='Input sheet(dashboard)'!$D$27*12,'Input sheet(dashboard)'!$D$17*(1+'Input sheet(dashboard)'!$E$23)^(B512-1),0)</f>
        <v>0</v>
      </c>
      <c r="Y512" s="3"/>
      <c r="Z512" s="18"/>
      <c r="AA512" s="18"/>
      <c r="AB512" s="3">
        <f>IF(B512=1,'Input sheet(dashboard)'!$D$18*Calculations!X512,IF(Calculations!B512=12*'Input sheet(dashboard)'!$D$27,'Input sheet(dashboard)'!$D$18*-Calculations!X512,0))</f>
        <v>0</v>
      </c>
      <c r="AC512" s="3">
        <f>IF(B512&lt;='Input sheet(dashboard)'!$D$27*12,IF(MOD(B511,'Input sheet(dashboard)'!$D$19*12),0,'Input sheet(dashboard)'!$D$20*(1+'Input sheet(dashboard)'!$E$22)^Calculations!B512),0)</f>
        <v>0</v>
      </c>
      <c r="AD512" s="17">
        <f t="shared" si="66"/>
        <v>0</v>
      </c>
      <c r="AE512" s="17">
        <f>IF(B512&lt;='Input sheet(dashboard)'!$D$27*12,IF(D512=12,SUM(AD501:AD512),0),0)</f>
        <v>0</v>
      </c>
      <c r="AF512" s="17">
        <f t="shared" si="67"/>
        <v>0</v>
      </c>
      <c r="AG512" s="17">
        <f t="shared" si="68"/>
        <v>0</v>
      </c>
      <c r="AH512" s="3" t="str">
        <f>IF(B512&lt;='Input sheet(dashboard)'!$D$27*12,AH511*(1+'Input sheet(dashboard)'!$E$25)+AG512," ")</f>
        <v xml:space="preserve"> </v>
      </c>
    </row>
    <row r="513" spans="2:34">
      <c r="B513">
        <f t="shared" si="63"/>
        <v>510</v>
      </c>
      <c r="C513">
        <f t="shared" si="70"/>
        <v>43</v>
      </c>
      <c r="D513">
        <f t="shared" si="71"/>
        <v>6</v>
      </c>
      <c r="E513" s="15">
        <f>IF(C513&lt;='Input sheet(dashboard)'!$D$6, -PMT('Input sheet(dashboard)'!$E$5,'Input sheet(dashboard)'!$D$6*12,'Input sheet(dashboard)'!$D$3*'Input sheet(dashboard)'!$D$4),0)</f>
        <v>0</v>
      </c>
      <c r="F513" s="3">
        <f>I512*'Input sheet(dashboard)'!$E$5</f>
        <v>1.2985691882170464E-11</v>
      </c>
      <c r="G513" s="3">
        <f>IF(C513&lt;='Input sheet(dashboard)'!$D$6,E513*'Input sheet(dashboard)'!$D$7,0)</f>
        <v>0</v>
      </c>
      <c r="H513" s="3">
        <f t="shared" si="64"/>
        <v>-1.2985691882170464E-11</v>
      </c>
      <c r="I513" s="3">
        <f t="shared" si="65"/>
        <v>3.5777524616324018E-9</v>
      </c>
      <c r="J513" s="3">
        <f>IF(B513&lt;='Input sheet(dashboard)'!$D$27*12,'Input sheet(dashboard)'!$D$3*(1+'Input sheet(dashboard)'!$E$24)^B513,0)</f>
        <v>0</v>
      </c>
      <c r="K513" s="3">
        <f>IF(B513&lt;='Input sheet(dashboard)'!$D$27*12,J513*'Input sheet(dashboard)'!$E$8,0)</f>
        <v>0</v>
      </c>
      <c r="L513" s="3">
        <f>IF(B513&lt;='Input sheet(dashboard)'!$D$27*12,'Input sheet(dashboard)'!$D$9*(1+'Input sheet(dashboard)'!$E$22)^B513,0)</f>
        <v>0</v>
      </c>
      <c r="M513" s="3">
        <f>IF(B513=1,'Input sheet(dashboard)'!$D$3*'Input sheet(dashboard)'!$D$10,0)</f>
        <v>0</v>
      </c>
      <c r="N513" s="3">
        <f>IF(B513='Input sheet(dashboard)'!$D$27*12,J513*'Input sheet(dashboard)'!$D$11,0)</f>
        <v>0</v>
      </c>
      <c r="O513" s="3">
        <f>IF(SUM(F513:F524)&gt;=150000,150000/12*'Input sheet(dashboard)'!$D$28,SUM(F513:F524)/12*'Input sheet(dashboard)'!$D$28)</f>
        <v>1.987357474135765E-12</v>
      </c>
      <c r="P513" s="3">
        <f t="shared" si="69"/>
        <v>0</v>
      </c>
      <c r="Q513" s="3">
        <f>IF(B513&lt;='Input sheet(dashboard)'!$D$27*12,'Input sheet(dashboard)'!$D$12/12,0)</f>
        <v>0</v>
      </c>
      <c r="R513" s="3">
        <f>IF(B513&lt;='Input sheet(dashboard)'!$D$27*12,('Input sheet(dashboard)'!$D$15/12)*(1+'Input sheet(dashboard)'!$E$22)^Calculations!B513,0)</f>
        <v>0</v>
      </c>
      <c r="S513" s="3">
        <f>IF(B513&lt;='Input sheet(dashboard)'!$D$27*12,(E513+G513+K513+L513-O513+M513+Q513+R513),0)</f>
        <v>0</v>
      </c>
      <c r="T513" s="3">
        <f>IF(B513&lt;='Input sheet(dashboard)'!$D$27*12,IF(D513=12,SUM(S502:S513),0),0)</f>
        <v>0</v>
      </c>
      <c r="U513" s="3">
        <f>IF(B513&lt;='Input sheet(dashboard)'!$D$27*12,IF(S513&lt;AD513,AD513-S513,0),0)</f>
        <v>0</v>
      </c>
      <c r="V513" s="3">
        <f>IF(B513&lt;='Input sheet(dashboard)'!$D$27*12,V512*(1+'Input sheet(dashboard)'!$E$25)+U513,0)</f>
        <v>0</v>
      </c>
      <c r="W513" s="17">
        <f>IF(B513&lt;='Input sheet(dashboard)'!$D$27*12,J513-I513+V513-N513,0)</f>
        <v>0</v>
      </c>
      <c r="X513" s="3">
        <f>IF(B513&lt;='Input sheet(dashboard)'!$D$27*12,'Input sheet(dashboard)'!$D$17*(1+'Input sheet(dashboard)'!$E$23)^(B513-1),0)</f>
        <v>0</v>
      </c>
      <c r="Y513" s="3"/>
      <c r="Z513" s="18"/>
      <c r="AA513" s="18"/>
      <c r="AB513" s="3">
        <f>IF(B513=1,'Input sheet(dashboard)'!$D$18*Calculations!X513,IF(Calculations!B513=12*'Input sheet(dashboard)'!$D$27,'Input sheet(dashboard)'!$D$18*-Calculations!X513,0))</f>
        <v>0</v>
      </c>
      <c r="AC513" s="3">
        <f>IF(B513&lt;='Input sheet(dashboard)'!$D$27*12,IF(MOD(B512,'Input sheet(dashboard)'!$D$19*12),0,'Input sheet(dashboard)'!$D$20*(1+'Input sheet(dashboard)'!$E$22)^Calculations!B513),0)</f>
        <v>0</v>
      </c>
      <c r="AD513" s="17">
        <f t="shared" si="66"/>
        <v>0</v>
      </c>
      <c r="AE513" s="17">
        <f>IF(B513&lt;='Input sheet(dashboard)'!$D$27*12,IF(D513=12,SUM(AD502:AD513),0),0)</f>
        <v>0</v>
      </c>
      <c r="AF513" s="17">
        <f t="shared" si="67"/>
        <v>0</v>
      </c>
      <c r="AG513" s="17">
        <f t="shared" si="68"/>
        <v>0</v>
      </c>
      <c r="AH513" s="3" t="str">
        <f>IF(B513&lt;='Input sheet(dashboard)'!$D$27*12,AH512*(1+'Input sheet(dashboard)'!$E$25)+AG513," ")</f>
        <v xml:space="preserve"> </v>
      </c>
    </row>
    <row r="514" spans="2:34">
      <c r="B514">
        <f t="shared" si="63"/>
        <v>511</v>
      </c>
      <c r="C514">
        <f t="shared" si="70"/>
        <v>43</v>
      </c>
      <c r="D514">
        <f t="shared" si="71"/>
        <v>7</v>
      </c>
      <c r="E514" s="15">
        <f>IF(C514&lt;='Input sheet(dashboard)'!$D$6, -PMT('Input sheet(dashboard)'!$E$5,'Input sheet(dashboard)'!$D$6*12,'Input sheet(dashboard)'!$D$3*'Input sheet(dashboard)'!$D$4),0)</f>
        <v>0</v>
      </c>
      <c r="F514" s="3">
        <f>I513*'Input sheet(dashboard)'!$E$5</f>
        <v>1.3032996013001578E-11</v>
      </c>
      <c r="G514" s="3">
        <f>IF(C514&lt;='Input sheet(dashboard)'!$D$6,E514*'Input sheet(dashboard)'!$D$7,0)</f>
        <v>0</v>
      </c>
      <c r="H514" s="3">
        <f t="shared" si="64"/>
        <v>-1.3032996013001578E-11</v>
      </c>
      <c r="I514" s="3">
        <f t="shared" si="65"/>
        <v>3.5907854576454033E-9</v>
      </c>
      <c r="J514" s="3">
        <f>IF(B514&lt;='Input sheet(dashboard)'!$D$27*12,'Input sheet(dashboard)'!$D$3*(1+'Input sheet(dashboard)'!$E$24)^B514,0)</f>
        <v>0</v>
      </c>
      <c r="K514" s="3">
        <f>IF(B514&lt;='Input sheet(dashboard)'!$D$27*12,J514*'Input sheet(dashboard)'!$E$8,0)</f>
        <v>0</v>
      </c>
      <c r="L514" s="3">
        <f>IF(B514&lt;='Input sheet(dashboard)'!$D$27*12,'Input sheet(dashboard)'!$D$9*(1+'Input sheet(dashboard)'!$E$22)^B514,0)</f>
        <v>0</v>
      </c>
      <c r="M514" s="3">
        <f>IF(B514=1,'Input sheet(dashboard)'!$D$3*'Input sheet(dashboard)'!$D$10,0)</f>
        <v>0</v>
      </c>
      <c r="N514" s="3">
        <f>IF(B514='Input sheet(dashboard)'!$D$27*12,J514*'Input sheet(dashboard)'!$D$11,0)</f>
        <v>0</v>
      </c>
      <c r="O514" s="3">
        <f>IF(SUM(F514:F525)&gt;=150000,150000/12*'Input sheet(dashboard)'!$D$28,SUM(F514:F525)/12*'Input sheet(dashboard)'!$D$28)</f>
        <v>1.9945969973600748E-12</v>
      </c>
      <c r="P514" s="3">
        <f t="shared" si="69"/>
        <v>0</v>
      </c>
      <c r="Q514" s="3">
        <f>IF(B514&lt;='Input sheet(dashboard)'!$D$27*12,'Input sheet(dashboard)'!$D$12/12,0)</f>
        <v>0</v>
      </c>
      <c r="R514" s="3">
        <f>IF(B514&lt;='Input sheet(dashboard)'!$D$27*12,('Input sheet(dashboard)'!$D$15/12)*(1+'Input sheet(dashboard)'!$E$22)^Calculations!B514,0)</f>
        <v>0</v>
      </c>
      <c r="S514" s="3">
        <f>IF(B514&lt;='Input sheet(dashboard)'!$D$27*12,(E514+G514+K514+L514-O514+M514+Q514+R514),0)</f>
        <v>0</v>
      </c>
      <c r="T514" s="3">
        <f>IF(B514&lt;='Input sheet(dashboard)'!$D$27*12,IF(D514=12,SUM(S503:S514),0),0)</f>
        <v>0</v>
      </c>
      <c r="U514" s="3">
        <f>IF(B514&lt;='Input sheet(dashboard)'!$D$27*12,IF(S514&lt;AD514,AD514-S514,0),0)</f>
        <v>0</v>
      </c>
      <c r="V514" s="3">
        <f>IF(B514&lt;='Input sheet(dashboard)'!$D$27*12,V513*(1+'Input sheet(dashboard)'!$E$25)+U514,0)</f>
        <v>0</v>
      </c>
      <c r="W514" s="17">
        <f>IF(B514&lt;='Input sheet(dashboard)'!$D$27*12,J514-I514+V514-N514,0)</f>
        <v>0</v>
      </c>
      <c r="X514" s="3">
        <f>IF(B514&lt;='Input sheet(dashboard)'!$D$27*12,'Input sheet(dashboard)'!$D$17*(1+'Input sheet(dashboard)'!$E$23)^(B514-1),0)</f>
        <v>0</v>
      </c>
      <c r="Y514" s="3"/>
      <c r="Z514" s="18"/>
      <c r="AA514" s="18"/>
      <c r="AB514" s="3">
        <f>IF(B514=1,'Input sheet(dashboard)'!$D$18*Calculations!X514,IF(Calculations!B514=12*'Input sheet(dashboard)'!$D$27,'Input sheet(dashboard)'!$D$18*-Calculations!X514,0))</f>
        <v>0</v>
      </c>
      <c r="AC514" s="3">
        <f>IF(B514&lt;='Input sheet(dashboard)'!$D$27*12,IF(MOD(B513,'Input sheet(dashboard)'!$D$19*12),0,'Input sheet(dashboard)'!$D$20*(1+'Input sheet(dashboard)'!$E$22)^Calculations!B514),0)</f>
        <v>0</v>
      </c>
      <c r="AD514" s="17">
        <f t="shared" si="66"/>
        <v>0</v>
      </c>
      <c r="AE514" s="17">
        <f>IF(B514&lt;='Input sheet(dashboard)'!$D$27*12,IF(D514=12,SUM(AD503:AD514),0),0)</f>
        <v>0</v>
      </c>
      <c r="AF514" s="17">
        <f t="shared" si="67"/>
        <v>0</v>
      </c>
      <c r="AG514" s="17">
        <f t="shared" si="68"/>
        <v>0</v>
      </c>
      <c r="AH514" s="3" t="str">
        <f>IF(B514&lt;='Input sheet(dashboard)'!$D$27*12,AH513*(1+'Input sheet(dashboard)'!$E$25)+AG514," ")</f>
        <v xml:space="preserve"> </v>
      </c>
    </row>
    <row r="515" spans="2:34">
      <c r="B515">
        <f t="shared" si="63"/>
        <v>512</v>
      </c>
      <c r="C515">
        <f t="shared" si="70"/>
        <v>43</v>
      </c>
      <c r="D515">
        <f t="shared" si="71"/>
        <v>8</v>
      </c>
      <c r="E515" s="15">
        <f>IF(C515&lt;='Input sheet(dashboard)'!$D$6, -PMT('Input sheet(dashboard)'!$E$5,'Input sheet(dashboard)'!$D$6*12,'Input sheet(dashboard)'!$D$3*'Input sheet(dashboard)'!$D$4),0)</f>
        <v>0</v>
      </c>
      <c r="F515" s="3">
        <f>I514*'Input sheet(dashboard)'!$E$5</f>
        <v>1.3080472462782961E-11</v>
      </c>
      <c r="G515" s="3">
        <f>IF(C515&lt;='Input sheet(dashboard)'!$D$6,E515*'Input sheet(dashboard)'!$D$7,0)</f>
        <v>0</v>
      </c>
      <c r="H515" s="3">
        <f t="shared" si="64"/>
        <v>-1.3080472462782961E-11</v>
      </c>
      <c r="I515" s="3">
        <f t="shared" si="65"/>
        <v>3.6038659301081863E-9</v>
      </c>
      <c r="J515" s="3">
        <f>IF(B515&lt;='Input sheet(dashboard)'!$D$27*12,'Input sheet(dashboard)'!$D$3*(1+'Input sheet(dashboard)'!$E$24)^B515,0)</f>
        <v>0</v>
      </c>
      <c r="K515" s="3">
        <f>IF(B515&lt;='Input sheet(dashboard)'!$D$27*12,J515*'Input sheet(dashboard)'!$E$8,0)</f>
        <v>0</v>
      </c>
      <c r="L515" s="3">
        <f>IF(B515&lt;='Input sheet(dashboard)'!$D$27*12,'Input sheet(dashboard)'!$D$9*(1+'Input sheet(dashboard)'!$E$22)^B515,0)</f>
        <v>0</v>
      </c>
      <c r="M515" s="3">
        <f>IF(B515=1,'Input sheet(dashboard)'!$D$3*'Input sheet(dashboard)'!$D$10,0)</f>
        <v>0</v>
      </c>
      <c r="N515" s="3">
        <f>IF(B515='Input sheet(dashboard)'!$D$27*12,J515*'Input sheet(dashboard)'!$D$11,0)</f>
        <v>0</v>
      </c>
      <c r="O515" s="3">
        <f>IF(SUM(F515:F526)&gt;=150000,150000/12*'Input sheet(dashboard)'!$D$28,SUM(F515:F526)/12*'Input sheet(dashboard)'!$D$28)</f>
        <v>2.0018628926373237E-12</v>
      </c>
      <c r="P515" s="3">
        <f t="shared" si="69"/>
        <v>0</v>
      </c>
      <c r="Q515" s="3">
        <f>IF(B515&lt;='Input sheet(dashboard)'!$D$27*12,'Input sheet(dashboard)'!$D$12/12,0)</f>
        <v>0</v>
      </c>
      <c r="R515" s="3">
        <f>IF(B515&lt;='Input sheet(dashboard)'!$D$27*12,('Input sheet(dashboard)'!$D$15/12)*(1+'Input sheet(dashboard)'!$E$22)^Calculations!B515,0)</f>
        <v>0</v>
      </c>
      <c r="S515" s="3">
        <f>IF(B515&lt;='Input sheet(dashboard)'!$D$27*12,(E515+G515+K515+L515-O515+M515+Q515+R515),0)</f>
        <v>0</v>
      </c>
      <c r="T515" s="3">
        <f>IF(B515&lt;='Input sheet(dashboard)'!$D$27*12,IF(D515=12,SUM(S504:S515),0),0)</f>
        <v>0</v>
      </c>
      <c r="U515" s="3">
        <f>IF(B515&lt;='Input sheet(dashboard)'!$D$27*12,IF(S515&lt;AD515,AD515-S515,0),0)</f>
        <v>0</v>
      </c>
      <c r="V515" s="3">
        <f>IF(B515&lt;='Input sheet(dashboard)'!$D$27*12,V514*(1+'Input sheet(dashboard)'!$E$25)+U515,0)</f>
        <v>0</v>
      </c>
      <c r="W515" s="17">
        <f>IF(B515&lt;='Input sheet(dashboard)'!$D$27*12,J515-I515+V515-N515,0)</f>
        <v>0</v>
      </c>
      <c r="X515" s="3">
        <f>IF(B515&lt;='Input sheet(dashboard)'!$D$27*12,'Input sheet(dashboard)'!$D$17*(1+'Input sheet(dashboard)'!$E$23)^(B515-1),0)</f>
        <v>0</v>
      </c>
      <c r="Y515" s="3"/>
      <c r="Z515" s="18"/>
      <c r="AA515" s="18"/>
      <c r="AB515" s="3">
        <f>IF(B515=1,'Input sheet(dashboard)'!$D$18*Calculations!X515,IF(Calculations!B515=12*'Input sheet(dashboard)'!$D$27,'Input sheet(dashboard)'!$D$18*-Calculations!X515,0))</f>
        <v>0</v>
      </c>
      <c r="AC515" s="3">
        <f>IF(B515&lt;='Input sheet(dashboard)'!$D$27*12,IF(MOD(B514,'Input sheet(dashboard)'!$D$19*12),0,'Input sheet(dashboard)'!$D$20*(1+'Input sheet(dashboard)'!$E$22)^Calculations!B515),0)</f>
        <v>0</v>
      </c>
      <c r="AD515" s="17">
        <f t="shared" si="66"/>
        <v>0</v>
      </c>
      <c r="AE515" s="17">
        <f>IF(B515&lt;='Input sheet(dashboard)'!$D$27*12,IF(D515=12,SUM(AD504:AD515),0),0)</f>
        <v>0</v>
      </c>
      <c r="AF515" s="17">
        <f t="shared" si="67"/>
        <v>0</v>
      </c>
      <c r="AG515" s="17">
        <f t="shared" si="68"/>
        <v>0</v>
      </c>
      <c r="AH515" s="3" t="str">
        <f>IF(B515&lt;='Input sheet(dashboard)'!$D$27*12,AH514*(1+'Input sheet(dashboard)'!$E$25)+AG515," ")</f>
        <v xml:space="preserve"> </v>
      </c>
    </row>
    <row r="516" spans="2:34">
      <c r="B516">
        <f t="shared" ref="B516:B579" si="72">B515+1</f>
        <v>513</v>
      </c>
      <c r="C516">
        <f t="shared" si="70"/>
        <v>43</v>
      </c>
      <c r="D516">
        <f t="shared" si="71"/>
        <v>9</v>
      </c>
      <c r="E516" s="15">
        <f>IF(C516&lt;='Input sheet(dashboard)'!$D$6, -PMT('Input sheet(dashboard)'!$E$5,'Input sheet(dashboard)'!$D$6*12,'Input sheet(dashboard)'!$D$3*'Input sheet(dashboard)'!$D$4),0)</f>
        <v>0</v>
      </c>
      <c r="F516" s="3">
        <f>I515*'Input sheet(dashboard)'!$E$5</f>
        <v>1.3128121859236131E-11</v>
      </c>
      <c r="G516" s="3">
        <f>IF(C516&lt;='Input sheet(dashboard)'!$D$6,E516*'Input sheet(dashboard)'!$D$7,0)</f>
        <v>0</v>
      </c>
      <c r="H516" s="3">
        <f t="shared" ref="H516:H579" si="73">E516-F516</f>
        <v>-1.3128121859236131E-11</v>
      </c>
      <c r="I516" s="3">
        <f t="shared" ref="I516:I579" si="74">I515-H516</f>
        <v>3.6169940519674226E-9</v>
      </c>
      <c r="J516" s="3">
        <f>IF(B516&lt;='Input sheet(dashboard)'!$D$27*12,'Input sheet(dashboard)'!$D$3*(1+'Input sheet(dashboard)'!$E$24)^B516,0)</f>
        <v>0</v>
      </c>
      <c r="K516" s="3">
        <f>IF(B516&lt;='Input sheet(dashboard)'!$D$27*12,J516*'Input sheet(dashboard)'!$E$8,0)</f>
        <v>0</v>
      </c>
      <c r="L516" s="3">
        <f>IF(B516&lt;='Input sheet(dashboard)'!$D$27*12,'Input sheet(dashboard)'!$D$9*(1+'Input sheet(dashboard)'!$E$22)^B516,0)</f>
        <v>0</v>
      </c>
      <c r="M516" s="3">
        <f>IF(B516=1,'Input sheet(dashboard)'!$D$3*'Input sheet(dashboard)'!$D$10,0)</f>
        <v>0</v>
      </c>
      <c r="N516" s="3">
        <f>IF(B516='Input sheet(dashboard)'!$D$27*12,J516*'Input sheet(dashboard)'!$D$11,0)</f>
        <v>0</v>
      </c>
      <c r="O516" s="3">
        <f>IF(SUM(F516:F527)&gt;=150000,150000/12*'Input sheet(dashboard)'!$D$28,SUM(F516:F527)/12*'Input sheet(dashboard)'!$D$28)</f>
        <v>2.009155256035325E-12</v>
      </c>
      <c r="P516" s="3">
        <f t="shared" si="69"/>
        <v>0</v>
      </c>
      <c r="Q516" s="3">
        <f>IF(B516&lt;='Input sheet(dashboard)'!$D$27*12,'Input sheet(dashboard)'!$D$12/12,0)</f>
        <v>0</v>
      </c>
      <c r="R516" s="3">
        <f>IF(B516&lt;='Input sheet(dashboard)'!$D$27*12,('Input sheet(dashboard)'!$D$15/12)*(1+'Input sheet(dashboard)'!$E$22)^Calculations!B516,0)</f>
        <v>0</v>
      </c>
      <c r="S516" s="3">
        <f>IF(B516&lt;='Input sheet(dashboard)'!$D$27*12,(E516+G516+K516+L516-O516+M516+Q516+R516),0)</f>
        <v>0</v>
      </c>
      <c r="T516" s="3">
        <f>IF(B516&lt;='Input sheet(dashboard)'!$D$27*12,IF(D516=12,SUM(S505:S516),0),0)</f>
        <v>0</v>
      </c>
      <c r="U516" s="3">
        <f>IF(B516&lt;='Input sheet(dashboard)'!$D$27*12,IF(S516&lt;AD516,AD516-S516,0),0)</f>
        <v>0</v>
      </c>
      <c r="V516" s="3">
        <f>IF(B516&lt;='Input sheet(dashboard)'!$D$27*12,V515*(1+'Input sheet(dashboard)'!$E$25)+U516,0)</f>
        <v>0</v>
      </c>
      <c r="W516" s="17">
        <f>IF(B516&lt;='Input sheet(dashboard)'!$D$27*12,J516-I516+V516-N516,0)</f>
        <v>0</v>
      </c>
      <c r="X516" s="3">
        <f>IF(B516&lt;='Input sheet(dashboard)'!$D$27*12,'Input sheet(dashboard)'!$D$17*(1+'Input sheet(dashboard)'!$E$23)^(B516-1),0)</f>
        <v>0</v>
      </c>
      <c r="Y516" s="3"/>
      <c r="Z516" s="18"/>
      <c r="AA516" s="18"/>
      <c r="AB516" s="3">
        <f>IF(B516=1,'Input sheet(dashboard)'!$D$18*Calculations!X516,IF(Calculations!B516=12*'Input sheet(dashboard)'!$D$27,'Input sheet(dashboard)'!$D$18*-Calculations!X516,0))</f>
        <v>0</v>
      </c>
      <c r="AC516" s="3">
        <f>IF(B516&lt;='Input sheet(dashboard)'!$D$27*12,IF(MOD(B515,'Input sheet(dashboard)'!$D$19*12),0,'Input sheet(dashboard)'!$D$20*(1+'Input sheet(dashboard)'!$E$22)^Calculations!B516),0)</f>
        <v>0</v>
      </c>
      <c r="AD516" s="17">
        <f t="shared" ref="AD516:AD579" si="75">X516+Y516+AB516+AC516</f>
        <v>0</v>
      </c>
      <c r="AE516" s="17">
        <f>IF(B516&lt;='Input sheet(dashboard)'!$D$27*12,IF(D516=12,SUM(AD505:AD516),0),0)</f>
        <v>0</v>
      </c>
      <c r="AF516" s="17">
        <f t="shared" ref="AF516:AF579" si="76">S516-AD516</f>
        <v>0</v>
      </c>
      <c r="AG516" s="17">
        <f t="shared" ref="AG516:AG579" si="77">IF(AF516&gt;0,AF516,0)</f>
        <v>0</v>
      </c>
      <c r="AH516" s="3" t="str">
        <f>IF(B516&lt;='Input sheet(dashboard)'!$D$27*12,AH515*(1+'Input sheet(dashboard)'!$E$25)+AG516," ")</f>
        <v xml:space="preserve"> </v>
      </c>
    </row>
    <row r="517" spans="2:34">
      <c r="B517">
        <f t="shared" si="72"/>
        <v>514</v>
      </c>
      <c r="C517">
        <f t="shared" si="70"/>
        <v>43</v>
      </c>
      <c r="D517">
        <f t="shared" si="71"/>
        <v>10</v>
      </c>
      <c r="E517" s="15">
        <f>IF(C517&lt;='Input sheet(dashboard)'!$D$6, -PMT('Input sheet(dashboard)'!$E$5,'Input sheet(dashboard)'!$D$6*12,'Input sheet(dashboard)'!$D$3*'Input sheet(dashboard)'!$D$4),0)</f>
        <v>0</v>
      </c>
      <c r="F517" s="3">
        <f>I516*'Input sheet(dashboard)'!$E$5</f>
        <v>1.3175944832369259E-11</v>
      </c>
      <c r="G517" s="3">
        <f>IF(C517&lt;='Input sheet(dashboard)'!$D$6,E517*'Input sheet(dashboard)'!$D$7,0)</f>
        <v>0</v>
      </c>
      <c r="H517" s="3">
        <f t="shared" si="73"/>
        <v>-1.3175944832369259E-11</v>
      </c>
      <c r="I517" s="3">
        <f t="shared" si="74"/>
        <v>3.6301699967997917E-9</v>
      </c>
      <c r="J517" s="3">
        <f>IF(B517&lt;='Input sheet(dashboard)'!$D$27*12,'Input sheet(dashboard)'!$D$3*(1+'Input sheet(dashboard)'!$E$24)^B517,0)</f>
        <v>0</v>
      </c>
      <c r="K517" s="3">
        <f>IF(B517&lt;='Input sheet(dashboard)'!$D$27*12,J517*'Input sheet(dashboard)'!$E$8,0)</f>
        <v>0</v>
      </c>
      <c r="L517" s="3">
        <f>IF(B517&lt;='Input sheet(dashboard)'!$D$27*12,'Input sheet(dashboard)'!$D$9*(1+'Input sheet(dashboard)'!$E$22)^B517,0)</f>
        <v>0</v>
      </c>
      <c r="M517" s="3">
        <f>IF(B517=1,'Input sheet(dashboard)'!$D$3*'Input sheet(dashboard)'!$D$10,0)</f>
        <v>0</v>
      </c>
      <c r="N517" s="3">
        <f>IF(B517='Input sheet(dashboard)'!$D$27*12,J517*'Input sheet(dashboard)'!$D$11,0)</f>
        <v>0</v>
      </c>
      <c r="O517" s="3">
        <f>IF(SUM(F517:F528)&gt;=150000,150000/12*'Input sheet(dashboard)'!$D$28,SUM(F517:F528)/12*'Input sheet(dashboard)'!$D$28)</f>
        <v>2.0164741839718495E-12</v>
      </c>
      <c r="P517" s="3">
        <f t="shared" si="69"/>
        <v>0</v>
      </c>
      <c r="Q517" s="3">
        <f>IF(B517&lt;='Input sheet(dashboard)'!$D$27*12,'Input sheet(dashboard)'!$D$12/12,0)</f>
        <v>0</v>
      </c>
      <c r="R517" s="3">
        <f>IF(B517&lt;='Input sheet(dashboard)'!$D$27*12,('Input sheet(dashboard)'!$D$15/12)*(1+'Input sheet(dashboard)'!$E$22)^Calculations!B517,0)</f>
        <v>0</v>
      </c>
      <c r="S517" s="3">
        <f>IF(B517&lt;='Input sheet(dashboard)'!$D$27*12,(E517+G517+K517+L517-O517+M517+Q517+R517),0)</f>
        <v>0</v>
      </c>
      <c r="T517" s="3">
        <f>IF(B517&lt;='Input sheet(dashboard)'!$D$27*12,IF(D517=12,SUM(S506:S517),0),0)</f>
        <v>0</v>
      </c>
      <c r="U517" s="3">
        <f>IF(B517&lt;='Input sheet(dashboard)'!$D$27*12,IF(S517&lt;AD517,AD517-S517,0),0)</f>
        <v>0</v>
      </c>
      <c r="V517" s="3">
        <f>IF(B517&lt;='Input sheet(dashboard)'!$D$27*12,V516*(1+'Input sheet(dashboard)'!$E$25)+U517,0)</f>
        <v>0</v>
      </c>
      <c r="W517" s="17">
        <f>IF(B517&lt;='Input sheet(dashboard)'!$D$27*12,J517-I517+V517-N517,0)</f>
        <v>0</v>
      </c>
      <c r="X517" s="3">
        <f>IF(B517&lt;='Input sheet(dashboard)'!$D$27*12,'Input sheet(dashboard)'!$D$17*(1+'Input sheet(dashboard)'!$E$23)^(B517-1),0)</f>
        <v>0</v>
      </c>
      <c r="Y517" s="3"/>
      <c r="Z517" s="18"/>
      <c r="AA517" s="18"/>
      <c r="AB517" s="3">
        <f>IF(B517=1,'Input sheet(dashboard)'!$D$18*Calculations!X517,IF(Calculations!B517=12*'Input sheet(dashboard)'!$D$27,'Input sheet(dashboard)'!$D$18*-Calculations!X517,0))</f>
        <v>0</v>
      </c>
      <c r="AC517" s="3">
        <f>IF(B517&lt;='Input sheet(dashboard)'!$D$27*12,IF(MOD(B516,'Input sheet(dashboard)'!$D$19*12),0,'Input sheet(dashboard)'!$D$20*(1+'Input sheet(dashboard)'!$E$22)^Calculations!B517),0)</f>
        <v>0</v>
      </c>
      <c r="AD517" s="17">
        <f t="shared" si="75"/>
        <v>0</v>
      </c>
      <c r="AE517" s="17">
        <f>IF(B517&lt;='Input sheet(dashboard)'!$D$27*12,IF(D517=12,SUM(AD506:AD517),0),0)</f>
        <v>0</v>
      </c>
      <c r="AF517" s="17">
        <f t="shared" si="76"/>
        <v>0</v>
      </c>
      <c r="AG517" s="17">
        <f t="shared" si="77"/>
        <v>0</v>
      </c>
      <c r="AH517" s="3" t="str">
        <f>IF(B517&lt;='Input sheet(dashboard)'!$D$27*12,AH516*(1+'Input sheet(dashboard)'!$E$25)+AG517," ")</f>
        <v xml:space="preserve"> </v>
      </c>
    </row>
    <row r="518" spans="2:34">
      <c r="B518">
        <f t="shared" si="72"/>
        <v>515</v>
      </c>
      <c r="C518">
        <f t="shared" si="70"/>
        <v>43</v>
      </c>
      <c r="D518">
        <f t="shared" si="71"/>
        <v>11</v>
      </c>
      <c r="E518" s="15">
        <f>IF(C518&lt;='Input sheet(dashboard)'!$D$6, -PMT('Input sheet(dashboard)'!$E$5,'Input sheet(dashboard)'!$D$6*12,'Input sheet(dashboard)'!$D$3*'Input sheet(dashboard)'!$D$4),0)</f>
        <v>0</v>
      </c>
      <c r="F518" s="3">
        <f>I517*'Input sheet(dashboard)'!$E$5</f>
        <v>1.3223942014485498E-11</v>
      </c>
      <c r="G518" s="3">
        <f>IF(C518&lt;='Input sheet(dashboard)'!$D$6,E518*'Input sheet(dashboard)'!$D$7,0)</f>
        <v>0</v>
      </c>
      <c r="H518" s="3">
        <f t="shared" si="73"/>
        <v>-1.3223942014485498E-11</v>
      </c>
      <c r="I518" s="3">
        <f t="shared" si="74"/>
        <v>3.6433939388142771E-9</v>
      </c>
      <c r="J518" s="3">
        <f>IF(B518&lt;='Input sheet(dashboard)'!$D$27*12,'Input sheet(dashboard)'!$D$3*(1+'Input sheet(dashboard)'!$E$24)^B518,0)</f>
        <v>0</v>
      </c>
      <c r="K518" s="3">
        <f>IF(B518&lt;='Input sheet(dashboard)'!$D$27*12,J518*'Input sheet(dashboard)'!$E$8,0)</f>
        <v>0</v>
      </c>
      <c r="L518" s="3">
        <f>IF(B518&lt;='Input sheet(dashboard)'!$D$27*12,'Input sheet(dashboard)'!$D$9*(1+'Input sheet(dashboard)'!$E$22)^B518,0)</f>
        <v>0</v>
      </c>
      <c r="M518" s="3">
        <f>IF(B518=1,'Input sheet(dashboard)'!$D$3*'Input sheet(dashboard)'!$D$10,0)</f>
        <v>0</v>
      </c>
      <c r="N518" s="3">
        <f>IF(B518='Input sheet(dashboard)'!$D$27*12,J518*'Input sheet(dashboard)'!$D$11,0)</f>
        <v>0</v>
      </c>
      <c r="O518" s="3">
        <f>IF(SUM(F518:F529)&gt;=150000,150000/12*'Input sheet(dashboard)'!$D$28,SUM(F518:F529)/12*'Input sheet(dashboard)'!$D$28)</f>
        <v>2.0238197732158954E-12</v>
      </c>
      <c r="P518" s="3">
        <f t="shared" si="69"/>
        <v>0</v>
      </c>
      <c r="Q518" s="3">
        <f>IF(B518&lt;='Input sheet(dashboard)'!$D$27*12,'Input sheet(dashboard)'!$D$12/12,0)</f>
        <v>0</v>
      </c>
      <c r="R518" s="3">
        <f>IF(B518&lt;='Input sheet(dashboard)'!$D$27*12,('Input sheet(dashboard)'!$D$15/12)*(1+'Input sheet(dashboard)'!$E$22)^Calculations!B518,0)</f>
        <v>0</v>
      </c>
      <c r="S518" s="3">
        <f>IF(B518&lt;='Input sheet(dashboard)'!$D$27*12,(E518+G518+K518+L518-O518+M518+Q518+R518),0)</f>
        <v>0</v>
      </c>
      <c r="T518" s="3">
        <f>IF(B518&lt;='Input sheet(dashboard)'!$D$27*12,IF(D518=12,SUM(S507:S518),0),0)</f>
        <v>0</v>
      </c>
      <c r="U518" s="3">
        <f>IF(B518&lt;='Input sheet(dashboard)'!$D$27*12,IF(S518&lt;AD518,AD518-S518,0),0)</f>
        <v>0</v>
      </c>
      <c r="V518" s="3">
        <f>IF(B518&lt;='Input sheet(dashboard)'!$D$27*12,V517*(1+'Input sheet(dashboard)'!$E$25)+U518,0)</f>
        <v>0</v>
      </c>
      <c r="W518" s="17">
        <f>IF(B518&lt;='Input sheet(dashboard)'!$D$27*12,J518-I518+V518-N518,0)</f>
        <v>0</v>
      </c>
      <c r="X518" s="3">
        <f>IF(B518&lt;='Input sheet(dashboard)'!$D$27*12,'Input sheet(dashboard)'!$D$17*(1+'Input sheet(dashboard)'!$E$23)^(B518-1),0)</f>
        <v>0</v>
      </c>
      <c r="Y518" s="3"/>
      <c r="Z518" s="18"/>
      <c r="AA518" s="18"/>
      <c r="AB518" s="3">
        <f>IF(B518=1,'Input sheet(dashboard)'!$D$18*Calculations!X518,IF(Calculations!B518=12*'Input sheet(dashboard)'!$D$27,'Input sheet(dashboard)'!$D$18*-Calculations!X518,0))</f>
        <v>0</v>
      </c>
      <c r="AC518" s="3">
        <f>IF(B518&lt;='Input sheet(dashboard)'!$D$27*12,IF(MOD(B517,'Input sheet(dashboard)'!$D$19*12),0,'Input sheet(dashboard)'!$D$20*(1+'Input sheet(dashboard)'!$E$22)^Calculations!B518),0)</f>
        <v>0</v>
      </c>
      <c r="AD518" s="17">
        <f t="shared" si="75"/>
        <v>0</v>
      </c>
      <c r="AE518" s="17">
        <f>IF(B518&lt;='Input sheet(dashboard)'!$D$27*12,IF(D518=12,SUM(AD507:AD518),0),0)</f>
        <v>0</v>
      </c>
      <c r="AF518" s="17">
        <f t="shared" si="76"/>
        <v>0</v>
      </c>
      <c r="AG518" s="17">
        <f t="shared" si="77"/>
        <v>0</v>
      </c>
      <c r="AH518" s="3" t="str">
        <f>IF(B518&lt;='Input sheet(dashboard)'!$D$27*12,AH517*(1+'Input sheet(dashboard)'!$E$25)+AG518," ")</f>
        <v xml:space="preserve"> </v>
      </c>
    </row>
    <row r="519" spans="2:34">
      <c r="B519">
        <f t="shared" si="72"/>
        <v>516</v>
      </c>
      <c r="C519">
        <f t="shared" si="70"/>
        <v>43</v>
      </c>
      <c r="D519">
        <f t="shared" si="71"/>
        <v>12</v>
      </c>
      <c r="E519" s="15">
        <f>IF(C519&lt;='Input sheet(dashboard)'!$D$6, -PMT('Input sheet(dashboard)'!$E$5,'Input sheet(dashboard)'!$D$6*12,'Input sheet(dashboard)'!$D$3*'Input sheet(dashboard)'!$D$4),0)</f>
        <v>0</v>
      </c>
      <c r="F519" s="3">
        <f>I518*'Input sheet(dashboard)'!$E$5</f>
        <v>1.3272114040191356E-11</v>
      </c>
      <c r="G519" s="3">
        <f>IF(C519&lt;='Input sheet(dashboard)'!$D$6,E519*'Input sheet(dashboard)'!$D$7,0)</f>
        <v>0</v>
      </c>
      <c r="H519" s="3">
        <f t="shared" si="73"/>
        <v>-1.3272114040191356E-11</v>
      </c>
      <c r="I519" s="3">
        <f t="shared" si="74"/>
        <v>3.6566660528544683E-9</v>
      </c>
      <c r="J519" s="3">
        <f>IF(B519&lt;='Input sheet(dashboard)'!$D$27*12,'Input sheet(dashboard)'!$D$3*(1+'Input sheet(dashboard)'!$E$24)^B519,0)</f>
        <v>0</v>
      </c>
      <c r="K519" s="3">
        <f>IF(B519&lt;='Input sheet(dashboard)'!$D$27*12,J519*'Input sheet(dashboard)'!$E$8,0)</f>
        <v>0</v>
      </c>
      <c r="L519" s="3">
        <f>IF(B519&lt;='Input sheet(dashboard)'!$D$27*12,'Input sheet(dashboard)'!$D$9*(1+'Input sheet(dashboard)'!$E$22)^B519,0)</f>
        <v>0</v>
      </c>
      <c r="M519" s="3">
        <f>IF(B519=1,'Input sheet(dashboard)'!$D$3*'Input sheet(dashboard)'!$D$10,0)</f>
        <v>0</v>
      </c>
      <c r="N519" s="3">
        <f>IF(B519='Input sheet(dashboard)'!$D$27*12,J519*'Input sheet(dashboard)'!$D$11,0)</f>
        <v>0</v>
      </c>
      <c r="O519" s="3">
        <f>IF(SUM(F519:F530)&gt;=150000,150000/12*'Input sheet(dashboard)'!$D$28,SUM(F519:F530)/12*'Input sheet(dashboard)'!$D$28)</f>
        <v>2.0311921208889709E-12</v>
      </c>
      <c r="P519" s="3">
        <f t="shared" si="69"/>
        <v>2.5416694441224145E-11</v>
      </c>
      <c r="Q519" s="3">
        <f>IF(B519&lt;='Input sheet(dashboard)'!$D$27*12,'Input sheet(dashboard)'!$D$12/12,0)</f>
        <v>0</v>
      </c>
      <c r="R519" s="3">
        <f>IF(B519&lt;='Input sheet(dashboard)'!$D$27*12,('Input sheet(dashboard)'!$D$15/12)*(1+'Input sheet(dashboard)'!$E$22)^Calculations!B519,0)</f>
        <v>0</v>
      </c>
      <c r="S519" s="3">
        <f>IF(B519&lt;='Input sheet(dashboard)'!$D$27*12,(E519+G519+K519+L519-O519+M519+Q519+R519),0)</f>
        <v>0</v>
      </c>
      <c r="T519" s="3">
        <f>IF(B519&lt;='Input sheet(dashboard)'!$D$27*12,IF(D519=12,SUM(S508:S519),0),0)</f>
        <v>0</v>
      </c>
      <c r="U519" s="3">
        <f>IF(B519&lt;='Input sheet(dashboard)'!$D$27*12,IF(S519&lt;AD519,AD519-S519,0),0)</f>
        <v>0</v>
      </c>
      <c r="V519" s="3">
        <f>IF(B519&lt;='Input sheet(dashboard)'!$D$27*12,V518*(1+'Input sheet(dashboard)'!$E$25)+U519,0)</f>
        <v>0</v>
      </c>
      <c r="W519" s="17">
        <f>IF(B519&lt;='Input sheet(dashboard)'!$D$27*12,J519-I519+V519-N519,0)</f>
        <v>0</v>
      </c>
      <c r="X519" s="3">
        <f>IF(B519&lt;='Input sheet(dashboard)'!$D$27*12,'Input sheet(dashboard)'!$D$17*(1+'Input sheet(dashboard)'!$E$23)^(B519-1),0)</f>
        <v>0</v>
      </c>
      <c r="Y519" s="3"/>
      <c r="Z519" s="18"/>
      <c r="AA519" s="18"/>
      <c r="AB519" s="3">
        <f>IF(B519=1,'Input sheet(dashboard)'!$D$18*Calculations!X519,IF(Calculations!B519=12*'Input sheet(dashboard)'!$D$27,'Input sheet(dashboard)'!$D$18*-Calculations!X519,0))</f>
        <v>0</v>
      </c>
      <c r="AC519" s="3">
        <f>IF(B519&lt;='Input sheet(dashboard)'!$D$27*12,IF(MOD(B518,'Input sheet(dashboard)'!$D$19*12),0,'Input sheet(dashboard)'!$D$20*(1+'Input sheet(dashboard)'!$E$22)^Calculations!B519),0)</f>
        <v>0</v>
      </c>
      <c r="AD519" s="17">
        <f t="shared" si="75"/>
        <v>0</v>
      </c>
      <c r="AE519" s="17">
        <f>IF(B519&lt;='Input sheet(dashboard)'!$D$27*12,IF(D519=12,SUM(AD508:AD519),0),0)</f>
        <v>0</v>
      </c>
      <c r="AF519" s="17">
        <f t="shared" si="76"/>
        <v>0</v>
      </c>
      <c r="AG519" s="17">
        <f t="shared" si="77"/>
        <v>0</v>
      </c>
      <c r="AH519" s="3" t="str">
        <f>IF(B519&lt;='Input sheet(dashboard)'!$D$27*12,AH518*(1+'Input sheet(dashboard)'!$E$25)+AG519," ")</f>
        <v xml:space="preserve"> </v>
      </c>
    </row>
    <row r="520" spans="2:34">
      <c r="B520">
        <f t="shared" si="72"/>
        <v>517</v>
      </c>
      <c r="C520">
        <f t="shared" si="70"/>
        <v>44</v>
      </c>
      <c r="D520">
        <f t="shared" si="71"/>
        <v>1</v>
      </c>
      <c r="E520" s="15">
        <f>IF(C520&lt;='Input sheet(dashboard)'!$D$6, -PMT('Input sheet(dashboard)'!$E$5,'Input sheet(dashboard)'!$D$6*12,'Input sheet(dashboard)'!$D$3*'Input sheet(dashboard)'!$D$4),0)</f>
        <v>0</v>
      </c>
      <c r="F520" s="3">
        <f>I519*'Input sheet(dashboard)'!$E$5</f>
        <v>1.3320461546405074E-11</v>
      </c>
      <c r="G520" s="3">
        <f>IF(C520&lt;='Input sheet(dashboard)'!$D$6,E520*'Input sheet(dashboard)'!$D$7,0)</f>
        <v>0</v>
      </c>
      <c r="H520" s="3">
        <f t="shared" si="73"/>
        <v>-1.3320461546405074E-11</v>
      </c>
      <c r="I520" s="3">
        <f t="shared" si="74"/>
        <v>3.6699865144008734E-9</v>
      </c>
      <c r="J520" s="3">
        <f>IF(B520&lt;='Input sheet(dashboard)'!$D$27*12,'Input sheet(dashboard)'!$D$3*(1+'Input sheet(dashboard)'!$E$24)^B520,0)</f>
        <v>0</v>
      </c>
      <c r="K520" s="3">
        <f>IF(B520&lt;='Input sheet(dashboard)'!$D$27*12,J520*'Input sheet(dashboard)'!$E$8,0)</f>
        <v>0</v>
      </c>
      <c r="L520" s="3">
        <f>IF(B520&lt;='Input sheet(dashboard)'!$D$27*12,'Input sheet(dashboard)'!$D$9*(1+'Input sheet(dashboard)'!$E$22)^B520,0)</f>
        <v>0</v>
      </c>
      <c r="M520" s="3">
        <f>IF(B520=1,'Input sheet(dashboard)'!$D$3*'Input sheet(dashboard)'!$D$10,0)</f>
        <v>0</v>
      </c>
      <c r="N520" s="3">
        <f>IF(B520='Input sheet(dashboard)'!$D$27*12,J520*'Input sheet(dashboard)'!$D$11,0)</f>
        <v>0</v>
      </c>
      <c r="O520" s="3">
        <f>IF(SUM(F520:F531)&gt;=150000,150000/12*'Input sheet(dashboard)'!$D$28,SUM(F520:F531)/12*'Input sheet(dashboard)'!$D$28)</f>
        <v>2.0385913244663777E-12</v>
      </c>
      <c r="P520" s="3">
        <f t="shared" si="69"/>
        <v>0</v>
      </c>
      <c r="Q520" s="3">
        <f>IF(B520&lt;='Input sheet(dashboard)'!$D$27*12,'Input sheet(dashboard)'!$D$12/12,0)</f>
        <v>0</v>
      </c>
      <c r="R520" s="3">
        <f>IF(B520&lt;='Input sheet(dashboard)'!$D$27*12,('Input sheet(dashboard)'!$D$15/12)*(1+'Input sheet(dashboard)'!$E$22)^Calculations!B520,0)</f>
        <v>0</v>
      </c>
      <c r="S520" s="3">
        <f>IF(B520&lt;='Input sheet(dashboard)'!$D$27*12,(E520+G520+K520+L520-O520+M520+Q520+R520),0)</f>
        <v>0</v>
      </c>
      <c r="T520" s="3">
        <f>IF(B520&lt;='Input sheet(dashboard)'!$D$27*12,IF(D520=12,SUM(S509:S520),0),0)</f>
        <v>0</v>
      </c>
      <c r="U520" s="3">
        <f>IF(B520&lt;='Input sheet(dashboard)'!$D$27*12,IF(S520&lt;AD520,AD520-S520,0),0)</f>
        <v>0</v>
      </c>
      <c r="V520" s="3">
        <f>IF(B520&lt;='Input sheet(dashboard)'!$D$27*12,V519*(1+'Input sheet(dashboard)'!$E$25)+U520,0)</f>
        <v>0</v>
      </c>
      <c r="W520" s="17">
        <f>IF(B520&lt;='Input sheet(dashboard)'!$D$27*12,J520-I520+V520-N520,0)</f>
        <v>0</v>
      </c>
      <c r="X520" s="3">
        <f>IF(B520&lt;='Input sheet(dashboard)'!$D$27*12,'Input sheet(dashboard)'!$D$17*(1+'Input sheet(dashboard)'!$E$23)^(B520-1),0)</f>
        <v>0</v>
      </c>
      <c r="Y520" s="3"/>
      <c r="Z520" s="18"/>
      <c r="AA520" s="18"/>
      <c r="AB520" s="3">
        <f>IF(B520=1,'Input sheet(dashboard)'!$D$18*Calculations!X520,IF(Calculations!B520=12*'Input sheet(dashboard)'!$D$27,'Input sheet(dashboard)'!$D$18*-Calculations!X520,0))</f>
        <v>0</v>
      </c>
      <c r="AC520" s="3">
        <f>IF(B520&lt;='Input sheet(dashboard)'!$D$27*12,IF(MOD(B519,'Input sheet(dashboard)'!$D$19*12),0,'Input sheet(dashboard)'!$D$20*(1+'Input sheet(dashboard)'!$E$22)^Calculations!B520),0)</f>
        <v>0</v>
      </c>
      <c r="AD520" s="17">
        <f t="shared" si="75"/>
        <v>0</v>
      </c>
      <c r="AE520" s="17">
        <f>IF(B520&lt;='Input sheet(dashboard)'!$D$27*12,IF(D520=12,SUM(AD509:AD520),0),0)</f>
        <v>0</v>
      </c>
      <c r="AF520" s="17">
        <f t="shared" si="76"/>
        <v>0</v>
      </c>
      <c r="AG520" s="17">
        <f t="shared" si="77"/>
        <v>0</v>
      </c>
      <c r="AH520" s="3" t="str">
        <f>IF(B520&lt;='Input sheet(dashboard)'!$D$27*12,AH519*(1+'Input sheet(dashboard)'!$E$25)+AG520," ")</f>
        <v xml:space="preserve"> </v>
      </c>
    </row>
    <row r="521" spans="2:34">
      <c r="B521">
        <f t="shared" si="72"/>
        <v>518</v>
      </c>
      <c r="C521">
        <f t="shared" si="70"/>
        <v>44</v>
      </c>
      <c r="D521">
        <f t="shared" si="71"/>
        <v>2</v>
      </c>
      <c r="E521" s="15">
        <f>IF(C521&lt;='Input sheet(dashboard)'!$D$6, -PMT('Input sheet(dashboard)'!$E$5,'Input sheet(dashboard)'!$D$6*12,'Input sheet(dashboard)'!$D$3*'Input sheet(dashboard)'!$D$4),0)</f>
        <v>0</v>
      </c>
      <c r="F521" s="3">
        <f>I520*'Input sheet(dashboard)'!$E$5</f>
        <v>1.3368985172365051E-11</v>
      </c>
      <c r="G521" s="3">
        <f>IF(C521&lt;='Input sheet(dashboard)'!$D$6,E521*'Input sheet(dashboard)'!$D$7,0)</f>
        <v>0</v>
      </c>
      <c r="H521" s="3">
        <f t="shared" si="73"/>
        <v>-1.3368985172365051E-11</v>
      </c>
      <c r="I521" s="3">
        <f t="shared" si="74"/>
        <v>3.6833554995732383E-9</v>
      </c>
      <c r="J521" s="3">
        <f>IF(B521&lt;='Input sheet(dashboard)'!$D$27*12,'Input sheet(dashboard)'!$D$3*(1+'Input sheet(dashboard)'!$E$24)^B521,0)</f>
        <v>0</v>
      </c>
      <c r="K521" s="3">
        <f>IF(B521&lt;='Input sheet(dashboard)'!$D$27*12,J521*'Input sheet(dashboard)'!$E$8,0)</f>
        <v>0</v>
      </c>
      <c r="L521" s="3">
        <f>IF(B521&lt;='Input sheet(dashboard)'!$D$27*12,'Input sheet(dashboard)'!$D$9*(1+'Input sheet(dashboard)'!$E$22)^B521,0)</f>
        <v>0</v>
      </c>
      <c r="M521" s="3">
        <f>IF(B521=1,'Input sheet(dashboard)'!$D$3*'Input sheet(dashboard)'!$D$10,0)</f>
        <v>0</v>
      </c>
      <c r="N521" s="3">
        <f>IF(B521='Input sheet(dashboard)'!$D$27*12,J521*'Input sheet(dashboard)'!$D$11,0)</f>
        <v>0</v>
      </c>
      <c r="O521" s="3">
        <f>IF(SUM(F521:F532)&gt;=150000,150000/12*'Input sheet(dashboard)'!$D$28,SUM(F521:F532)/12*'Input sheet(dashboard)'!$D$28)</f>
        <v>2.0460174817784987E-12</v>
      </c>
      <c r="P521" s="3">
        <f t="shared" si="69"/>
        <v>0</v>
      </c>
      <c r="Q521" s="3">
        <f>IF(B521&lt;='Input sheet(dashboard)'!$D$27*12,'Input sheet(dashboard)'!$D$12/12,0)</f>
        <v>0</v>
      </c>
      <c r="R521" s="3">
        <f>IF(B521&lt;='Input sheet(dashboard)'!$D$27*12,('Input sheet(dashboard)'!$D$15/12)*(1+'Input sheet(dashboard)'!$E$22)^Calculations!B521,0)</f>
        <v>0</v>
      </c>
      <c r="S521" s="3">
        <f>IF(B521&lt;='Input sheet(dashboard)'!$D$27*12,(E521+G521+K521+L521-O521+M521+Q521+R521),0)</f>
        <v>0</v>
      </c>
      <c r="T521" s="3">
        <f>IF(B521&lt;='Input sheet(dashboard)'!$D$27*12,IF(D521=12,SUM(S510:S521),0),0)</f>
        <v>0</v>
      </c>
      <c r="U521" s="3">
        <f>IF(B521&lt;='Input sheet(dashboard)'!$D$27*12,IF(S521&lt;AD521,AD521-S521,0),0)</f>
        <v>0</v>
      </c>
      <c r="V521" s="3">
        <f>IF(B521&lt;='Input sheet(dashboard)'!$D$27*12,V520*(1+'Input sheet(dashboard)'!$E$25)+U521,0)</f>
        <v>0</v>
      </c>
      <c r="W521" s="17">
        <f>IF(B521&lt;='Input sheet(dashboard)'!$D$27*12,J521-I521+V521-N521,0)</f>
        <v>0</v>
      </c>
      <c r="X521" s="3">
        <f>IF(B521&lt;='Input sheet(dashboard)'!$D$27*12,'Input sheet(dashboard)'!$D$17*(1+'Input sheet(dashboard)'!$E$23)^(B521-1),0)</f>
        <v>0</v>
      </c>
      <c r="Y521" s="3"/>
      <c r="Z521" s="18"/>
      <c r="AA521" s="18"/>
      <c r="AB521" s="3">
        <f>IF(B521=1,'Input sheet(dashboard)'!$D$18*Calculations!X521,IF(Calculations!B521=12*'Input sheet(dashboard)'!$D$27,'Input sheet(dashboard)'!$D$18*-Calculations!X521,0))</f>
        <v>0</v>
      </c>
      <c r="AC521" s="3">
        <f>IF(B521&lt;='Input sheet(dashboard)'!$D$27*12,IF(MOD(B520,'Input sheet(dashboard)'!$D$19*12),0,'Input sheet(dashboard)'!$D$20*(1+'Input sheet(dashboard)'!$E$22)^Calculations!B521),0)</f>
        <v>0</v>
      </c>
      <c r="AD521" s="17">
        <f t="shared" si="75"/>
        <v>0</v>
      </c>
      <c r="AE521" s="17">
        <f>IF(B521&lt;='Input sheet(dashboard)'!$D$27*12,IF(D521=12,SUM(AD510:AD521),0),0)</f>
        <v>0</v>
      </c>
      <c r="AF521" s="17">
        <f t="shared" si="76"/>
        <v>0</v>
      </c>
      <c r="AG521" s="17">
        <f t="shared" si="77"/>
        <v>0</v>
      </c>
      <c r="AH521" s="3" t="str">
        <f>IF(B521&lt;='Input sheet(dashboard)'!$D$27*12,AH520*(1+'Input sheet(dashboard)'!$E$25)+AG521," ")</f>
        <v xml:space="preserve"> </v>
      </c>
    </row>
    <row r="522" spans="2:34">
      <c r="B522">
        <f t="shared" si="72"/>
        <v>519</v>
      </c>
      <c r="C522">
        <f t="shared" si="70"/>
        <v>44</v>
      </c>
      <c r="D522">
        <f t="shared" si="71"/>
        <v>3</v>
      </c>
      <c r="E522" s="15">
        <f>IF(C522&lt;='Input sheet(dashboard)'!$D$6, -PMT('Input sheet(dashboard)'!$E$5,'Input sheet(dashboard)'!$D$6*12,'Input sheet(dashboard)'!$D$3*'Input sheet(dashboard)'!$D$4),0)</f>
        <v>0</v>
      </c>
      <c r="F522" s="3">
        <f>I521*'Input sheet(dashboard)'!$E$5</f>
        <v>1.3417685559638298E-11</v>
      </c>
      <c r="G522" s="3">
        <f>IF(C522&lt;='Input sheet(dashboard)'!$D$6,E522*'Input sheet(dashboard)'!$D$7,0)</f>
        <v>0</v>
      </c>
      <c r="H522" s="3">
        <f t="shared" si="73"/>
        <v>-1.3417685559638298E-11</v>
      </c>
      <c r="I522" s="3">
        <f t="shared" si="74"/>
        <v>3.6967731851328765E-9</v>
      </c>
      <c r="J522" s="3">
        <f>IF(B522&lt;='Input sheet(dashboard)'!$D$27*12,'Input sheet(dashboard)'!$D$3*(1+'Input sheet(dashboard)'!$E$24)^B522,0)</f>
        <v>0</v>
      </c>
      <c r="K522" s="3">
        <f>IF(B522&lt;='Input sheet(dashboard)'!$D$27*12,J522*'Input sheet(dashboard)'!$E$8,0)</f>
        <v>0</v>
      </c>
      <c r="L522" s="3">
        <f>IF(B522&lt;='Input sheet(dashboard)'!$D$27*12,'Input sheet(dashboard)'!$D$9*(1+'Input sheet(dashboard)'!$E$22)^B522,0)</f>
        <v>0</v>
      </c>
      <c r="M522" s="3">
        <f>IF(B522=1,'Input sheet(dashboard)'!$D$3*'Input sheet(dashboard)'!$D$10,0)</f>
        <v>0</v>
      </c>
      <c r="N522" s="3">
        <f>IF(B522='Input sheet(dashboard)'!$D$27*12,J522*'Input sheet(dashboard)'!$D$11,0)</f>
        <v>0</v>
      </c>
      <c r="O522" s="3">
        <f>IF(SUM(F522:F533)&gt;=150000,150000/12*'Input sheet(dashboard)'!$D$28,SUM(F522:F533)/12*'Input sheet(dashboard)'!$D$28)</f>
        <v>2.0534706910120919E-12</v>
      </c>
      <c r="P522" s="3">
        <f t="shared" si="69"/>
        <v>0</v>
      </c>
      <c r="Q522" s="3">
        <f>IF(B522&lt;='Input sheet(dashboard)'!$D$27*12,'Input sheet(dashboard)'!$D$12/12,0)</f>
        <v>0</v>
      </c>
      <c r="R522" s="3">
        <f>IF(B522&lt;='Input sheet(dashboard)'!$D$27*12,('Input sheet(dashboard)'!$D$15/12)*(1+'Input sheet(dashboard)'!$E$22)^Calculations!B522,0)</f>
        <v>0</v>
      </c>
      <c r="S522" s="3">
        <f>IF(B522&lt;='Input sheet(dashboard)'!$D$27*12,(E522+G522+K522+L522-O522+M522+Q522+R522),0)</f>
        <v>0</v>
      </c>
      <c r="T522" s="3">
        <f>IF(B522&lt;='Input sheet(dashboard)'!$D$27*12,IF(D522=12,SUM(S511:S522),0),0)</f>
        <v>0</v>
      </c>
      <c r="U522" s="3">
        <f>IF(B522&lt;='Input sheet(dashboard)'!$D$27*12,IF(S522&lt;AD522,AD522-S522,0),0)</f>
        <v>0</v>
      </c>
      <c r="V522" s="3">
        <f>IF(B522&lt;='Input sheet(dashboard)'!$D$27*12,V521*(1+'Input sheet(dashboard)'!$E$25)+U522,0)</f>
        <v>0</v>
      </c>
      <c r="W522" s="17">
        <f>IF(B522&lt;='Input sheet(dashboard)'!$D$27*12,J522-I522+V522-N522,0)</f>
        <v>0</v>
      </c>
      <c r="X522" s="3">
        <f>IF(B522&lt;='Input sheet(dashboard)'!$D$27*12,'Input sheet(dashboard)'!$D$17*(1+'Input sheet(dashboard)'!$E$23)^(B522-1),0)</f>
        <v>0</v>
      </c>
      <c r="Y522" s="3"/>
      <c r="Z522" s="18"/>
      <c r="AA522" s="18"/>
      <c r="AB522" s="3">
        <f>IF(B522=1,'Input sheet(dashboard)'!$D$18*Calculations!X522,IF(Calculations!B522=12*'Input sheet(dashboard)'!$D$27,'Input sheet(dashboard)'!$D$18*-Calculations!X522,0))</f>
        <v>0</v>
      </c>
      <c r="AC522" s="3">
        <f>IF(B522&lt;='Input sheet(dashboard)'!$D$27*12,IF(MOD(B521,'Input sheet(dashboard)'!$D$19*12),0,'Input sheet(dashboard)'!$D$20*(1+'Input sheet(dashboard)'!$E$22)^Calculations!B522),0)</f>
        <v>0</v>
      </c>
      <c r="AD522" s="17">
        <f t="shared" si="75"/>
        <v>0</v>
      </c>
      <c r="AE522" s="17">
        <f>IF(B522&lt;='Input sheet(dashboard)'!$D$27*12,IF(D522=12,SUM(AD511:AD522),0),0)</f>
        <v>0</v>
      </c>
      <c r="AF522" s="17">
        <f t="shared" si="76"/>
        <v>0</v>
      </c>
      <c r="AG522" s="17">
        <f t="shared" si="77"/>
        <v>0</v>
      </c>
      <c r="AH522" s="3" t="str">
        <f>IF(B522&lt;='Input sheet(dashboard)'!$D$27*12,AH521*(1+'Input sheet(dashboard)'!$E$25)+AG522," ")</f>
        <v xml:space="preserve"> </v>
      </c>
    </row>
    <row r="523" spans="2:34">
      <c r="B523">
        <f t="shared" si="72"/>
        <v>520</v>
      </c>
      <c r="C523">
        <f t="shared" si="70"/>
        <v>44</v>
      </c>
      <c r="D523">
        <f t="shared" si="71"/>
        <v>4</v>
      </c>
      <c r="E523" s="15">
        <f>IF(C523&lt;='Input sheet(dashboard)'!$D$6, -PMT('Input sheet(dashboard)'!$E$5,'Input sheet(dashboard)'!$D$6*12,'Input sheet(dashboard)'!$D$3*'Input sheet(dashboard)'!$D$4),0)</f>
        <v>0</v>
      </c>
      <c r="F523" s="3">
        <f>I522*'Input sheet(dashboard)'!$E$5</f>
        <v>1.3466563352128917E-11</v>
      </c>
      <c r="G523" s="3">
        <f>IF(C523&lt;='Input sheet(dashboard)'!$D$6,E523*'Input sheet(dashboard)'!$D$7,0)</f>
        <v>0</v>
      </c>
      <c r="H523" s="3">
        <f t="shared" si="73"/>
        <v>-1.3466563352128917E-11</v>
      </c>
      <c r="I523" s="3">
        <f t="shared" si="74"/>
        <v>3.7102397484850056E-9</v>
      </c>
      <c r="J523" s="3">
        <f>IF(B523&lt;='Input sheet(dashboard)'!$D$27*12,'Input sheet(dashboard)'!$D$3*(1+'Input sheet(dashboard)'!$E$24)^B523,0)</f>
        <v>0</v>
      </c>
      <c r="K523" s="3">
        <f>IF(B523&lt;='Input sheet(dashboard)'!$D$27*12,J523*'Input sheet(dashboard)'!$E$8,0)</f>
        <v>0</v>
      </c>
      <c r="L523" s="3">
        <f>IF(B523&lt;='Input sheet(dashboard)'!$D$27*12,'Input sheet(dashboard)'!$D$9*(1+'Input sheet(dashboard)'!$E$22)^B523,0)</f>
        <v>0</v>
      </c>
      <c r="M523" s="3">
        <f>IF(B523=1,'Input sheet(dashboard)'!$D$3*'Input sheet(dashboard)'!$D$10,0)</f>
        <v>0</v>
      </c>
      <c r="N523" s="3">
        <f>IF(B523='Input sheet(dashboard)'!$D$27*12,J523*'Input sheet(dashboard)'!$D$11,0)</f>
        <v>0</v>
      </c>
      <c r="O523" s="3">
        <f>IF(SUM(F523:F534)&gt;=150000,150000/12*'Input sheet(dashboard)'!$D$28,SUM(F523:F534)/12*'Input sheet(dashboard)'!$D$28)</f>
        <v>2.0609510507115904E-12</v>
      </c>
      <c r="P523" s="3">
        <f t="shared" si="69"/>
        <v>0</v>
      </c>
      <c r="Q523" s="3">
        <f>IF(B523&lt;='Input sheet(dashboard)'!$D$27*12,'Input sheet(dashboard)'!$D$12/12,0)</f>
        <v>0</v>
      </c>
      <c r="R523" s="3">
        <f>IF(B523&lt;='Input sheet(dashboard)'!$D$27*12,('Input sheet(dashboard)'!$D$15/12)*(1+'Input sheet(dashboard)'!$E$22)^Calculations!B523,0)</f>
        <v>0</v>
      </c>
      <c r="S523" s="3">
        <f>IF(B523&lt;='Input sheet(dashboard)'!$D$27*12,(E523+G523+K523+L523-O523+M523+Q523+R523),0)</f>
        <v>0</v>
      </c>
      <c r="T523" s="3">
        <f>IF(B523&lt;='Input sheet(dashboard)'!$D$27*12,IF(D523=12,SUM(S512:S523),0),0)</f>
        <v>0</v>
      </c>
      <c r="U523" s="3">
        <f>IF(B523&lt;='Input sheet(dashboard)'!$D$27*12,IF(S523&lt;AD523,AD523-S523,0),0)</f>
        <v>0</v>
      </c>
      <c r="V523" s="3">
        <f>IF(B523&lt;='Input sheet(dashboard)'!$D$27*12,V522*(1+'Input sheet(dashboard)'!$E$25)+U523,0)</f>
        <v>0</v>
      </c>
      <c r="W523" s="17">
        <f>IF(B523&lt;='Input sheet(dashboard)'!$D$27*12,J523-I523+V523-N523,0)</f>
        <v>0</v>
      </c>
      <c r="X523" s="3">
        <f>IF(B523&lt;='Input sheet(dashboard)'!$D$27*12,'Input sheet(dashboard)'!$D$17*(1+'Input sheet(dashboard)'!$E$23)^(B523-1),0)</f>
        <v>0</v>
      </c>
      <c r="Y523" s="3"/>
      <c r="Z523" s="18"/>
      <c r="AA523" s="18"/>
      <c r="AB523" s="3">
        <f>IF(B523=1,'Input sheet(dashboard)'!$D$18*Calculations!X523,IF(Calculations!B523=12*'Input sheet(dashboard)'!$D$27,'Input sheet(dashboard)'!$D$18*-Calculations!X523,0))</f>
        <v>0</v>
      </c>
      <c r="AC523" s="3">
        <f>IF(B523&lt;='Input sheet(dashboard)'!$D$27*12,IF(MOD(B522,'Input sheet(dashboard)'!$D$19*12),0,'Input sheet(dashboard)'!$D$20*(1+'Input sheet(dashboard)'!$E$22)^Calculations!B523),0)</f>
        <v>0</v>
      </c>
      <c r="AD523" s="17">
        <f t="shared" si="75"/>
        <v>0</v>
      </c>
      <c r="AE523" s="17">
        <f>IF(B523&lt;='Input sheet(dashboard)'!$D$27*12,IF(D523=12,SUM(AD512:AD523),0),0)</f>
        <v>0</v>
      </c>
      <c r="AF523" s="17">
        <f t="shared" si="76"/>
        <v>0</v>
      </c>
      <c r="AG523" s="17">
        <f t="shared" si="77"/>
        <v>0</v>
      </c>
      <c r="AH523" s="3" t="str">
        <f>IF(B523&lt;='Input sheet(dashboard)'!$D$27*12,AH522*(1+'Input sheet(dashboard)'!$E$25)+AG523," ")</f>
        <v xml:space="preserve"> </v>
      </c>
    </row>
    <row r="524" spans="2:34">
      <c r="B524">
        <f t="shared" si="72"/>
        <v>521</v>
      </c>
      <c r="C524">
        <f t="shared" si="70"/>
        <v>44</v>
      </c>
      <c r="D524">
        <f t="shared" si="71"/>
        <v>5</v>
      </c>
      <c r="E524" s="15">
        <f>IF(C524&lt;='Input sheet(dashboard)'!$D$6, -PMT('Input sheet(dashboard)'!$E$5,'Input sheet(dashboard)'!$D$6*12,'Input sheet(dashboard)'!$D$3*'Input sheet(dashboard)'!$D$4),0)</f>
        <v>0</v>
      </c>
      <c r="F524" s="3">
        <f>I523*'Input sheet(dashboard)'!$E$5</f>
        <v>1.3515619196086622E-11</v>
      </c>
      <c r="G524" s="3">
        <f>IF(C524&lt;='Input sheet(dashboard)'!$D$6,E524*'Input sheet(dashboard)'!$D$7,0)</f>
        <v>0</v>
      </c>
      <c r="H524" s="3">
        <f t="shared" si="73"/>
        <v>-1.3515619196086622E-11</v>
      </c>
      <c r="I524" s="3">
        <f t="shared" si="74"/>
        <v>3.723755367681092E-9</v>
      </c>
      <c r="J524" s="3">
        <f>IF(B524&lt;='Input sheet(dashboard)'!$D$27*12,'Input sheet(dashboard)'!$D$3*(1+'Input sheet(dashboard)'!$E$24)^B524,0)</f>
        <v>0</v>
      </c>
      <c r="K524" s="3">
        <f>IF(B524&lt;='Input sheet(dashboard)'!$D$27*12,J524*'Input sheet(dashboard)'!$E$8,0)</f>
        <v>0</v>
      </c>
      <c r="L524" s="3">
        <f>IF(B524&lt;='Input sheet(dashboard)'!$D$27*12,'Input sheet(dashboard)'!$D$9*(1+'Input sheet(dashboard)'!$E$22)^B524,0)</f>
        <v>0</v>
      </c>
      <c r="M524" s="3">
        <f>IF(B524=1,'Input sheet(dashboard)'!$D$3*'Input sheet(dashboard)'!$D$10,0)</f>
        <v>0</v>
      </c>
      <c r="N524" s="3">
        <f>IF(B524='Input sheet(dashboard)'!$D$27*12,J524*'Input sheet(dashboard)'!$D$11,0)</f>
        <v>0</v>
      </c>
      <c r="O524" s="3">
        <f>IF(SUM(F524:F535)&gt;=150000,150000/12*'Input sheet(dashboard)'!$D$28,SUM(F524:F535)/12*'Input sheet(dashboard)'!$D$28)</f>
        <v>2.0684586597804021E-12</v>
      </c>
      <c r="P524" s="3">
        <f t="shared" si="69"/>
        <v>0</v>
      </c>
      <c r="Q524" s="3">
        <f>IF(B524&lt;='Input sheet(dashboard)'!$D$27*12,'Input sheet(dashboard)'!$D$12/12,0)</f>
        <v>0</v>
      </c>
      <c r="R524" s="3">
        <f>IF(B524&lt;='Input sheet(dashboard)'!$D$27*12,('Input sheet(dashboard)'!$D$15/12)*(1+'Input sheet(dashboard)'!$E$22)^Calculations!B524,0)</f>
        <v>0</v>
      </c>
      <c r="S524" s="3">
        <f>IF(B524&lt;='Input sheet(dashboard)'!$D$27*12,(E524+G524+K524+L524-O524+M524+Q524+R524),0)</f>
        <v>0</v>
      </c>
      <c r="T524" s="3">
        <f>IF(B524&lt;='Input sheet(dashboard)'!$D$27*12,IF(D524=12,SUM(S513:S524),0),0)</f>
        <v>0</v>
      </c>
      <c r="U524" s="3">
        <f>IF(B524&lt;='Input sheet(dashboard)'!$D$27*12,IF(S524&lt;AD524,AD524-S524,0),0)</f>
        <v>0</v>
      </c>
      <c r="V524" s="3">
        <f>IF(B524&lt;='Input sheet(dashboard)'!$D$27*12,V523*(1+'Input sheet(dashboard)'!$E$25)+U524,0)</f>
        <v>0</v>
      </c>
      <c r="W524" s="17">
        <f>IF(B524&lt;='Input sheet(dashboard)'!$D$27*12,J524-I524+V524-N524,0)</f>
        <v>0</v>
      </c>
      <c r="X524" s="3">
        <f>IF(B524&lt;='Input sheet(dashboard)'!$D$27*12,'Input sheet(dashboard)'!$D$17*(1+'Input sheet(dashboard)'!$E$23)^(B524-1),0)</f>
        <v>0</v>
      </c>
      <c r="Y524" s="3"/>
      <c r="Z524" s="18"/>
      <c r="AA524" s="18"/>
      <c r="AB524" s="3">
        <f>IF(B524=1,'Input sheet(dashboard)'!$D$18*Calculations!X524,IF(Calculations!B524=12*'Input sheet(dashboard)'!$D$27,'Input sheet(dashboard)'!$D$18*-Calculations!X524,0))</f>
        <v>0</v>
      </c>
      <c r="AC524" s="3">
        <f>IF(B524&lt;='Input sheet(dashboard)'!$D$27*12,IF(MOD(B523,'Input sheet(dashboard)'!$D$19*12),0,'Input sheet(dashboard)'!$D$20*(1+'Input sheet(dashboard)'!$E$22)^Calculations!B524),0)</f>
        <v>0</v>
      </c>
      <c r="AD524" s="17">
        <f t="shared" si="75"/>
        <v>0</v>
      </c>
      <c r="AE524" s="17">
        <f>IF(B524&lt;='Input sheet(dashboard)'!$D$27*12,IF(D524=12,SUM(AD513:AD524),0),0)</f>
        <v>0</v>
      </c>
      <c r="AF524" s="17">
        <f t="shared" si="76"/>
        <v>0</v>
      </c>
      <c r="AG524" s="17">
        <f t="shared" si="77"/>
        <v>0</v>
      </c>
      <c r="AH524" s="3" t="str">
        <f>IF(B524&lt;='Input sheet(dashboard)'!$D$27*12,AH523*(1+'Input sheet(dashboard)'!$E$25)+AG524," ")</f>
        <v xml:space="preserve"> </v>
      </c>
    </row>
    <row r="525" spans="2:34">
      <c r="B525">
        <f t="shared" si="72"/>
        <v>522</v>
      </c>
      <c r="C525">
        <f t="shared" si="70"/>
        <v>44</v>
      </c>
      <c r="D525">
        <f t="shared" si="71"/>
        <v>6</v>
      </c>
      <c r="E525" s="15">
        <f>IF(C525&lt;='Input sheet(dashboard)'!$D$6, -PMT('Input sheet(dashboard)'!$E$5,'Input sheet(dashboard)'!$D$6*12,'Input sheet(dashboard)'!$D$3*'Input sheet(dashboard)'!$D$4),0)</f>
        <v>0</v>
      </c>
      <c r="F525" s="3">
        <f>I524*'Input sheet(dashboard)'!$E$5</f>
        <v>1.3564853740115269E-11</v>
      </c>
      <c r="G525" s="3">
        <f>IF(C525&lt;='Input sheet(dashboard)'!$D$6,E525*'Input sheet(dashboard)'!$D$7,0)</f>
        <v>0</v>
      </c>
      <c r="H525" s="3">
        <f t="shared" si="73"/>
        <v>-1.3564853740115269E-11</v>
      </c>
      <c r="I525" s="3">
        <f t="shared" si="74"/>
        <v>3.737320221421207E-9</v>
      </c>
      <c r="J525" s="3">
        <f>IF(B525&lt;='Input sheet(dashboard)'!$D$27*12,'Input sheet(dashboard)'!$D$3*(1+'Input sheet(dashboard)'!$E$24)^B525,0)</f>
        <v>0</v>
      </c>
      <c r="K525" s="3">
        <f>IF(B525&lt;='Input sheet(dashboard)'!$D$27*12,J525*'Input sheet(dashboard)'!$E$8,0)</f>
        <v>0</v>
      </c>
      <c r="L525" s="3">
        <f>IF(B525&lt;='Input sheet(dashboard)'!$D$27*12,'Input sheet(dashboard)'!$D$9*(1+'Input sheet(dashboard)'!$E$22)^B525,0)</f>
        <v>0</v>
      </c>
      <c r="M525" s="3">
        <f>IF(B525=1,'Input sheet(dashboard)'!$D$3*'Input sheet(dashboard)'!$D$10,0)</f>
        <v>0</v>
      </c>
      <c r="N525" s="3">
        <f>IF(B525='Input sheet(dashboard)'!$D$27*12,J525*'Input sheet(dashboard)'!$D$11,0)</f>
        <v>0</v>
      </c>
      <c r="O525" s="3">
        <f>IF(SUM(F525:F536)&gt;=150000,150000/12*'Input sheet(dashboard)'!$D$28,SUM(F525:F536)/12*'Input sheet(dashboard)'!$D$28)</f>
        <v>2.0759936174822203E-12</v>
      </c>
      <c r="P525" s="3">
        <f t="shared" si="69"/>
        <v>0</v>
      </c>
      <c r="Q525" s="3">
        <f>IF(B525&lt;='Input sheet(dashboard)'!$D$27*12,'Input sheet(dashboard)'!$D$12/12,0)</f>
        <v>0</v>
      </c>
      <c r="R525" s="3">
        <f>IF(B525&lt;='Input sheet(dashboard)'!$D$27*12,('Input sheet(dashboard)'!$D$15/12)*(1+'Input sheet(dashboard)'!$E$22)^Calculations!B525,0)</f>
        <v>0</v>
      </c>
      <c r="S525" s="3">
        <f>IF(B525&lt;='Input sheet(dashboard)'!$D$27*12,(E525+G525+K525+L525-O525+M525+Q525+R525),0)</f>
        <v>0</v>
      </c>
      <c r="T525" s="3">
        <f>IF(B525&lt;='Input sheet(dashboard)'!$D$27*12,IF(D525=12,SUM(S514:S525),0),0)</f>
        <v>0</v>
      </c>
      <c r="U525" s="3">
        <f>IF(B525&lt;='Input sheet(dashboard)'!$D$27*12,IF(S525&lt;AD525,AD525-S525,0),0)</f>
        <v>0</v>
      </c>
      <c r="V525" s="3">
        <f>IF(B525&lt;='Input sheet(dashboard)'!$D$27*12,V524*(1+'Input sheet(dashboard)'!$E$25)+U525,0)</f>
        <v>0</v>
      </c>
      <c r="W525" s="17">
        <f>IF(B525&lt;='Input sheet(dashboard)'!$D$27*12,J525-I525+V525-N525,0)</f>
        <v>0</v>
      </c>
      <c r="X525" s="3">
        <f>IF(B525&lt;='Input sheet(dashboard)'!$D$27*12,'Input sheet(dashboard)'!$D$17*(1+'Input sheet(dashboard)'!$E$23)^(B525-1),0)</f>
        <v>0</v>
      </c>
      <c r="Y525" s="3"/>
      <c r="Z525" s="18"/>
      <c r="AA525" s="18"/>
      <c r="AB525" s="3">
        <f>IF(B525=1,'Input sheet(dashboard)'!$D$18*Calculations!X525,IF(Calculations!B525=12*'Input sheet(dashboard)'!$D$27,'Input sheet(dashboard)'!$D$18*-Calculations!X525,0))</f>
        <v>0</v>
      </c>
      <c r="AC525" s="3">
        <f>IF(B525&lt;='Input sheet(dashboard)'!$D$27*12,IF(MOD(B524,'Input sheet(dashboard)'!$D$19*12),0,'Input sheet(dashboard)'!$D$20*(1+'Input sheet(dashboard)'!$E$22)^Calculations!B525),0)</f>
        <v>0</v>
      </c>
      <c r="AD525" s="17">
        <f t="shared" si="75"/>
        <v>0</v>
      </c>
      <c r="AE525" s="17">
        <f>IF(B525&lt;='Input sheet(dashboard)'!$D$27*12,IF(D525=12,SUM(AD514:AD525),0),0)</f>
        <v>0</v>
      </c>
      <c r="AF525" s="17">
        <f t="shared" si="76"/>
        <v>0</v>
      </c>
      <c r="AG525" s="17">
        <f t="shared" si="77"/>
        <v>0</v>
      </c>
      <c r="AH525" s="3" t="str">
        <f>IF(B525&lt;='Input sheet(dashboard)'!$D$27*12,AH524*(1+'Input sheet(dashboard)'!$E$25)+AG525," ")</f>
        <v xml:space="preserve"> </v>
      </c>
    </row>
    <row r="526" spans="2:34">
      <c r="B526">
        <f t="shared" si="72"/>
        <v>523</v>
      </c>
      <c r="C526">
        <f t="shared" si="70"/>
        <v>44</v>
      </c>
      <c r="D526">
        <f t="shared" si="71"/>
        <v>7</v>
      </c>
      <c r="E526" s="15">
        <f>IF(C526&lt;='Input sheet(dashboard)'!$D$6, -PMT('Input sheet(dashboard)'!$E$5,'Input sheet(dashboard)'!$D$6*12,'Input sheet(dashboard)'!$D$3*'Input sheet(dashboard)'!$D$4),0)</f>
        <v>0</v>
      </c>
      <c r="F526" s="3">
        <f>I525*'Input sheet(dashboard)'!$E$5</f>
        <v>1.3614267635181447E-11</v>
      </c>
      <c r="G526" s="3">
        <f>IF(C526&lt;='Input sheet(dashboard)'!$D$6,E526*'Input sheet(dashboard)'!$D$7,0)</f>
        <v>0</v>
      </c>
      <c r="H526" s="3">
        <f t="shared" si="73"/>
        <v>-1.3614267635181447E-11</v>
      </c>
      <c r="I526" s="3">
        <f t="shared" si="74"/>
        <v>3.7509344890563887E-9</v>
      </c>
      <c r="J526" s="3">
        <f>IF(B526&lt;='Input sheet(dashboard)'!$D$27*12,'Input sheet(dashboard)'!$D$3*(1+'Input sheet(dashboard)'!$E$24)^B526,0)</f>
        <v>0</v>
      </c>
      <c r="K526" s="3">
        <f>IF(B526&lt;='Input sheet(dashboard)'!$D$27*12,J526*'Input sheet(dashboard)'!$E$8,0)</f>
        <v>0</v>
      </c>
      <c r="L526" s="3">
        <f>IF(B526&lt;='Input sheet(dashboard)'!$D$27*12,'Input sheet(dashboard)'!$D$9*(1+'Input sheet(dashboard)'!$E$22)^B526,0)</f>
        <v>0</v>
      </c>
      <c r="M526" s="3">
        <f>IF(B526=1,'Input sheet(dashboard)'!$D$3*'Input sheet(dashboard)'!$D$10,0)</f>
        <v>0</v>
      </c>
      <c r="N526" s="3">
        <f>IF(B526='Input sheet(dashboard)'!$D$27*12,J526*'Input sheet(dashboard)'!$D$11,0)</f>
        <v>0</v>
      </c>
      <c r="O526" s="3">
        <f>IF(SUM(F526:F537)&gt;=150000,150000/12*'Input sheet(dashboard)'!$D$28,SUM(F526:F537)/12*'Input sheet(dashboard)'!$D$28)</f>
        <v>2.0835560234423347E-12</v>
      </c>
      <c r="P526" s="3">
        <f t="shared" si="69"/>
        <v>0</v>
      </c>
      <c r="Q526" s="3">
        <f>IF(B526&lt;='Input sheet(dashboard)'!$D$27*12,'Input sheet(dashboard)'!$D$12/12,0)</f>
        <v>0</v>
      </c>
      <c r="R526" s="3">
        <f>IF(B526&lt;='Input sheet(dashboard)'!$D$27*12,('Input sheet(dashboard)'!$D$15/12)*(1+'Input sheet(dashboard)'!$E$22)^Calculations!B526,0)</f>
        <v>0</v>
      </c>
      <c r="S526" s="3">
        <f>IF(B526&lt;='Input sheet(dashboard)'!$D$27*12,(E526+G526+K526+L526-O526+M526+Q526+R526),0)</f>
        <v>0</v>
      </c>
      <c r="T526" s="3">
        <f>IF(B526&lt;='Input sheet(dashboard)'!$D$27*12,IF(D526=12,SUM(S515:S526),0),0)</f>
        <v>0</v>
      </c>
      <c r="U526" s="3">
        <f>IF(B526&lt;='Input sheet(dashboard)'!$D$27*12,IF(S526&lt;AD526,AD526-S526,0),0)</f>
        <v>0</v>
      </c>
      <c r="V526" s="3">
        <f>IF(B526&lt;='Input sheet(dashboard)'!$D$27*12,V525*(1+'Input sheet(dashboard)'!$E$25)+U526,0)</f>
        <v>0</v>
      </c>
      <c r="W526" s="17">
        <f>IF(B526&lt;='Input sheet(dashboard)'!$D$27*12,J526-I526+V526-N526,0)</f>
        <v>0</v>
      </c>
      <c r="X526" s="3">
        <f>IF(B526&lt;='Input sheet(dashboard)'!$D$27*12,'Input sheet(dashboard)'!$D$17*(1+'Input sheet(dashboard)'!$E$23)^(B526-1),0)</f>
        <v>0</v>
      </c>
      <c r="Y526" s="3"/>
      <c r="Z526" s="18"/>
      <c r="AA526" s="18"/>
      <c r="AB526" s="3">
        <f>IF(B526=1,'Input sheet(dashboard)'!$D$18*Calculations!X526,IF(Calculations!B526=12*'Input sheet(dashboard)'!$D$27,'Input sheet(dashboard)'!$D$18*-Calculations!X526,0))</f>
        <v>0</v>
      </c>
      <c r="AC526" s="3">
        <f>IF(B526&lt;='Input sheet(dashboard)'!$D$27*12,IF(MOD(B525,'Input sheet(dashboard)'!$D$19*12),0,'Input sheet(dashboard)'!$D$20*(1+'Input sheet(dashboard)'!$E$22)^Calculations!B526),0)</f>
        <v>0</v>
      </c>
      <c r="AD526" s="17">
        <f t="shared" si="75"/>
        <v>0</v>
      </c>
      <c r="AE526" s="17">
        <f>IF(B526&lt;='Input sheet(dashboard)'!$D$27*12,IF(D526=12,SUM(AD515:AD526),0),0)</f>
        <v>0</v>
      </c>
      <c r="AF526" s="17">
        <f t="shared" si="76"/>
        <v>0</v>
      </c>
      <c r="AG526" s="17">
        <f t="shared" si="77"/>
        <v>0</v>
      </c>
      <c r="AH526" s="3" t="str">
        <f>IF(B526&lt;='Input sheet(dashboard)'!$D$27*12,AH525*(1+'Input sheet(dashboard)'!$E$25)+AG526," ")</f>
        <v xml:space="preserve"> </v>
      </c>
    </row>
    <row r="527" spans="2:34">
      <c r="B527">
        <f t="shared" si="72"/>
        <v>524</v>
      </c>
      <c r="C527">
        <f t="shared" si="70"/>
        <v>44</v>
      </c>
      <c r="D527">
        <f t="shared" si="71"/>
        <v>8</v>
      </c>
      <c r="E527" s="15">
        <f>IF(C527&lt;='Input sheet(dashboard)'!$D$6, -PMT('Input sheet(dashboard)'!$E$5,'Input sheet(dashboard)'!$D$6*12,'Input sheet(dashboard)'!$D$3*'Input sheet(dashboard)'!$D$4),0)</f>
        <v>0</v>
      </c>
      <c r="F527" s="3">
        <f>I526*'Input sheet(dashboard)'!$E$5</f>
        <v>1.3663861534623083E-11</v>
      </c>
      <c r="G527" s="3">
        <f>IF(C527&lt;='Input sheet(dashboard)'!$D$6,E527*'Input sheet(dashboard)'!$D$7,0)</f>
        <v>0</v>
      </c>
      <c r="H527" s="3">
        <f t="shared" si="73"/>
        <v>-1.3663861534623083E-11</v>
      </c>
      <c r="I527" s="3">
        <f t="shared" si="74"/>
        <v>3.7645983505910118E-9</v>
      </c>
      <c r="J527" s="3">
        <f>IF(B527&lt;='Input sheet(dashboard)'!$D$27*12,'Input sheet(dashboard)'!$D$3*(1+'Input sheet(dashboard)'!$E$24)^B527,0)</f>
        <v>0</v>
      </c>
      <c r="K527" s="3">
        <f>IF(B527&lt;='Input sheet(dashboard)'!$D$27*12,J527*'Input sheet(dashboard)'!$E$8,0)</f>
        <v>0</v>
      </c>
      <c r="L527" s="3">
        <f>IF(B527&lt;='Input sheet(dashboard)'!$D$27*12,'Input sheet(dashboard)'!$D$9*(1+'Input sheet(dashboard)'!$E$22)^B527,0)</f>
        <v>0</v>
      </c>
      <c r="M527" s="3">
        <f>IF(B527=1,'Input sheet(dashboard)'!$D$3*'Input sheet(dashboard)'!$D$10,0)</f>
        <v>0</v>
      </c>
      <c r="N527" s="3">
        <f>IF(B527='Input sheet(dashboard)'!$D$27*12,J527*'Input sheet(dashboard)'!$D$11,0)</f>
        <v>0</v>
      </c>
      <c r="O527" s="3">
        <f>IF(SUM(F527:F538)&gt;=150000,150000/12*'Input sheet(dashboard)'!$D$28,SUM(F527:F538)/12*'Input sheet(dashboard)'!$D$28)</f>
        <v>2.0911459776489483E-12</v>
      </c>
      <c r="P527" s="3">
        <f t="shared" ref="P527:P590" si="78">IF(D527=12,IF(SUM(F516:F528)&gt;=150000,150000*0.15,SUM(F516:F528)*0.15),0)</f>
        <v>0</v>
      </c>
      <c r="Q527" s="3">
        <f>IF(B527&lt;='Input sheet(dashboard)'!$D$27*12,'Input sheet(dashboard)'!$D$12/12,0)</f>
        <v>0</v>
      </c>
      <c r="R527" s="3">
        <f>IF(B527&lt;='Input sheet(dashboard)'!$D$27*12,('Input sheet(dashboard)'!$D$15/12)*(1+'Input sheet(dashboard)'!$E$22)^Calculations!B527,0)</f>
        <v>0</v>
      </c>
      <c r="S527" s="3">
        <f>IF(B527&lt;='Input sheet(dashboard)'!$D$27*12,(E527+G527+K527+L527-O527+M527+Q527+R527),0)</f>
        <v>0</v>
      </c>
      <c r="T527" s="3">
        <f>IF(B527&lt;='Input sheet(dashboard)'!$D$27*12,IF(D527=12,SUM(S516:S527),0),0)</f>
        <v>0</v>
      </c>
      <c r="U527" s="3">
        <f>IF(B527&lt;='Input sheet(dashboard)'!$D$27*12,IF(S527&lt;AD527,AD527-S527,0),0)</f>
        <v>0</v>
      </c>
      <c r="V527" s="3">
        <f>IF(B527&lt;='Input sheet(dashboard)'!$D$27*12,V526*(1+'Input sheet(dashboard)'!$E$25)+U527,0)</f>
        <v>0</v>
      </c>
      <c r="W527" s="17">
        <f>IF(B527&lt;='Input sheet(dashboard)'!$D$27*12,J527-I527+V527-N527,0)</f>
        <v>0</v>
      </c>
      <c r="X527" s="3">
        <f>IF(B527&lt;='Input sheet(dashboard)'!$D$27*12,'Input sheet(dashboard)'!$D$17*(1+'Input sheet(dashboard)'!$E$23)^(B527-1),0)</f>
        <v>0</v>
      </c>
      <c r="Y527" s="3"/>
      <c r="Z527" s="18"/>
      <c r="AA527" s="18"/>
      <c r="AB527" s="3">
        <f>IF(B527=1,'Input sheet(dashboard)'!$D$18*Calculations!X527,IF(Calculations!B527=12*'Input sheet(dashboard)'!$D$27,'Input sheet(dashboard)'!$D$18*-Calculations!X527,0))</f>
        <v>0</v>
      </c>
      <c r="AC527" s="3">
        <f>IF(B527&lt;='Input sheet(dashboard)'!$D$27*12,IF(MOD(B526,'Input sheet(dashboard)'!$D$19*12),0,'Input sheet(dashboard)'!$D$20*(1+'Input sheet(dashboard)'!$E$22)^Calculations!B527),0)</f>
        <v>0</v>
      </c>
      <c r="AD527" s="17">
        <f t="shared" si="75"/>
        <v>0</v>
      </c>
      <c r="AE527" s="17">
        <f>IF(B527&lt;='Input sheet(dashboard)'!$D$27*12,IF(D527=12,SUM(AD516:AD527),0),0)</f>
        <v>0</v>
      </c>
      <c r="AF527" s="17">
        <f t="shared" si="76"/>
        <v>0</v>
      </c>
      <c r="AG527" s="17">
        <f t="shared" si="77"/>
        <v>0</v>
      </c>
      <c r="AH527" s="3" t="str">
        <f>IF(B527&lt;='Input sheet(dashboard)'!$D$27*12,AH526*(1+'Input sheet(dashboard)'!$E$25)+AG527," ")</f>
        <v xml:space="preserve"> </v>
      </c>
    </row>
    <row r="528" spans="2:34">
      <c r="B528">
        <f t="shared" si="72"/>
        <v>525</v>
      </c>
      <c r="C528">
        <f t="shared" ref="C528:C591" si="79">C516+1</f>
        <v>44</v>
      </c>
      <c r="D528">
        <f t="shared" ref="D528:D591" si="80">D516</f>
        <v>9</v>
      </c>
      <c r="E528" s="15">
        <f>IF(C528&lt;='Input sheet(dashboard)'!$D$6, -PMT('Input sheet(dashboard)'!$E$5,'Input sheet(dashboard)'!$D$6*12,'Input sheet(dashboard)'!$D$3*'Input sheet(dashboard)'!$D$4),0)</f>
        <v>0</v>
      </c>
      <c r="F528" s="3">
        <f>I527*'Input sheet(dashboard)'!$E$5</f>
        <v>1.3713636094158065E-11</v>
      </c>
      <c r="G528" s="3">
        <f>IF(C528&lt;='Input sheet(dashboard)'!$D$6,E528*'Input sheet(dashboard)'!$D$7,0)</f>
        <v>0</v>
      </c>
      <c r="H528" s="3">
        <f t="shared" si="73"/>
        <v>-1.3713636094158065E-11</v>
      </c>
      <c r="I528" s="3">
        <f t="shared" si="74"/>
        <v>3.77831198668517E-9</v>
      </c>
      <c r="J528" s="3">
        <f>IF(B528&lt;='Input sheet(dashboard)'!$D$27*12,'Input sheet(dashboard)'!$D$3*(1+'Input sheet(dashboard)'!$E$24)^B528,0)</f>
        <v>0</v>
      </c>
      <c r="K528" s="3">
        <f>IF(B528&lt;='Input sheet(dashboard)'!$D$27*12,J528*'Input sheet(dashboard)'!$E$8,0)</f>
        <v>0</v>
      </c>
      <c r="L528" s="3">
        <f>IF(B528&lt;='Input sheet(dashboard)'!$D$27*12,'Input sheet(dashboard)'!$D$9*(1+'Input sheet(dashboard)'!$E$22)^B528,0)</f>
        <v>0</v>
      </c>
      <c r="M528" s="3">
        <f>IF(B528=1,'Input sheet(dashboard)'!$D$3*'Input sheet(dashboard)'!$D$10,0)</f>
        <v>0</v>
      </c>
      <c r="N528" s="3">
        <f>IF(B528='Input sheet(dashboard)'!$D$27*12,J528*'Input sheet(dashboard)'!$D$11,0)</f>
        <v>0</v>
      </c>
      <c r="O528" s="3">
        <f>IF(SUM(F528:F539)&gt;=150000,150000/12*'Input sheet(dashboard)'!$D$28,SUM(F528:F539)/12*'Input sheet(dashboard)'!$D$28)</f>
        <v>2.0987635804545011E-12</v>
      </c>
      <c r="P528" s="3">
        <f t="shared" si="78"/>
        <v>0</v>
      </c>
      <c r="Q528" s="3">
        <f>IF(B528&lt;='Input sheet(dashboard)'!$D$27*12,'Input sheet(dashboard)'!$D$12/12,0)</f>
        <v>0</v>
      </c>
      <c r="R528" s="3">
        <f>IF(B528&lt;='Input sheet(dashboard)'!$D$27*12,('Input sheet(dashboard)'!$D$15/12)*(1+'Input sheet(dashboard)'!$E$22)^Calculations!B528,0)</f>
        <v>0</v>
      </c>
      <c r="S528" s="3">
        <f>IF(B528&lt;='Input sheet(dashboard)'!$D$27*12,(E528+G528+K528+L528-O528+M528+Q528+R528),0)</f>
        <v>0</v>
      </c>
      <c r="T528" s="3">
        <f>IF(B528&lt;='Input sheet(dashboard)'!$D$27*12,IF(D528=12,SUM(S517:S528),0),0)</f>
        <v>0</v>
      </c>
      <c r="U528" s="3">
        <f>IF(B528&lt;='Input sheet(dashboard)'!$D$27*12,IF(S528&lt;AD528,AD528-S528,0),0)</f>
        <v>0</v>
      </c>
      <c r="V528" s="3">
        <f>IF(B528&lt;='Input sheet(dashboard)'!$D$27*12,V527*(1+'Input sheet(dashboard)'!$E$25)+U528,0)</f>
        <v>0</v>
      </c>
      <c r="W528" s="17">
        <f>IF(B528&lt;='Input sheet(dashboard)'!$D$27*12,J528-I528+V528-N528,0)</f>
        <v>0</v>
      </c>
      <c r="X528" s="3">
        <f>IF(B528&lt;='Input sheet(dashboard)'!$D$27*12,'Input sheet(dashboard)'!$D$17*(1+'Input sheet(dashboard)'!$E$23)^(B528-1),0)</f>
        <v>0</v>
      </c>
      <c r="Y528" s="3"/>
      <c r="Z528" s="18"/>
      <c r="AA528" s="18"/>
      <c r="AB528" s="3">
        <f>IF(B528=1,'Input sheet(dashboard)'!$D$18*Calculations!X528,IF(Calculations!B528=12*'Input sheet(dashboard)'!$D$27,'Input sheet(dashboard)'!$D$18*-Calculations!X528,0))</f>
        <v>0</v>
      </c>
      <c r="AC528" s="3">
        <f>IF(B528&lt;='Input sheet(dashboard)'!$D$27*12,IF(MOD(B527,'Input sheet(dashboard)'!$D$19*12),0,'Input sheet(dashboard)'!$D$20*(1+'Input sheet(dashboard)'!$E$22)^Calculations!B528),0)</f>
        <v>0</v>
      </c>
      <c r="AD528" s="17">
        <f t="shared" si="75"/>
        <v>0</v>
      </c>
      <c r="AE528" s="17">
        <f>IF(B528&lt;='Input sheet(dashboard)'!$D$27*12,IF(D528=12,SUM(AD517:AD528),0),0)</f>
        <v>0</v>
      </c>
      <c r="AF528" s="17">
        <f t="shared" si="76"/>
        <v>0</v>
      </c>
      <c r="AG528" s="17">
        <f t="shared" si="77"/>
        <v>0</v>
      </c>
      <c r="AH528" s="3" t="str">
        <f>IF(B528&lt;='Input sheet(dashboard)'!$D$27*12,AH527*(1+'Input sheet(dashboard)'!$E$25)+AG528," ")</f>
        <v xml:space="preserve"> </v>
      </c>
    </row>
    <row r="529" spans="2:34">
      <c r="B529">
        <f t="shared" si="72"/>
        <v>526</v>
      </c>
      <c r="C529">
        <f t="shared" si="79"/>
        <v>44</v>
      </c>
      <c r="D529">
        <f t="shared" si="80"/>
        <v>10</v>
      </c>
      <c r="E529" s="15">
        <f>IF(C529&lt;='Input sheet(dashboard)'!$D$6, -PMT('Input sheet(dashboard)'!$E$5,'Input sheet(dashboard)'!$D$6*12,'Input sheet(dashboard)'!$D$3*'Input sheet(dashboard)'!$D$4),0)</f>
        <v>0</v>
      </c>
      <c r="F529" s="3">
        <f>I528*'Input sheet(dashboard)'!$E$5</f>
        <v>1.376359197189293E-11</v>
      </c>
      <c r="G529" s="3">
        <f>IF(C529&lt;='Input sheet(dashboard)'!$D$6,E529*'Input sheet(dashboard)'!$D$7,0)</f>
        <v>0</v>
      </c>
      <c r="H529" s="3">
        <f t="shared" si="73"/>
        <v>-1.376359197189293E-11</v>
      </c>
      <c r="I529" s="3">
        <f t="shared" si="74"/>
        <v>3.7920755786570629E-9</v>
      </c>
      <c r="J529" s="3">
        <f>IF(B529&lt;='Input sheet(dashboard)'!$D$27*12,'Input sheet(dashboard)'!$D$3*(1+'Input sheet(dashboard)'!$E$24)^B529,0)</f>
        <v>0</v>
      </c>
      <c r="K529" s="3">
        <f>IF(B529&lt;='Input sheet(dashboard)'!$D$27*12,J529*'Input sheet(dashboard)'!$E$8,0)</f>
        <v>0</v>
      </c>
      <c r="L529" s="3">
        <f>IF(B529&lt;='Input sheet(dashboard)'!$D$27*12,'Input sheet(dashboard)'!$D$9*(1+'Input sheet(dashboard)'!$E$22)^B529,0)</f>
        <v>0</v>
      </c>
      <c r="M529" s="3">
        <f>IF(B529=1,'Input sheet(dashboard)'!$D$3*'Input sheet(dashboard)'!$D$10,0)</f>
        <v>0</v>
      </c>
      <c r="N529" s="3">
        <f>IF(B529='Input sheet(dashboard)'!$D$27*12,J529*'Input sheet(dashboard)'!$D$11,0)</f>
        <v>0</v>
      </c>
      <c r="O529" s="3">
        <f>IF(SUM(F529:F540)&gt;=150000,150000/12*'Input sheet(dashboard)'!$D$28,SUM(F529:F540)/12*'Input sheet(dashboard)'!$D$28)</f>
        <v>2.1064089325769941E-12</v>
      </c>
      <c r="P529" s="3">
        <f t="shared" si="78"/>
        <v>0</v>
      </c>
      <c r="Q529" s="3">
        <f>IF(B529&lt;='Input sheet(dashboard)'!$D$27*12,'Input sheet(dashboard)'!$D$12/12,0)</f>
        <v>0</v>
      </c>
      <c r="R529" s="3">
        <f>IF(B529&lt;='Input sheet(dashboard)'!$D$27*12,('Input sheet(dashboard)'!$D$15/12)*(1+'Input sheet(dashboard)'!$E$22)^Calculations!B529,0)</f>
        <v>0</v>
      </c>
      <c r="S529" s="3">
        <f>IF(B529&lt;='Input sheet(dashboard)'!$D$27*12,(E529+G529+K529+L529-O529+M529+Q529+R529),0)</f>
        <v>0</v>
      </c>
      <c r="T529" s="3">
        <f>IF(B529&lt;='Input sheet(dashboard)'!$D$27*12,IF(D529=12,SUM(S518:S529),0),0)</f>
        <v>0</v>
      </c>
      <c r="U529" s="3">
        <f>IF(B529&lt;='Input sheet(dashboard)'!$D$27*12,IF(S529&lt;AD529,AD529-S529,0),0)</f>
        <v>0</v>
      </c>
      <c r="V529" s="3">
        <f>IF(B529&lt;='Input sheet(dashboard)'!$D$27*12,V528*(1+'Input sheet(dashboard)'!$E$25)+U529,0)</f>
        <v>0</v>
      </c>
      <c r="W529" s="17">
        <f>IF(B529&lt;='Input sheet(dashboard)'!$D$27*12,J529-I529+V529-N529,0)</f>
        <v>0</v>
      </c>
      <c r="X529" s="3">
        <f>IF(B529&lt;='Input sheet(dashboard)'!$D$27*12,'Input sheet(dashboard)'!$D$17*(1+'Input sheet(dashboard)'!$E$23)^(B529-1),0)</f>
        <v>0</v>
      </c>
      <c r="Y529" s="3"/>
      <c r="Z529" s="18"/>
      <c r="AA529" s="18"/>
      <c r="AB529" s="3">
        <f>IF(B529=1,'Input sheet(dashboard)'!$D$18*Calculations!X529,IF(Calculations!B529=12*'Input sheet(dashboard)'!$D$27,'Input sheet(dashboard)'!$D$18*-Calculations!X529,0))</f>
        <v>0</v>
      </c>
      <c r="AC529" s="3">
        <f>IF(B529&lt;='Input sheet(dashboard)'!$D$27*12,IF(MOD(B528,'Input sheet(dashboard)'!$D$19*12),0,'Input sheet(dashboard)'!$D$20*(1+'Input sheet(dashboard)'!$E$22)^Calculations!B529),0)</f>
        <v>0</v>
      </c>
      <c r="AD529" s="17">
        <f t="shared" si="75"/>
        <v>0</v>
      </c>
      <c r="AE529" s="17">
        <f>IF(B529&lt;='Input sheet(dashboard)'!$D$27*12,IF(D529=12,SUM(AD518:AD529),0),0)</f>
        <v>0</v>
      </c>
      <c r="AF529" s="17">
        <f t="shared" si="76"/>
        <v>0</v>
      </c>
      <c r="AG529" s="17">
        <f t="shared" si="77"/>
        <v>0</v>
      </c>
      <c r="AH529" s="3" t="str">
        <f>IF(B529&lt;='Input sheet(dashboard)'!$D$27*12,AH528*(1+'Input sheet(dashboard)'!$E$25)+AG529," ")</f>
        <v xml:space="preserve"> </v>
      </c>
    </row>
    <row r="530" spans="2:34">
      <c r="B530">
        <f t="shared" si="72"/>
        <v>527</v>
      </c>
      <c r="C530">
        <f t="shared" si="79"/>
        <v>44</v>
      </c>
      <c r="D530">
        <f t="shared" si="80"/>
        <v>11</v>
      </c>
      <c r="E530" s="15">
        <f>IF(C530&lt;='Input sheet(dashboard)'!$D$6, -PMT('Input sheet(dashboard)'!$E$5,'Input sheet(dashboard)'!$D$6*12,'Input sheet(dashboard)'!$D$3*'Input sheet(dashboard)'!$D$4),0)</f>
        <v>0</v>
      </c>
      <c r="F530" s="3">
        <f>I529*'Input sheet(dashboard)'!$E$5</f>
        <v>1.3813729828331553E-11</v>
      </c>
      <c r="G530" s="3">
        <f>IF(C530&lt;='Input sheet(dashboard)'!$D$6,E530*'Input sheet(dashboard)'!$D$7,0)</f>
        <v>0</v>
      </c>
      <c r="H530" s="3">
        <f t="shared" si="73"/>
        <v>-1.3813729828331553E-11</v>
      </c>
      <c r="I530" s="3">
        <f t="shared" si="74"/>
        <v>3.8058893084853947E-9</v>
      </c>
      <c r="J530" s="3">
        <f>IF(B530&lt;='Input sheet(dashboard)'!$D$27*12,'Input sheet(dashboard)'!$D$3*(1+'Input sheet(dashboard)'!$E$24)^B530,0)</f>
        <v>0</v>
      </c>
      <c r="K530" s="3">
        <f>IF(B530&lt;='Input sheet(dashboard)'!$D$27*12,J530*'Input sheet(dashboard)'!$E$8,0)</f>
        <v>0</v>
      </c>
      <c r="L530" s="3">
        <f>IF(B530&lt;='Input sheet(dashboard)'!$D$27*12,'Input sheet(dashboard)'!$D$9*(1+'Input sheet(dashboard)'!$E$22)^B530,0)</f>
        <v>0</v>
      </c>
      <c r="M530" s="3">
        <f>IF(B530=1,'Input sheet(dashboard)'!$D$3*'Input sheet(dashboard)'!$D$10,0)</f>
        <v>0</v>
      </c>
      <c r="N530" s="3">
        <f>IF(B530='Input sheet(dashboard)'!$D$27*12,J530*'Input sheet(dashboard)'!$D$11,0)</f>
        <v>0</v>
      </c>
      <c r="O530" s="3">
        <f>IF(SUM(F530:F541)&gt;=150000,150000/12*'Input sheet(dashboard)'!$D$28,SUM(F530:F541)/12*'Input sheet(dashboard)'!$D$28)</f>
        <v>2.1140821351013243E-12</v>
      </c>
      <c r="P530" s="3">
        <f t="shared" si="78"/>
        <v>0</v>
      </c>
      <c r="Q530" s="3">
        <f>IF(B530&lt;='Input sheet(dashboard)'!$D$27*12,'Input sheet(dashboard)'!$D$12/12,0)</f>
        <v>0</v>
      </c>
      <c r="R530" s="3">
        <f>IF(B530&lt;='Input sheet(dashboard)'!$D$27*12,('Input sheet(dashboard)'!$D$15/12)*(1+'Input sheet(dashboard)'!$E$22)^Calculations!B530,0)</f>
        <v>0</v>
      </c>
      <c r="S530" s="3">
        <f>IF(B530&lt;='Input sheet(dashboard)'!$D$27*12,(E530+G530+K530+L530-O530+M530+Q530+R530),0)</f>
        <v>0</v>
      </c>
      <c r="T530" s="3">
        <f>IF(B530&lt;='Input sheet(dashboard)'!$D$27*12,IF(D530=12,SUM(S519:S530),0),0)</f>
        <v>0</v>
      </c>
      <c r="U530" s="3">
        <f>IF(B530&lt;='Input sheet(dashboard)'!$D$27*12,IF(S530&lt;AD530,AD530-S530,0),0)</f>
        <v>0</v>
      </c>
      <c r="V530" s="3">
        <f>IF(B530&lt;='Input sheet(dashboard)'!$D$27*12,V529*(1+'Input sheet(dashboard)'!$E$25)+U530,0)</f>
        <v>0</v>
      </c>
      <c r="W530" s="17">
        <f>IF(B530&lt;='Input sheet(dashboard)'!$D$27*12,J530-I530+V530-N530,0)</f>
        <v>0</v>
      </c>
      <c r="X530" s="3">
        <f>IF(B530&lt;='Input sheet(dashboard)'!$D$27*12,'Input sheet(dashboard)'!$D$17*(1+'Input sheet(dashboard)'!$E$23)^(B530-1),0)</f>
        <v>0</v>
      </c>
      <c r="Y530" s="3"/>
      <c r="Z530" s="18"/>
      <c r="AA530" s="18"/>
      <c r="AB530" s="3">
        <f>IF(B530=1,'Input sheet(dashboard)'!$D$18*Calculations!X530,IF(Calculations!B530=12*'Input sheet(dashboard)'!$D$27,'Input sheet(dashboard)'!$D$18*-Calculations!X530,0))</f>
        <v>0</v>
      </c>
      <c r="AC530" s="3">
        <f>IF(B530&lt;='Input sheet(dashboard)'!$D$27*12,IF(MOD(B529,'Input sheet(dashboard)'!$D$19*12),0,'Input sheet(dashboard)'!$D$20*(1+'Input sheet(dashboard)'!$E$22)^Calculations!B530),0)</f>
        <v>0</v>
      </c>
      <c r="AD530" s="17">
        <f t="shared" si="75"/>
        <v>0</v>
      </c>
      <c r="AE530" s="17">
        <f>IF(B530&lt;='Input sheet(dashboard)'!$D$27*12,IF(D530=12,SUM(AD519:AD530),0),0)</f>
        <v>0</v>
      </c>
      <c r="AF530" s="17">
        <f t="shared" si="76"/>
        <v>0</v>
      </c>
      <c r="AG530" s="17">
        <f t="shared" si="77"/>
        <v>0</v>
      </c>
      <c r="AH530" s="3" t="str">
        <f>IF(B530&lt;='Input sheet(dashboard)'!$D$27*12,AH529*(1+'Input sheet(dashboard)'!$E$25)+AG530," ")</f>
        <v xml:space="preserve"> </v>
      </c>
    </row>
    <row r="531" spans="2:34">
      <c r="B531">
        <f t="shared" si="72"/>
        <v>528</v>
      </c>
      <c r="C531">
        <f t="shared" si="79"/>
        <v>44</v>
      </c>
      <c r="D531">
        <f t="shared" si="80"/>
        <v>12</v>
      </c>
      <c r="E531" s="15">
        <f>IF(C531&lt;='Input sheet(dashboard)'!$D$6, -PMT('Input sheet(dashboard)'!$E$5,'Input sheet(dashboard)'!$D$6*12,'Input sheet(dashboard)'!$D$3*'Input sheet(dashboard)'!$D$4),0)</f>
        <v>0</v>
      </c>
      <c r="F531" s="3">
        <f>I530*'Input sheet(dashboard)'!$E$5</f>
        <v>1.3864050326383893E-11</v>
      </c>
      <c r="G531" s="3">
        <f>IF(C531&lt;='Input sheet(dashboard)'!$D$6,E531*'Input sheet(dashboard)'!$D$7,0)</f>
        <v>0</v>
      </c>
      <c r="H531" s="3">
        <f t="shared" si="73"/>
        <v>-1.3864050326383893E-11</v>
      </c>
      <c r="I531" s="3">
        <f t="shared" si="74"/>
        <v>3.8197533588117785E-9</v>
      </c>
      <c r="J531" s="3">
        <f>IF(B531&lt;='Input sheet(dashboard)'!$D$27*12,'Input sheet(dashboard)'!$D$3*(1+'Input sheet(dashboard)'!$E$24)^B531,0)</f>
        <v>0</v>
      </c>
      <c r="K531" s="3">
        <f>IF(B531&lt;='Input sheet(dashboard)'!$D$27*12,J531*'Input sheet(dashboard)'!$E$8,0)</f>
        <v>0</v>
      </c>
      <c r="L531" s="3">
        <f>IF(B531&lt;='Input sheet(dashboard)'!$D$27*12,'Input sheet(dashboard)'!$D$9*(1+'Input sheet(dashboard)'!$E$22)^B531,0)</f>
        <v>0</v>
      </c>
      <c r="M531" s="3">
        <f>IF(B531=1,'Input sheet(dashboard)'!$D$3*'Input sheet(dashboard)'!$D$10,0)</f>
        <v>0</v>
      </c>
      <c r="N531" s="3">
        <f>IF(B531='Input sheet(dashboard)'!$D$27*12,J531*'Input sheet(dashboard)'!$D$11,0)</f>
        <v>0</v>
      </c>
      <c r="O531" s="3">
        <f>IF(SUM(F531:F542)&gt;=150000,150000/12*'Input sheet(dashboard)'!$D$28,SUM(F531:F542)/12*'Input sheet(dashboard)'!$D$28)</f>
        <v>2.1217832894806195E-12</v>
      </c>
      <c r="P531" s="3">
        <f t="shared" si="78"/>
        <v>2.6550279013302745E-11</v>
      </c>
      <c r="Q531" s="3">
        <f>IF(B531&lt;='Input sheet(dashboard)'!$D$27*12,'Input sheet(dashboard)'!$D$12/12,0)</f>
        <v>0</v>
      </c>
      <c r="R531" s="3">
        <f>IF(B531&lt;='Input sheet(dashboard)'!$D$27*12,('Input sheet(dashboard)'!$D$15/12)*(1+'Input sheet(dashboard)'!$E$22)^Calculations!B531,0)</f>
        <v>0</v>
      </c>
      <c r="S531" s="3">
        <f>IF(B531&lt;='Input sheet(dashboard)'!$D$27*12,(E531+G531+K531+L531-O531+M531+Q531+R531),0)</f>
        <v>0</v>
      </c>
      <c r="T531" s="3">
        <f>IF(B531&lt;='Input sheet(dashboard)'!$D$27*12,IF(D531=12,SUM(S520:S531),0),0)</f>
        <v>0</v>
      </c>
      <c r="U531" s="3">
        <f>IF(B531&lt;='Input sheet(dashboard)'!$D$27*12,IF(S531&lt;AD531,AD531-S531,0),0)</f>
        <v>0</v>
      </c>
      <c r="V531" s="3">
        <f>IF(B531&lt;='Input sheet(dashboard)'!$D$27*12,V530*(1+'Input sheet(dashboard)'!$E$25)+U531,0)</f>
        <v>0</v>
      </c>
      <c r="W531" s="17">
        <f>IF(B531&lt;='Input sheet(dashboard)'!$D$27*12,J531-I531+V531-N531,0)</f>
        <v>0</v>
      </c>
      <c r="X531" s="3">
        <f>IF(B531&lt;='Input sheet(dashboard)'!$D$27*12,'Input sheet(dashboard)'!$D$17*(1+'Input sheet(dashboard)'!$E$23)^(B531-1),0)</f>
        <v>0</v>
      </c>
      <c r="Y531" s="3"/>
      <c r="Z531" s="18"/>
      <c r="AA531" s="18"/>
      <c r="AB531" s="3">
        <f>IF(B531=1,'Input sheet(dashboard)'!$D$18*Calculations!X531,IF(Calculations!B531=12*'Input sheet(dashboard)'!$D$27,'Input sheet(dashboard)'!$D$18*-Calculations!X531,0))</f>
        <v>0</v>
      </c>
      <c r="AC531" s="3">
        <f>IF(B531&lt;='Input sheet(dashboard)'!$D$27*12,IF(MOD(B530,'Input sheet(dashboard)'!$D$19*12),0,'Input sheet(dashboard)'!$D$20*(1+'Input sheet(dashboard)'!$E$22)^Calculations!B531),0)</f>
        <v>0</v>
      </c>
      <c r="AD531" s="17">
        <f t="shared" si="75"/>
        <v>0</v>
      </c>
      <c r="AE531" s="17">
        <f>IF(B531&lt;='Input sheet(dashboard)'!$D$27*12,IF(D531=12,SUM(AD520:AD531),0),0)</f>
        <v>0</v>
      </c>
      <c r="AF531" s="17">
        <f t="shared" si="76"/>
        <v>0</v>
      </c>
      <c r="AG531" s="17">
        <f t="shared" si="77"/>
        <v>0</v>
      </c>
      <c r="AH531" s="3" t="str">
        <f>IF(B531&lt;='Input sheet(dashboard)'!$D$27*12,AH530*(1+'Input sheet(dashboard)'!$E$25)+AG531," ")</f>
        <v xml:space="preserve"> </v>
      </c>
    </row>
    <row r="532" spans="2:34">
      <c r="B532">
        <f t="shared" si="72"/>
        <v>529</v>
      </c>
      <c r="C532">
        <f t="shared" si="79"/>
        <v>45</v>
      </c>
      <c r="D532">
        <f t="shared" si="80"/>
        <v>1</v>
      </c>
      <c r="E532" s="15">
        <f>IF(C532&lt;='Input sheet(dashboard)'!$D$6, -PMT('Input sheet(dashboard)'!$E$5,'Input sheet(dashboard)'!$D$6*12,'Input sheet(dashboard)'!$D$3*'Input sheet(dashboard)'!$D$4),0)</f>
        <v>0</v>
      </c>
      <c r="F532" s="3">
        <f>I531*'Input sheet(dashboard)'!$E$5</f>
        <v>1.3914554131374743E-11</v>
      </c>
      <c r="G532" s="3">
        <f>IF(C532&lt;='Input sheet(dashboard)'!$D$6,E532*'Input sheet(dashboard)'!$D$7,0)</f>
        <v>0</v>
      </c>
      <c r="H532" s="3">
        <f t="shared" si="73"/>
        <v>-1.3914554131374743E-11</v>
      </c>
      <c r="I532" s="3">
        <f t="shared" si="74"/>
        <v>3.8336679129431529E-9</v>
      </c>
      <c r="J532" s="3">
        <f>IF(B532&lt;='Input sheet(dashboard)'!$D$27*12,'Input sheet(dashboard)'!$D$3*(1+'Input sheet(dashboard)'!$E$24)^B532,0)</f>
        <v>0</v>
      </c>
      <c r="K532" s="3">
        <f>IF(B532&lt;='Input sheet(dashboard)'!$D$27*12,J532*'Input sheet(dashboard)'!$E$8,0)</f>
        <v>0</v>
      </c>
      <c r="L532" s="3">
        <f>IF(B532&lt;='Input sheet(dashboard)'!$D$27*12,'Input sheet(dashboard)'!$D$9*(1+'Input sheet(dashboard)'!$E$22)^B532,0)</f>
        <v>0</v>
      </c>
      <c r="M532" s="3">
        <f>IF(B532=1,'Input sheet(dashboard)'!$D$3*'Input sheet(dashboard)'!$D$10,0)</f>
        <v>0</v>
      </c>
      <c r="N532" s="3">
        <f>IF(B532='Input sheet(dashboard)'!$D$27*12,J532*'Input sheet(dashboard)'!$D$11,0)</f>
        <v>0</v>
      </c>
      <c r="O532" s="3">
        <f>IF(SUM(F532:F543)&gt;=150000,150000/12*'Input sheet(dashboard)'!$D$28,SUM(F532:F543)/12*'Input sheet(dashboard)'!$D$28)</f>
        <v>2.1295124975375783E-12</v>
      </c>
      <c r="P532" s="3">
        <f t="shared" si="78"/>
        <v>0</v>
      </c>
      <c r="Q532" s="3">
        <f>IF(B532&lt;='Input sheet(dashboard)'!$D$27*12,'Input sheet(dashboard)'!$D$12/12,0)</f>
        <v>0</v>
      </c>
      <c r="R532" s="3">
        <f>IF(B532&lt;='Input sheet(dashboard)'!$D$27*12,('Input sheet(dashboard)'!$D$15/12)*(1+'Input sheet(dashboard)'!$E$22)^Calculations!B532,0)</f>
        <v>0</v>
      </c>
      <c r="S532" s="3">
        <f>IF(B532&lt;='Input sheet(dashboard)'!$D$27*12,(E532+G532+K532+L532-O532+M532+Q532+R532),0)</f>
        <v>0</v>
      </c>
      <c r="T532" s="3">
        <f>IF(B532&lt;='Input sheet(dashboard)'!$D$27*12,IF(D532=12,SUM(S521:S532),0),0)</f>
        <v>0</v>
      </c>
      <c r="U532" s="3">
        <f>IF(B532&lt;='Input sheet(dashboard)'!$D$27*12,IF(S532&lt;AD532,AD532-S532,0),0)</f>
        <v>0</v>
      </c>
      <c r="V532" s="3">
        <f>IF(B532&lt;='Input sheet(dashboard)'!$D$27*12,V531*(1+'Input sheet(dashboard)'!$E$25)+U532,0)</f>
        <v>0</v>
      </c>
      <c r="W532" s="17">
        <f>IF(B532&lt;='Input sheet(dashboard)'!$D$27*12,J532-I532+V532-N532,0)</f>
        <v>0</v>
      </c>
      <c r="X532" s="3">
        <f>IF(B532&lt;='Input sheet(dashboard)'!$D$27*12,'Input sheet(dashboard)'!$D$17*(1+'Input sheet(dashboard)'!$E$23)^(B532-1),0)</f>
        <v>0</v>
      </c>
      <c r="Y532" s="3"/>
      <c r="Z532" s="18"/>
      <c r="AA532" s="18"/>
      <c r="AB532" s="3">
        <f>IF(B532=1,'Input sheet(dashboard)'!$D$18*Calculations!X532,IF(Calculations!B532=12*'Input sheet(dashboard)'!$D$27,'Input sheet(dashboard)'!$D$18*-Calculations!X532,0))</f>
        <v>0</v>
      </c>
      <c r="AC532" s="3">
        <f>IF(B532&lt;='Input sheet(dashboard)'!$D$27*12,IF(MOD(B531,'Input sheet(dashboard)'!$D$19*12),0,'Input sheet(dashboard)'!$D$20*(1+'Input sheet(dashboard)'!$E$22)^Calculations!B532),0)</f>
        <v>0</v>
      </c>
      <c r="AD532" s="17">
        <f t="shared" si="75"/>
        <v>0</v>
      </c>
      <c r="AE532" s="17">
        <f>IF(B532&lt;='Input sheet(dashboard)'!$D$27*12,IF(D532=12,SUM(AD521:AD532),0),0)</f>
        <v>0</v>
      </c>
      <c r="AF532" s="17">
        <f t="shared" si="76"/>
        <v>0</v>
      </c>
      <c r="AG532" s="17">
        <f t="shared" si="77"/>
        <v>0</v>
      </c>
      <c r="AH532" s="3" t="str">
        <f>IF(B532&lt;='Input sheet(dashboard)'!$D$27*12,AH531*(1+'Input sheet(dashboard)'!$E$25)+AG532," ")</f>
        <v xml:space="preserve"> </v>
      </c>
    </row>
    <row r="533" spans="2:34">
      <c r="B533">
        <f t="shared" si="72"/>
        <v>530</v>
      </c>
      <c r="C533">
        <f t="shared" si="79"/>
        <v>45</v>
      </c>
      <c r="D533">
        <f t="shared" si="80"/>
        <v>2</v>
      </c>
      <c r="E533" s="15">
        <f>IF(C533&lt;='Input sheet(dashboard)'!$D$6, -PMT('Input sheet(dashboard)'!$E$5,'Input sheet(dashboard)'!$D$6*12,'Input sheet(dashboard)'!$D$3*'Input sheet(dashboard)'!$D$4),0)</f>
        <v>0</v>
      </c>
      <c r="F533" s="3">
        <f>I532*'Input sheet(dashboard)'!$E$5</f>
        <v>1.3965241911052535E-11</v>
      </c>
      <c r="G533" s="3">
        <f>IF(C533&lt;='Input sheet(dashboard)'!$D$6,E533*'Input sheet(dashboard)'!$D$7,0)</f>
        <v>0</v>
      </c>
      <c r="H533" s="3">
        <f t="shared" si="73"/>
        <v>-1.3965241911052535E-11</v>
      </c>
      <c r="I533" s="3">
        <f t="shared" si="74"/>
        <v>3.8476331548542057E-9</v>
      </c>
      <c r="J533" s="3">
        <f>IF(B533&lt;='Input sheet(dashboard)'!$D$27*12,'Input sheet(dashboard)'!$D$3*(1+'Input sheet(dashboard)'!$E$24)^B533,0)</f>
        <v>0</v>
      </c>
      <c r="K533" s="3">
        <f>IF(B533&lt;='Input sheet(dashboard)'!$D$27*12,J533*'Input sheet(dashboard)'!$E$8,0)</f>
        <v>0</v>
      </c>
      <c r="L533" s="3">
        <f>IF(B533&lt;='Input sheet(dashboard)'!$D$27*12,'Input sheet(dashboard)'!$D$9*(1+'Input sheet(dashboard)'!$E$22)^B533,0)</f>
        <v>0</v>
      </c>
      <c r="M533" s="3">
        <f>IF(B533=1,'Input sheet(dashboard)'!$D$3*'Input sheet(dashboard)'!$D$10,0)</f>
        <v>0</v>
      </c>
      <c r="N533" s="3">
        <f>IF(B533='Input sheet(dashboard)'!$D$27*12,J533*'Input sheet(dashboard)'!$D$11,0)</f>
        <v>0</v>
      </c>
      <c r="O533" s="3">
        <f>IF(SUM(F533:F544)&gt;=150000,150000/12*'Input sheet(dashboard)'!$D$28,SUM(F533:F544)/12*'Input sheet(dashboard)'!$D$28)</f>
        <v>2.13726986146582E-12</v>
      </c>
      <c r="P533" s="3">
        <f t="shared" si="78"/>
        <v>0</v>
      </c>
      <c r="Q533" s="3">
        <f>IF(B533&lt;='Input sheet(dashboard)'!$D$27*12,'Input sheet(dashboard)'!$D$12/12,0)</f>
        <v>0</v>
      </c>
      <c r="R533" s="3">
        <f>IF(B533&lt;='Input sheet(dashboard)'!$D$27*12,('Input sheet(dashboard)'!$D$15/12)*(1+'Input sheet(dashboard)'!$E$22)^Calculations!B533,0)</f>
        <v>0</v>
      </c>
      <c r="S533" s="3">
        <f>IF(B533&lt;='Input sheet(dashboard)'!$D$27*12,(E533+G533+K533+L533-O533+M533+Q533+R533),0)</f>
        <v>0</v>
      </c>
      <c r="T533" s="3">
        <f>IF(B533&lt;='Input sheet(dashboard)'!$D$27*12,IF(D533=12,SUM(S522:S533),0),0)</f>
        <v>0</v>
      </c>
      <c r="U533" s="3">
        <f>IF(B533&lt;='Input sheet(dashboard)'!$D$27*12,IF(S533&lt;AD533,AD533-S533,0),0)</f>
        <v>0</v>
      </c>
      <c r="V533" s="3">
        <f>IF(B533&lt;='Input sheet(dashboard)'!$D$27*12,V532*(1+'Input sheet(dashboard)'!$E$25)+U533,0)</f>
        <v>0</v>
      </c>
      <c r="W533" s="17">
        <f>IF(B533&lt;='Input sheet(dashboard)'!$D$27*12,J533-I533+V533-N533,0)</f>
        <v>0</v>
      </c>
      <c r="X533" s="3">
        <f>IF(B533&lt;='Input sheet(dashboard)'!$D$27*12,'Input sheet(dashboard)'!$D$17*(1+'Input sheet(dashboard)'!$E$23)^(B533-1),0)</f>
        <v>0</v>
      </c>
      <c r="Y533" s="3"/>
      <c r="Z533" s="18"/>
      <c r="AA533" s="18"/>
      <c r="AB533" s="3">
        <f>IF(B533=1,'Input sheet(dashboard)'!$D$18*Calculations!X533,IF(Calculations!B533=12*'Input sheet(dashboard)'!$D$27,'Input sheet(dashboard)'!$D$18*-Calculations!X533,0))</f>
        <v>0</v>
      </c>
      <c r="AC533" s="3">
        <f>IF(B533&lt;='Input sheet(dashboard)'!$D$27*12,IF(MOD(B532,'Input sheet(dashboard)'!$D$19*12),0,'Input sheet(dashboard)'!$D$20*(1+'Input sheet(dashboard)'!$E$22)^Calculations!B533),0)</f>
        <v>0</v>
      </c>
      <c r="AD533" s="17">
        <f t="shared" si="75"/>
        <v>0</v>
      </c>
      <c r="AE533" s="17">
        <f>IF(B533&lt;='Input sheet(dashboard)'!$D$27*12,IF(D533=12,SUM(AD522:AD533),0),0)</f>
        <v>0</v>
      </c>
      <c r="AF533" s="17">
        <f t="shared" si="76"/>
        <v>0</v>
      </c>
      <c r="AG533" s="17">
        <f t="shared" si="77"/>
        <v>0</v>
      </c>
      <c r="AH533" s="3" t="str">
        <f>IF(B533&lt;='Input sheet(dashboard)'!$D$27*12,AH532*(1+'Input sheet(dashboard)'!$E$25)+AG533," ")</f>
        <v xml:space="preserve"> </v>
      </c>
    </row>
    <row r="534" spans="2:34">
      <c r="B534">
        <f t="shared" si="72"/>
        <v>531</v>
      </c>
      <c r="C534">
        <f t="shared" si="79"/>
        <v>45</v>
      </c>
      <c r="D534">
        <f t="shared" si="80"/>
        <v>3</v>
      </c>
      <c r="E534" s="15">
        <f>IF(C534&lt;='Input sheet(dashboard)'!$D$6, -PMT('Input sheet(dashboard)'!$E$5,'Input sheet(dashboard)'!$D$6*12,'Input sheet(dashboard)'!$D$3*'Input sheet(dashboard)'!$D$4),0)</f>
        <v>0</v>
      </c>
      <c r="F534" s="3">
        <f>I533*'Input sheet(dashboard)'!$E$5</f>
        <v>1.4016114335598168E-11</v>
      </c>
      <c r="G534" s="3">
        <f>IF(C534&lt;='Input sheet(dashboard)'!$D$6,E534*'Input sheet(dashboard)'!$D$7,0)</f>
        <v>0</v>
      </c>
      <c r="H534" s="3">
        <f t="shared" si="73"/>
        <v>-1.4016114335598168E-11</v>
      </c>
      <c r="I534" s="3">
        <f t="shared" si="74"/>
        <v>3.8616492691898035E-9</v>
      </c>
      <c r="J534" s="3">
        <f>IF(B534&lt;='Input sheet(dashboard)'!$D$27*12,'Input sheet(dashboard)'!$D$3*(1+'Input sheet(dashboard)'!$E$24)^B534,0)</f>
        <v>0</v>
      </c>
      <c r="K534" s="3">
        <f>IF(B534&lt;='Input sheet(dashboard)'!$D$27*12,J534*'Input sheet(dashboard)'!$E$8,0)</f>
        <v>0</v>
      </c>
      <c r="L534" s="3">
        <f>IF(B534&lt;='Input sheet(dashboard)'!$D$27*12,'Input sheet(dashboard)'!$D$9*(1+'Input sheet(dashboard)'!$E$22)^B534,0)</f>
        <v>0</v>
      </c>
      <c r="M534" s="3">
        <f>IF(B534=1,'Input sheet(dashboard)'!$D$3*'Input sheet(dashboard)'!$D$10,0)</f>
        <v>0</v>
      </c>
      <c r="N534" s="3">
        <f>IF(B534='Input sheet(dashboard)'!$D$27*12,J534*'Input sheet(dashboard)'!$D$11,0)</f>
        <v>0</v>
      </c>
      <c r="O534" s="3">
        <f>IF(SUM(F534:F545)&gt;=150000,150000/12*'Input sheet(dashboard)'!$D$28,SUM(F534:F545)/12*'Input sheet(dashboard)'!$D$28)</f>
        <v>2.1450554838312318E-12</v>
      </c>
      <c r="P534" s="3">
        <f t="shared" si="78"/>
        <v>0</v>
      </c>
      <c r="Q534" s="3">
        <f>IF(B534&lt;='Input sheet(dashboard)'!$D$27*12,'Input sheet(dashboard)'!$D$12/12,0)</f>
        <v>0</v>
      </c>
      <c r="R534" s="3">
        <f>IF(B534&lt;='Input sheet(dashboard)'!$D$27*12,('Input sheet(dashboard)'!$D$15/12)*(1+'Input sheet(dashboard)'!$E$22)^Calculations!B534,0)</f>
        <v>0</v>
      </c>
      <c r="S534" s="3">
        <f>IF(B534&lt;='Input sheet(dashboard)'!$D$27*12,(E534+G534+K534+L534-O534+M534+Q534+R534),0)</f>
        <v>0</v>
      </c>
      <c r="T534" s="3">
        <f>IF(B534&lt;='Input sheet(dashboard)'!$D$27*12,IF(D534=12,SUM(S523:S534),0),0)</f>
        <v>0</v>
      </c>
      <c r="U534" s="3">
        <f>IF(B534&lt;='Input sheet(dashboard)'!$D$27*12,IF(S534&lt;AD534,AD534-S534,0),0)</f>
        <v>0</v>
      </c>
      <c r="V534" s="3">
        <f>IF(B534&lt;='Input sheet(dashboard)'!$D$27*12,V533*(1+'Input sheet(dashboard)'!$E$25)+U534,0)</f>
        <v>0</v>
      </c>
      <c r="W534" s="17">
        <f>IF(B534&lt;='Input sheet(dashboard)'!$D$27*12,J534-I534+V534-N534,0)</f>
        <v>0</v>
      </c>
      <c r="X534" s="3">
        <f>IF(B534&lt;='Input sheet(dashboard)'!$D$27*12,'Input sheet(dashboard)'!$D$17*(1+'Input sheet(dashboard)'!$E$23)^(B534-1),0)</f>
        <v>0</v>
      </c>
      <c r="Y534" s="3"/>
      <c r="Z534" s="18"/>
      <c r="AA534" s="18"/>
      <c r="AB534" s="3">
        <f>IF(B534=1,'Input sheet(dashboard)'!$D$18*Calculations!X534,IF(Calculations!B534=12*'Input sheet(dashboard)'!$D$27,'Input sheet(dashboard)'!$D$18*-Calculations!X534,0))</f>
        <v>0</v>
      </c>
      <c r="AC534" s="3">
        <f>IF(B534&lt;='Input sheet(dashboard)'!$D$27*12,IF(MOD(B533,'Input sheet(dashboard)'!$D$19*12),0,'Input sheet(dashboard)'!$D$20*(1+'Input sheet(dashboard)'!$E$22)^Calculations!B534),0)</f>
        <v>0</v>
      </c>
      <c r="AD534" s="17">
        <f t="shared" si="75"/>
        <v>0</v>
      </c>
      <c r="AE534" s="17">
        <f>IF(B534&lt;='Input sheet(dashboard)'!$D$27*12,IF(D534=12,SUM(AD523:AD534),0),0)</f>
        <v>0</v>
      </c>
      <c r="AF534" s="17">
        <f t="shared" si="76"/>
        <v>0</v>
      </c>
      <c r="AG534" s="17">
        <f t="shared" si="77"/>
        <v>0</v>
      </c>
      <c r="AH534" s="3" t="str">
        <f>IF(B534&lt;='Input sheet(dashboard)'!$D$27*12,AH533*(1+'Input sheet(dashboard)'!$E$25)+AG534," ")</f>
        <v xml:space="preserve"> </v>
      </c>
    </row>
    <row r="535" spans="2:34">
      <c r="B535">
        <f t="shared" si="72"/>
        <v>532</v>
      </c>
      <c r="C535">
        <f t="shared" si="79"/>
        <v>45</v>
      </c>
      <c r="D535">
        <f t="shared" si="80"/>
        <v>4</v>
      </c>
      <c r="E535" s="15">
        <f>IF(C535&lt;='Input sheet(dashboard)'!$D$6, -PMT('Input sheet(dashboard)'!$E$5,'Input sheet(dashboard)'!$D$6*12,'Input sheet(dashboard)'!$D$3*'Input sheet(dashboard)'!$D$4),0)</f>
        <v>0</v>
      </c>
      <c r="F535" s="3">
        <f>I534*'Input sheet(dashboard)'!$E$5</f>
        <v>1.4067172077633869E-11</v>
      </c>
      <c r="G535" s="3">
        <f>IF(C535&lt;='Input sheet(dashboard)'!$D$6,E535*'Input sheet(dashboard)'!$D$7,0)</f>
        <v>0</v>
      </c>
      <c r="H535" s="3">
        <f t="shared" si="73"/>
        <v>-1.4067172077633869E-11</v>
      </c>
      <c r="I535" s="3">
        <f t="shared" si="74"/>
        <v>3.8757164412674378E-9</v>
      </c>
      <c r="J535" s="3">
        <f>IF(B535&lt;='Input sheet(dashboard)'!$D$27*12,'Input sheet(dashboard)'!$D$3*(1+'Input sheet(dashboard)'!$E$24)^B535,0)</f>
        <v>0</v>
      </c>
      <c r="K535" s="3">
        <f>IF(B535&lt;='Input sheet(dashboard)'!$D$27*12,J535*'Input sheet(dashboard)'!$E$8,0)</f>
        <v>0</v>
      </c>
      <c r="L535" s="3">
        <f>IF(B535&lt;='Input sheet(dashboard)'!$D$27*12,'Input sheet(dashboard)'!$D$9*(1+'Input sheet(dashboard)'!$E$22)^B535,0)</f>
        <v>0</v>
      </c>
      <c r="M535" s="3">
        <f>IF(B535=1,'Input sheet(dashboard)'!$D$3*'Input sheet(dashboard)'!$D$10,0)</f>
        <v>0</v>
      </c>
      <c r="N535" s="3">
        <f>IF(B535='Input sheet(dashboard)'!$D$27*12,J535*'Input sheet(dashboard)'!$D$11,0)</f>
        <v>0</v>
      </c>
      <c r="O535" s="3">
        <f>IF(SUM(F535:F546)&gt;=150000,150000/12*'Input sheet(dashboard)'!$D$28,SUM(F535:F546)/12*'Input sheet(dashboard)'!$D$28)</f>
        <v>2.1528694675733277E-12</v>
      </c>
      <c r="P535" s="3">
        <f t="shared" si="78"/>
        <v>0</v>
      </c>
      <c r="Q535" s="3">
        <f>IF(B535&lt;='Input sheet(dashboard)'!$D$27*12,'Input sheet(dashboard)'!$D$12/12,0)</f>
        <v>0</v>
      </c>
      <c r="R535" s="3">
        <f>IF(B535&lt;='Input sheet(dashboard)'!$D$27*12,('Input sheet(dashboard)'!$D$15/12)*(1+'Input sheet(dashboard)'!$E$22)^Calculations!B535,0)</f>
        <v>0</v>
      </c>
      <c r="S535" s="3">
        <f>IF(B535&lt;='Input sheet(dashboard)'!$D$27*12,(E535+G535+K535+L535-O535+M535+Q535+R535),0)</f>
        <v>0</v>
      </c>
      <c r="T535" s="3">
        <f>IF(B535&lt;='Input sheet(dashboard)'!$D$27*12,IF(D535=12,SUM(S524:S535),0),0)</f>
        <v>0</v>
      </c>
      <c r="U535" s="3">
        <f>IF(B535&lt;='Input sheet(dashboard)'!$D$27*12,IF(S535&lt;AD535,AD535-S535,0),0)</f>
        <v>0</v>
      </c>
      <c r="V535" s="3">
        <f>IF(B535&lt;='Input sheet(dashboard)'!$D$27*12,V534*(1+'Input sheet(dashboard)'!$E$25)+U535,0)</f>
        <v>0</v>
      </c>
      <c r="W535" s="17">
        <f>IF(B535&lt;='Input sheet(dashboard)'!$D$27*12,J535-I535+V535-N535,0)</f>
        <v>0</v>
      </c>
      <c r="X535" s="3">
        <f>IF(B535&lt;='Input sheet(dashboard)'!$D$27*12,'Input sheet(dashboard)'!$D$17*(1+'Input sheet(dashboard)'!$E$23)^(B535-1),0)</f>
        <v>0</v>
      </c>
      <c r="Y535" s="3"/>
      <c r="Z535" s="18"/>
      <c r="AA535" s="18"/>
      <c r="AB535" s="3">
        <f>IF(B535=1,'Input sheet(dashboard)'!$D$18*Calculations!X535,IF(Calculations!B535=12*'Input sheet(dashboard)'!$D$27,'Input sheet(dashboard)'!$D$18*-Calculations!X535,0))</f>
        <v>0</v>
      </c>
      <c r="AC535" s="3">
        <f>IF(B535&lt;='Input sheet(dashboard)'!$D$27*12,IF(MOD(B534,'Input sheet(dashboard)'!$D$19*12),0,'Input sheet(dashboard)'!$D$20*(1+'Input sheet(dashboard)'!$E$22)^Calculations!B535),0)</f>
        <v>0</v>
      </c>
      <c r="AD535" s="17">
        <f t="shared" si="75"/>
        <v>0</v>
      </c>
      <c r="AE535" s="17">
        <f>IF(B535&lt;='Input sheet(dashboard)'!$D$27*12,IF(D535=12,SUM(AD524:AD535),0),0)</f>
        <v>0</v>
      </c>
      <c r="AF535" s="17">
        <f t="shared" si="76"/>
        <v>0</v>
      </c>
      <c r="AG535" s="17">
        <f t="shared" si="77"/>
        <v>0</v>
      </c>
      <c r="AH535" s="3" t="str">
        <f>IF(B535&lt;='Input sheet(dashboard)'!$D$27*12,AH534*(1+'Input sheet(dashboard)'!$E$25)+AG535," ")</f>
        <v xml:space="preserve"> </v>
      </c>
    </row>
    <row r="536" spans="2:34">
      <c r="B536">
        <f t="shared" si="72"/>
        <v>533</v>
      </c>
      <c r="C536">
        <f t="shared" si="79"/>
        <v>45</v>
      </c>
      <c r="D536">
        <f t="shared" si="80"/>
        <v>5</v>
      </c>
      <c r="E536" s="15">
        <f>IF(C536&lt;='Input sheet(dashboard)'!$D$6, -PMT('Input sheet(dashboard)'!$E$5,'Input sheet(dashboard)'!$D$6*12,'Input sheet(dashboard)'!$D$3*'Input sheet(dashboard)'!$D$4),0)</f>
        <v>0</v>
      </c>
      <c r="F536" s="3">
        <f>I535*'Input sheet(dashboard)'!$E$5</f>
        <v>1.4118415812232089E-11</v>
      </c>
      <c r="G536" s="3">
        <f>IF(C536&lt;='Input sheet(dashboard)'!$D$6,E536*'Input sheet(dashboard)'!$D$7,0)</f>
        <v>0</v>
      </c>
      <c r="H536" s="3">
        <f t="shared" si="73"/>
        <v>-1.4118415812232089E-11</v>
      </c>
      <c r="I536" s="3">
        <f t="shared" si="74"/>
        <v>3.88983485707967E-9</v>
      </c>
      <c r="J536" s="3">
        <f>IF(B536&lt;='Input sheet(dashboard)'!$D$27*12,'Input sheet(dashboard)'!$D$3*(1+'Input sheet(dashboard)'!$E$24)^B536,0)</f>
        <v>0</v>
      </c>
      <c r="K536" s="3">
        <f>IF(B536&lt;='Input sheet(dashboard)'!$D$27*12,J536*'Input sheet(dashboard)'!$E$8,0)</f>
        <v>0</v>
      </c>
      <c r="L536" s="3">
        <f>IF(B536&lt;='Input sheet(dashboard)'!$D$27*12,'Input sheet(dashboard)'!$D$9*(1+'Input sheet(dashboard)'!$E$22)^B536,0)</f>
        <v>0</v>
      </c>
      <c r="M536" s="3">
        <f>IF(B536=1,'Input sheet(dashboard)'!$D$3*'Input sheet(dashboard)'!$D$10,0)</f>
        <v>0</v>
      </c>
      <c r="N536" s="3">
        <f>IF(B536='Input sheet(dashboard)'!$D$27*12,J536*'Input sheet(dashboard)'!$D$11,0)</f>
        <v>0</v>
      </c>
      <c r="O536" s="3">
        <f>IF(SUM(F536:F547)&gt;=150000,150000/12*'Input sheet(dashboard)'!$D$28,SUM(F536:F547)/12*'Input sheet(dashboard)'!$D$28)</f>
        <v>2.1607119160066083E-12</v>
      </c>
      <c r="P536" s="3">
        <f t="shared" si="78"/>
        <v>0</v>
      </c>
      <c r="Q536" s="3">
        <f>IF(B536&lt;='Input sheet(dashboard)'!$D$27*12,'Input sheet(dashboard)'!$D$12/12,0)</f>
        <v>0</v>
      </c>
      <c r="R536" s="3">
        <f>IF(B536&lt;='Input sheet(dashboard)'!$D$27*12,('Input sheet(dashboard)'!$D$15/12)*(1+'Input sheet(dashboard)'!$E$22)^Calculations!B536,0)</f>
        <v>0</v>
      </c>
      <c r="S536" s="3">
        <f>IF(B536&lt;='Input sheet(dashboard)'!$D$27*12,(E536+G536+K536+L536-O536+M536+Q536+R536),0)</f>
        <v>0</v>
      </c>
      <c r="T536" s="3">
        <f>IF(B536&lt;='Input sheet(dashboard)'!$D$27*12,IF(D536=12,SUM(S525:S536),0),0)</f>
        <v>0</v>
      </c>
      <c r="U536" s="3">
        <f>IF(B536&lt;='Input sheet(dashboard)'!$D$27*12,IF(S536&lt;AD536,AD536-S536,0),0)</f>
        <v>0</v>
      </c>
      <c r="V536" s="3">
        <f>IF(B536&lt;='Input sheet(dashboard)'!$D$27*12,V535*(1+'Input sheet(dashboard)'!$E$25)+U536,0)</f>
        <v>0</v>
      </c>
      <c r="W536" s="17">
        <f>IF(B536&lt;='Input sheet(dashboard)'!$D$27*12,J536-I536+V536-N536,0)</f>
        <v>0</v>
      </c>
      <c r="X536" s="3">
        <f>IF(B536&lt;='Input sheet(dashboard)'!$D$27*12,'Input sheet(dashboard)'!$D$17*(1+'Input sheet(dashboard)'!$E$23)^(B536-1),0)</f>
        <v>0</v>
      </c>
      <c r="Y536" s="3"/>
      <c r="Z536" s="18"/>
      <c r="AA536" s="18"/>
      <c r="AB536" s="3">
        <f>IF(B536=1,'Input sheet(dashboard)'!$D$18*Calculations!X536,IF(Calculations!B536=12*'Input sheet(dashboard)'!$D$27,'Input sheet(dashboard)'!$D$18*-Calculations!X536,0))</f>
        <v>0</v>
      </c>
      <c r="AC536" s="3">
        <f>IF(B536&lt;='Input sheet(dashboard)'!$D$27*12,IF(MOD(B535,'Input sheet(dashboard)'!$D$19*12),0,'Input sheet(dashboard)'!$D$20*(1+'Input sheet(dashboard)'!$E$22)^Calculations!B536),0)</f>
        <v>0</v>
      </c>
      <c r="AD536" s="17">
        <f t="shared" si="75"/>
        <v>0</v>
      </c>
      <c r="AE536" s="17">
        <f>IF(B536&lt;='Input sheet(dashboard)'!$D$27*12,IF(D536=12,SUM(AD525:AD536),0),0)</f>
        <v>0</v>
      </c>
      <c r="AF536" s="17">
        <f t="shared" si="76"/>
        <v>0</v>
      </c>
      <c r="AG536" s="17">
        <f t="shared" si="77"/>
        <v>0</v>
      </c>
      <c r="AH536" s="3" t="str">
        <f>IF(B536&lt;='Input sheet(dashboard)'!$D$27*12,AH535*(1+'Input sheet(dashboard)'!$E$25)+AG536," ")</f>
        <v xml:space="preserve"> </v>
      </c>
    </row>
    <row r="537" spans="2:34">
      <c r="B537">
        <f t="shared" si="72"/>
        <v>534</v>
      </c>
      <c r="C537">
        <f t="shared" si="79"/>
        <v>45</v>
      </c>
      <c r="D537">
        <f t="shared" si="80"/>
        <v>6</v>
      </c>
      <c r="E537" s="15">
        <f>IF(C537&lt;='Input sheet(dashboard)'!$D$6, -PMT('Input sheet(dashboard)'!$E$5,'Input sheet(dashboard)'!$D$6*12,'Input sheet(dashboard)'!$D$3*'Input sheet(dashboard)'!$D$4),0)</f>
        <v>0</v>
      </c>
      <c r="F537" s="3">
        <f>I536*'Input sheet(dashboard)'!$E$5</f>
        <v>1.4169846216924414E-11</v>
      </c>
      <c r="G537" s="3">
        <f>IF(C537&lt;='Input sheet(dashboard)'!$D$6,E537*'Input sheet(dashboard)'!$D$7,0)</f>
        <v>0</v>
      </c>
      <c r="H537" s="3">
        <f t="shared" si="73"/>
        <v>-1.4169846216924414E-11</v>
      </c>
      <c r="I537" s="3">
        <f t="shared" si="74"/>
        <v>3.9040047032965948E-9</v>
      </c>
      <c r="J537" s="3">
        <f>IF(B537&lt;='Input sheet(dashboard)'!$D$27*12,'Input sheet(dashboard)'!$D$3*(1+'Input sheet(dashboard)'!$E$24)^B537,0)</f>
        <v>0</v>
      </c>
      <c r="K537" s="3">
        <f>IF(B537&lt;='Input sheet(dashboard)'!$D$27*12,J537*'Input sheet(dashboard)'!$E$8,0)</f>
        <v>0</v>
      </c>
      <c r="L537" s="3">
        <f>IF(B537&lt;='Input sheet(dashboard)'!$D$27*12,'Input sheet(dashboard)'!$D$9*(1+'Input sheet(dashboard)'!$E$22)^B537,0)</f>
        <v>0</v>
      </c>
      <c r="M537" s="3">
        <f>IF(B537=1,'Input sheet(dashboard)'!$D$3*'Input sheet(dashboard)'!$D$10,0)</f>
        <v>0</v>
      </c>
      <c r="N537" s="3">
        <f>IF(B537='Input sheet(dashboard)'!$D$27*12,J537*'Input sheet(dashboard)'!$D$11,0)</f>
        <v>0</v>
      </c>
      <c r="O537" s="3">
        <f>IF(SUM(F537:F548)&gt;=150000,150000/12*'Input sheet(dashboard)'!$D$28,SUM(F537:F548)/12*'Input sheet(dashboard)'!$D$28)</f>
        <v>2.1685829328219278E-12</v>
      </c>
      <c r="P537" s="3">
        <f t="shared" si="78"/>
        <v>0</v>
      </c>
      <c r="Q537" s="3">
        <f>IF(B537&lt;='Input sheet(dashboard)'!$D$27*12,'Input sheet(dashboard)'!$D$12/12,0)</f>
        <v>0</v>
      </c>
      <c r="R537" s="3">
        <f>IF(B537&lt;='Input sheet(dashboard)'!$D$27*12,('Input sheet(dashboard)'!$D$15/12)*(1+'Input sheet(dashboard)'!$E$22)^Calculations!B537,0)</f>
        <v>0</v>
      </c>
      <c r="S537" s="3">
        <f>IF(B537&lt;='Input sheet(dashboard)'!$D$27*12,(E537+G537+K537+L537-O537+M537+Q537+R537),0)</f>
        <v>0</v>
      </c>
      <c r="T537" s="3">
        <f>IF(B537&lt;='Input sheet(dashboard)'!$D$27*12,IF(D537=12,SUM(S526:S537),0),0)</f>
        <v>0</v>
      </c>
      <c r="U537" s="3">
        <f>IF(B537&lt;='Input sheet(dashboard)'!$D$27*12,IF(S537&lt;AD537,AD537-S537,0),0)</f>
        <v>0</v>
      </c>
      <c r="V537" s="3">
        <f>IF(B537&lt;='Input sheet(dashboard)'!$D$27*12,V536*(1+'Input sheet(dashboard)'!$E$25)+U537,0)</f>
        <v>0</v>
      </c>
      <c r="W537" s="17">
        <f>IF(B537&lt;='Input sheet(dashboard)'!$D$27*12,J537-I537+V537-N537,0)</f>
        <v>0</v>
      </c>
      <c r="X537" s="3">
        <f>IF(B537&lt;='Input sheet(dashboard)'!$D$27*12,'Input sheet(dashboard)'!$D$17*(1+'Input sheet(dashboard)'!$E$23)^(B537-1),0)</f>
        <v>0</v>
      </c>
      <c r="Y537" s="3"/>
      <c r="Z537" s="18"/>
      <c r="AA537" s="18"/>
      <c r="AB537" s="3">
        <f>IF(B537=1,'Input sheet(dashboard)'!$D$18*Calculations!X537,IF(Calculations!B537=12*'Input sheet(dashboard)'!$D$27,'Input sheet(dashboard)'!$D$18*-Calculations!X537,0))</f>
        <v>0</v>
      </c>
      <c r="AC537" s="3">
        <f>IF(B537&lt;='Input sheet(dashboard)'!$D$27*12,IF(MOD(B536,'Input sheet(dashboard)'!$D$19*12),0,'Input sheet(dashboard)'!$D$20*(1+'Input sheet(dashboard)'!$E$22)^Calculations!B537),0)</f>
        <v>0</v>
      </c>
      <c r="AD537" s="17">
        <f t="shared" si="75"/>
        <v>0</v>
      </c>
      <c r="AE537" s="17">
        <f>IF(B537&lt;='Input sheet(dashboard)'!$D$27*12,IF(D537=12,SUM(AD526:AD537),0),0)</f>
        <v>0</v>
      </c>
      <c r="AF537" s="17">
        <f t="shared" si="76"/>
        <v>0</v>
      </c>
      <c r="AG537" s="17">
        <f t="shared" si="77"/>
        <v>0</v>
      </c>
      <c r="AH537" s="3" t="str">
        <f>IF(B537&lt;='Input sheet(dashboard)'!$D$27*12,AH536*(1+'Input sheet(dashboard)'!$E$25)+AG537," ")</f>
        <v xml:space="preserve"> </v>
      </c>
    </row>
    <row r="538" spans="2:34">
      <c r="B538">
        <f t="shared" si="72"/>
        <v>535</v>
      </c>
      <c r="C538">
        <f t="shared" si="79"/>
        <v>45</v>
      </c>
      <c r="D538">
        <f t="shared" si="80"/>
        <v>7</v>
      </c>
      <c r="E538" s="15">
        <f>IF(C538&lt;='Input sheet(dashboard)'!$D$6, -PMT('Input sheet(dashboard)'!$E$5,'Input sheet(dashboard)'!$D$6*12,'Input sheet(dashboard)'!$D$3*'Input sheet(dashboard)'!$D$4),0)</f>
        <v>0</v>
      </c>
      <c r="F538" s="3">
        <f>I537*'Input sheet(dashboard)'!$E$5</f>
        <v>1.4221463971710548E-11</v>
      </c>
      <c r="G538" s="3">
        <f>IF(C538&lt;='Input sheet(dashboard)'!$D$6,E538*'Input sheet(dashboard)'!$D$7,0)</f>
        <v>0</v>
      </c>
      <c r="H538" s="3">
        <f t="shared" si="73"/>
        <v>-1.4221463971710548E-11</v>
      </c>
      <c r="I538" s="3">
        <f t="shared" si="74"/>
        <v>3.9182261672683052E-9</v>
      </c>
      <c r="J538" s="3">
        <f>IF(B538&lt;='Input sheet(dashboard)'!$D$27*12,'Input sheet(dashboard)'!$D$3*(1+'Input sheet(dashboard)'!$E$24)^B538,0)</f>
        <v>0</v>
      </c>
      <c r="K538" s="3">
        <f>IF(B538&lt;='Input sheet(dashboard)'!$D$27*12,J538*'Input sheet(dashboard)'!$E$8,0)</f>
        <v>0</v>
      </c>
      <c r="L538" s="3">
        <f>IF(B538&lt;='Input sheet(dashboard)'!$D$27*12,'Input sheet(dashboard)'!$D$9*(1+'Input sheet(dashboard)'!$E$22)^B538,0)</f>
        <v>0</v>
      </c>
      <c r="M538" s="3">
        <f>IF(B538=1,'Input sheet(dashboard)'!$D$3*'Input sheet(dashboard)'!$D$10,0)</f>
        <v>0</v>
      </c>
      <c r="N538" s="3">
        <f>IF(B538='Input sheet(dashboard)'!$D$27*12,J538*'Input sheet(dashboard)'!$D$11,0)</f>
        <v>0</v>
      </c>
      <c r="O538" s="3">
        <f>IF(SUM(F538:F549)&gt;=150000,150000/12*'Input sheet(dashboard)'!$D$28,SUM(F538:F549)/12*'Input sheet(dashboard)'!$D$28)</f>
        <v>2.1764826220878637E-12</v>
      </c>
      <c r="P538" s="3">
        <f t="shared" si="78"/>
        <v>0</v>
      </c>
      <c r="Q538" s="3">
        <f>IF(B538&lt;='Input sheet(dashboard)'!$D$27*12,'Input sheet(dashboard)'!$D$12/12,0)</f>
        <v>0</v>
      </c>
      <c r="R538" s="3">
        <f>IF(B538&lt;='Input sheet(dashboard)'!$D$27*12,('Input sheet(dashboard)'!$D$15/12)*(1+'Input sheet(dashboard)'!$E$22)^Calculations!B538,0)</f>
        <v>0</v>
      </c>
      <c r="S538" s="3">
        <f>IF(B538&lt;='Input sheet(dashboard)'!$D$27*12,(E538+G538+K538+L538-O538+M538+Q538+R538),0)</f>
        <v>0</v>
      </c>
      <c r="T538" s="3">
        <f>IF(B538&lt;='Input sheet(dashboard)'!$D$27*12,IF(D538=12,SUM(S527:S538),0),0)</f>
        <v>0</v>
      </c>
      <c r="U538" s="3">
        <f>IF(B538&lt;='Input sheet(dashboard)'!$D$27*12,IF(S538&lt;AD538,AD538-S538,0),0)</f>
        <v>0</v>
      </c>
      <c r="V538" s="3">
        <f>IF(B538&lt;='Input sheet(dashboard)'!$D$27*12,V537*(1+'Input sheet(dashboard)'!$E$25)+U538,0)</f>
        <v>0</v>
      </c>
      <c r="W538" s="17">
        <f>IF(B538&lt;='Input sheet(dashboard)'!$D$27*12,J538-I538+V538-N538,0)</f>
        <v>0</v>
      </c>
      <c r="X538" s="3">
        <f>IF(B538&lt;='Input sheet(dashboard)'!$D$27*12,'Input sheet(dashboard)'!$D$17*(1+'Input sheet(dashboard)'!$E$23)^(B538-1),0)</f>
        <v>0</v>
      </c>
      <c r="Y538" s="3"/>
      <c r="Z538" s="18"/>
      <c r="AA538" s="18"/>
      <c r="AB538" s="3">
        <f>IF(B538=1,'Input sheet(dashboard)'!$D$18*Calculations!X538,IF(Calculations!B538=12*'Input sheet(dashboard)'!$D$27,'Input sheet(dashboard)'!$D$18*-Calculations!X538,0))</f>
        <v>0</v>
      </c>
      <c r="AC538" s="3">
        <f>IF(B538&lt;='Input sheet(dashboard)'!$D$27*12,IF(MOD(B537,'Input sheet(dashboard)'!$D$19*12),0,'Input sheet(dashboard)'!$D$20*(1+'Input sheet(dashboard)'!$E$22)^Calculations!B538),0)</f>
        <v>0</v>
      </c>
      <c r="AD538" s="17">
        <f t="shared" si="75"/>
        <v>0</v>
      </c>
      <c r="AE538" s="17">
        <f>IF(B538&lt;='Input sheet(dashboard)'!$D$27*12,IF(D538=12,SUM(AD527:AD538),0),0)</f>
        <v>0</v>
      </c>
      <c r="AF538" s="17">
        <f t="shared" si="76"/>
        <v>0</v>
      </c>
      <c r="AG538" s="17">
        <f t="shared" si="77"/>
        <v>0</v>
      </c>
      <c r="AH538" s="3" t="str">
        <f>IF(B538&lt;='Input sheet(dashboard)'!$D$27*12,AH537*(1+'Input sheet(dashboard)'!$E$25)+AG538," ")</f>
        <v xml:space="preserve"> </v>
      </c>
    </row>
    <row r="539" spans="2:34">
      <c r="B539">
        <f t="shared" si="72"/>
        <v>536</v>
      </c>
      <c r="C539">
        <f t="shared" si="79"/>
        <v>45</v>
      </c>
      <c r="D539">
        <f t="shared" si="80"/>
        <v>8</v>
      </c>
      <c r="E539" s="15">
        <f>IF(C539&lt;='Input sheet(dashboard)'!$D$6, -PMT('Input sheet(dashboard)'!$E$5,'Input sheet(dashboard)'!$D$6*12,'Input sheet(dashboard)'!$D$3*'Input sheet(dashboard)'!$D$4),0)</f>
        <v>0</v>
      </c>
      <c r="F539" s="3">
        <f>I538*'Input sheet(dashboard)'!$E$5</f>
        <v>1.4273269759067278E-11</v>
      </c>
      <c r="G539" s="3">
        <f>IF(C539&lt;='Input sheet(dashboard)'!$D$6,E539*'Input sheet(dashboard)'!$D$7,0)</f>
        <v>0</v>
      </c>
      <c r="H539" s="3">
        <f t="shared" si="73"/>
        <v>-1.4273269759067278E-11</v>
      </c>
      <c r="I539" s="3">
        <f t="shared" si="74"/>
        <v>3.9324994370273724E-9</v>
      </c>
      <c r="J539" s="3">
        <f>IF(B539&lt;='Input sheet(dashboard)'!$D$27*12,'Input sheet(dashboard)'!$D$3*(1+'Input sheet(dashboard)'!$E$24)^B539,0)</f>
        <v>0</v>
      </c>
      <c r="K539" s="3">
        <f>IF(B539&lt;='Input sheet(dashboard)'!$D$27*12,J539*'Input sheet(dashboard)'!$E$8,0)</f>
        <v>0</v>
      </c>
      <c r="L539" s="3">
        <f>IF(B539&lt;='Input sheet(dashboard)'!$D$27*12,'Input sheet(dashboard)'!$D$9*(1+'Input sheet(dashboard)'!$E$22)^B539,0)</f>
        <v>0</v>
      </c>
      <c r="M539" s="3">
        <f>IF(B539=1,'Input sheet(dashboard)'!$D$3*'Input sheet(dashboard)'!$D$10,0)</f>
        <v>0</v>
      </c>
      <c r="N539" s="3">
        <f>IF(B539='Input sheet(dashboard)'!$D$27*12,J539*'Input sheet(dashboard)'!$D$11,0)</f>
        <v>0</v>
      </c>
      <c r="O539" s="3">
        <f>IF(SUM(F539:F550)&gt;=150000,150000/12*'Input sheet(dashboard)'!$D$28,SUM(F539:F550)/12*'Input sheet(dashboard)'!$D$28)</f>
        <v>2.1844110882520924E-12</v>
      </c>
      <c r="P539" s="3">
        <f t="shared" si="78"/>
        <v>0</v>
      </c>
      <c r="Q539" s="3">
        <f>IF(B539&lt;='Input sheet(dashboard)'!$D$27*12,'Input sheet(dashboard)'!$D$12/12,0)</f>
        <v>0</v>
      </c>
      <c r="R539" s="3">
        <f>IF(B539&lt;='Input sheet(dashboard)'!$D$27*12,('Input sheet(dashboard)'!$D$15/12)*(1+'Input sheet(dashboard)'!$E$22)^Calculations!B539,0)</f>
        <v>0</v>
      </c>
      <c r="S539" s="3">
        <f>IF(B539&lt;='Input sheet(dashboard)'!$D$27*12,(E539+G539+K539+L539-O539+M539+Q539+R539),0)</f>
        <v>0</v>
      </c>
      <c r="T539" s="3">
        <f>IF(B539&lt;='Input sheet(dashboard)'!$D$27*12,IF(D539=12,SUM(S528:S539),0),0)</f>
        <v>0</v>
      </c>
      <c r="U539" s="3">
        <f>IF(B539&lt;='Input sheet(dashboard)'!$D$27*12,IF(S539&lt;AD539,AD539-S539,0),0)</f>
        <v>0</v>
      </c>
      <c r="V539" s="3">
        <f>IF(B539&lt;='Input sheet(dashboard)'!$D$27*12,V538*(1+'Input sheet(dashboard)'!$E$25)+U539,0)</f>
        <v>0</v>
      </c>
      <c r="W539" s="17">
        <f>IF(B539&lt;='Input sheet(dashboard)'!$D$27*12,J539-I539+V539-N539,0)</f>
        <v>0</v>
      </c>
      <c r="X539" s="3">
        <f>IF(B539&lt;='Input sheet(dashboard)'!$D$27*12,'Input sheet(dashboard)'!$D$17*(1+'Input sheet(dashboard)'!$E$23)^(B539-1),0)</f>
        <v>0</v>
      </c>
      <c r="Y539" s="3"/>
      <c r="Z539" s="18"/>
      <c r="AA539" s="18"/>
      <c r="AB539" s="3">
        <f>IF(B539=1,'Input sheet(dashboard)'!$D$18*Calculations!X539,IF(Calculations!B539=12*'Input sheet(dashboard)'!$D$27,'Input sheet(dashboard)'!$D$18*-Calculations!X539,0))</f>
        <v>0</v>
      </c>
      <c r="AC539" s="3">
        <f>IF(B539&lt;='Input sheet(dashboard)'!$D$27*12,IF(MOD(B538,'Input sheet(dashboard)'!$D$19*12),0,'Input sheet(dashboard)'!$D$20*(1+'Input sheet(dashboard)'!$E$22)^Calculations!B539),0)</f>
        <v>0</v>
      </c>
      <c r="AD539" s="17">
        <f t="shared" si="75"/>
        <v>0</v>
      </c>
      <c r="AE539" s="17">
        <f>IF(B539&lt;='Input sheet(dashboard)'!$D$27*12,IF(D539=12,SUM(AD528:AD539),0),0)</f>
        <v>0</v>
      </c>
      <c r="AF539" s="17">
        <f t="shared" si="76"/>
        <v>0</v>
      </c>
      <c r="AG539" s="17">
        <f t="shared" si="77"/>
        <v>0</v>
      </c>
      <c r="AH539" s="3" t="str">
        <f>IF(B539&lt;='Input sheet(dashboard)'!$D$27*12,AH538*(1+'Input sheet(dashboard)'!$E$25)+AG539," ")</f>
        <v xml:space="preserve"> </v>
      </c>
    </row>
    <row r="540" spans="2:34">
      <c r="B540">
        <f t="shared" si="72"/>
        <v>537</v>
      </c>
      <c r="C540">
        <f t="shared" si="79"/>
        <v>45</v>
      </c>
      <c r="D540">
        <f t="shared" si="80"/>
        <v>9</v>
      </c>
      <c r="E540" s="15">
        <f>IF(C540&lt;='Input sheet(dashboard)'!$D$6, -PMT('Input sheet(dashboard)'!$E$5,'Input sheet(dashboard)'!$D$6*12,'Input sheet(dashboard)'!$D$3*'Input sheet(dashboard)'!$D$4),0)</f>
        <v>0</v>
      </c>
      <c r="F540" s="3">
        <f>I539*'Input sheet(dashboard)'!$E$5</f>
        <v>1.432526426395752E-11</v>
      </c>
      <c r="G540" s="3">
        <f>IF(C540&lt;='Input sheet(dashboard)'!$D$6,E540*'Input sheet(dashboard)'!$D$7,0)</f>
        <v>0</v>
      </c>
      <c r="H540" s="3">
        <f t="shared" si="73"/>
        <v>-1.432526426395752E-11</v>
      </c>
      <c r="I540" s="3">
        <f t="shared" si="74"/>
        <v>3.9468247012913299E-9</v>
      </c>
      <c r="J540" s="3">
        <f>IF(B540&lt;='Input sheet(dashboard)'!$D$27*12,'Input sheet(dashboard)'!$D$3*(1+'Input sheet(dashboard)'!$E$24)^B540,0)</f>
        <v>0</v>
      </c>
      <c r="K540" s="3">
        <f>IF(B540&lt;='Input sheet(dashboard)'!$D$27*12,J540*'Input sheet(dashboard)'!$E$8,0)</f>
        <v>0</v>
      </c>
      <c r="L540" s="3">
        <f>IF(B540&lt;='Input sheet(dashboard)'!$D$27*12,'Input sheet(dashboard)'!$D$9*(1+'Input sheet(dashboard)'!$E$22)^B540,0)</f>
        <v>0</v>
      </c>
      <c r="M540" s="3">
        <f>IF(B540=1,'Input sheet(dashboard)'!$D$3*'Input sheet(dashboard)'!$D$10,0)</f>
        <v>0</v>
      </c>
      <c r="N540" s="3">
        <f>IF(B540='Input sheet(dashboard)'!$D$27*12,J540*'Input sheet(dashboard)'!$D$11,0)</f>
        <v>0</v>
      </c>
      <c r="O540" s="3">
        <f>IF(SUM(F540:F551)&gt;=150000,150000/12*'Input sheet(dashboard)'!$D$28,SUM(F540:F551)/12*'Input sheet(dashboard)'!$D$28)</f>
        <v>2.1923684361427721E-12</v>
      </c>
      <c r="P540" s="3">
        <f t="shared" si="78"/>
        <v>0</v>
      </c>
      <c r="Q540" s="3">
        <f>IF(B540&lt;='Input sheet(dashboard)'!$D$27*12,'Input sheet(dashboard)'!$D$12/12,0)</f>
        <v>0</v>
      </c>
      <c r="R540" s="3">
        <f>IF(B540&lt;='Input sheet(dashboard)'!$D$27*12,('Input sheet(dashboard)'!$D$15/12)*(1+'Input sheet(dashboard)'!$E$22)^Calculations!B540,0)</f>
        <v>0</v>
      </c>
      <c r="S540" s="3">
        <f>IF(B540&lt;='Input sheet(dashboard)'!$D$27*12,(E540+G540+K540+L540-O540+M540+Q540+R540),0)</f>
        <v>0</v>
      </c>
      <c r="T540" s="3">
        <f>IF(B540&lt;='Input sheet(dashboard)'!$D$27*12,IF(D540=12,SUM(S529:S540),0),0)</f>
        <v>0</v>
      </c>
      <c r="U540" s="3">
        <f>IF(B540&lt;='Input sheet(dashboard)'!$D$27*12,IF(S540&lt;AD540,AD540-S540,0),0)</f>
        <v>0</v>
      </c>
      <c r="V540" s="3">
        <f>IF(B540&lt;='Input sheet(dashboard)'!$D$27*12,V539*(1+'Input sheet(dashboard)'!$E$25)+U540,0)</f>
        <v>0</v>
      </c>
      <c r="W540" s="17">
        <f>IF(B540&lt;='Input sheet(dashboard)'!$D$27*12,J540-I540+V540-N540,0)</f>
        <v>0</v>
      </c>
      <c r="X540" s="3">
        <f>IF(B540&lt;='Input sheet(dashboard)'!$D$27*12,'Input sheet(dashboard)'!$D$17*(1+'Input sheet(dashboard)'!$E$23)^(B540-1),0)</f>
        <v>0</v>
      </c>
      <c r="Y540" s="3"/>
      <c r="Z540" s="18"/>
      <c r="AA540" s="18"/>
      <c r="AB540" s="3">
        <f>IF(B540=1,'Input sheet(dashboard)'!$D$18*Calculations!X540,IF(Calculations!B540=12*'Input sheet(dashboard)'!$D$27,'Input sheet(dashboard)'!$D$18*-Calculations!X540,0))</f>
        <v>0</v>
      </c>
      <c r="AC540" s="3">
        <f>IF(B540&lt;='Input sheet(dashboard)'!$D$27*12,IF(MOD(B539,'Input sheet(dashboard)'!$D$19*12),0,'Input sheet(dashboard)'!$D$20*(1+'Input sheet(dashboard)'!$E$22)^Calculations!B540),0)</f>
        <v>0</v>
      </c>
      <c r="AD540" s="17">
        <f t="shared" si="75"/>
        <v>0</v>
      </c>
      <c r="AE540" s="17">
        <f>IF(B540&lt;='Input sheet(dashboard)'!$D$27*12,IF(D540=12,SUM(AD529:AD540),0),0)</f>
        <v>0</v>
      </c>
      <c r="AF540" s="17">
        <f t="shared" si="76"/>
        <v>0</v>
      </c>
      <c r="AG540" s="17">
        <f t="shared" si="77"/>
        <v>0</v>
      </c>
      <c r="AH540" s="3" t="str">
        <f>IF(B540&lt;='Input sheet(dashboard)'!$D$27*12,AH539*(1+'Input sheet(dashboard)'!$E$25)+AG540," ")</f>
        <v xml:space="preserve"> </v>
      </c>
    </row>
    <row r="541" spans="2:34">
      <c r="B541">
        <f t="shared" si="72"/>
        <v>538</v>
      </c>
      <c r="C541">
        <f t="shared" si="79"/>
        <v>45</v>
      </c>
      <c r="D541">
        <f t="shared" si="80"/>
        <v>10</v>
      </c>
      <c r="E541" s="15">
        <f>IF(C541&lt;='Input sheet(dashboard)'!$D$6, -PMT('Input sheet(dashboard)'!$E$5,'Input sheet(dashboard)'!$D$6*12,'Input sheet(dashboard)'!$D$3*'Input sheet(dashboard)'!$D$4),0)</f>
        <v>0</v>
      </c>
      <c r="F541" s="3">
        <f>I540*'Input sheet(dashboard)'!$E$5</f>
        <v>1.4377448173839358E-11</v>
      </c>
      <c r="G541" s="3">
        <f>IF(C541&lt;='Input sheet(dashboard)'!$D$6,E541*'Input sheet(dashboard)'!$D$7,0)</f>
        <v>0</v>
      </c>
      <c r="H541" s="3">
        <f t="shared" si="73"/>
        <v>-1.4377448173839358E-11</v>
      </c>
      <c r="I541" s="3">
        <f t="shared" si="74"/>
        <v>3.9612021494651696E-9</v>
      </c>
      <c r="J541" s="3">
        <f>IF(B541&lt;='Input sheet(dashboard)'!$D$27*12,'Input sheet(dashboard)'!$D$3*(1+'Input sheet(dashboard)'!$E$24)^B541,0)</f>
        <v>0</v>
      </c>
      <c r="K541" s="3">
        <f>IF(B541&lt;='Input sheet(dashboard)'!$D$27*12,J541*'Input sheet(dashboard)'!$E$8,0)</f>
        <v>0</v>
      </c>
      <c r="L541" s="3">
        <f>IF(B541&lt;='Input sheet(dashboard)'!$D$27*12,'Input sheet(dashboard)'!$D$9*(1+'Input sheet(dashboard)'!$E$22)^B541,0)</f>
        <v>0</v>
      </c>
      <c r="M541" s="3">
        <f>IF(B541=1,'Input sheet(dashboard)'!$D$3*'Input sheet(dashboard)'!$D$10,0)</f>
        <v>0</v>
      </c>
      <c r="N541" s="3">
        <f>IF(B541='Input sheet(dashboard)'!$D$27*12,J541*'Input sheet(dashboard)'!$D$11,0)</f>
        <v>0</v>
      </c>
      <c r="O541" s="3">
        <f>IF(SUM(F541:F552)&gt;=150000,150000/12*'Input sheet(dashboard)'!$D$28,SUM(F541:F552)/12*'Input sheet(dashboard)'!$D$28)</f>
        <v>2.2003547709699283E-12</v>
      </c>
      <c r="P541" s="3">
        <f t="shared" si="78"/>
        <v>0</v>
      </c>
      <c r="Q541" s="3">
        <f>IF(B541&lt;='Input sheet(dashboard)'!$D$27*12,'Input sheet(dashboard)'!$D$12/12,0)</f>
        <v>0</v>
      </c>
      <c r="R541" s="3">
        <f>IF(B541&lt;='Input sheet(dashboard)'!$D$27*12,('Input sheet(dashboard)'!$D$15/12)*(1+'Input sheet(dashboard)'!$E$22)^Calculations!B541,0)</f>
        <v>0</v>
      </c>
      <c r="S541" s="3">
        <f>IF(B541&lt;='Input sheet(dashboard)'!$D$27*12,(E541+G541+K541+L541-O541+M541+Q541+R541),0)</f>
        <v>0</v>
      </c>
      <c r="T541" s="3">
        <f>IF(B541&lt;='Input sheet(dashboard)'!$D$27*12,IF(D541=12,SUM(S530:S541),0),0)</f>
        <v>0</v>
      </c>
      <c r="U541" s="3">
        <f>IF(B541&lt;='Input sheet(dashboard)'!$D$27*12,IF(S541&lt;AD541,AD541-S541,0),0)</f>
        <v>0</v>
      </c>
      <c r="V541" s="3">
        <f>IF(B541&lt;='Input sheet(dashboard)'!$D$27*12,V540*(1+'Input sheet(dashboard)'!$E$25)+U541,0)</f>
        <v>0</v>
      </c>
      <c r="W541" s="17">
        <f>IF(B541&lt;='Input sheet(dashboard)'!$D$27*12,J541-I541+V541-N541,0)</f>
        <v>0</v>
      </c>
      <c r="X541" s="3">
        <f>IF(B541&lt;='Input sheet(dashboard)'!$D$27*12,'Input sheet(dashboard)'!$D$17*(1+'Input sheet(dashboard)'!$E$23)^(B541-1),0)</f>
        <v>0</v>
      </c>
      <c r="Y541" s="3"/>
      <c r="Z541" s="18"/>
      <c r="AA541" s="18"/>
      <c r="AB541" s="3">
        <f>IF(B541=1,'Input sheet(dashboard)'!$D$18*Calculations!X541,IF(Calculations!B541=12*'Input sheet(dashboard)'!$D$27,'Input sheet(dashboard)'!$D$18*-Calculations!X541,0))</f>
        <v>0</v>
      </c>
      <c r="AC541" s="3">
        <f>IF(B541&lt;='Input sheet(dashboard)'!$D$27*12,IF(MOD(B540,'Input sheet(dashboard)'!$D$19*12),0,'Input sheet(dashboard)'!$D$20*(1+'Input sheet(dashboard)'!$E$22)^Calculations!B541),0)</f>
        <v>0</v>
      </c>
      <c r="AD541" s="17">
        <f t="shared" si="75"/>
        <v>0</v>
      </c>
      <c r="AE541" s="17">
        <f>IF(B541&lt;='Input sheet(dashboard)'!$D$27*12,IF(D541=12,SUM(AD530:AD541),0),0)</f>
        <v>0</v>
      </c>
      <c r="AF541" s="17">
        <f t="shared" si="76"/>
        <v>0</v>
      </c>
      <c r="AG541" s="17">
        <f t="shared" si="77"/>
        <v>0</v>
      </c>
      <c r="AH541" s="3" t="str">
        <f>IF(B541&lt;='Input sheet(dashboard)'!$D$27*12,AH540*(1+'Input sheet(dashboard)'!$E$25)+AG541," ")</f>
        <v xml:space="preserve"> </v>
      </c>
    </row>
    <row r="542" spans="2:34">
      <c r="B542">
        <f t="shared" si="72"/>
        <v>539</v>
      </c>
      <c r="C542">
        <f t="shared" si="79"/>
        <v>45</v>
      </c>
      <c r="D542">
        <f t="shared" si="80"/>
        <v>11</v>
      </c>
      <c r="E542" s="15">
        <f>IF(C542&lt;='Input sheet(dashboard)'!$D$6, -PMT('Input sheet(dashboard)'!$E$5,'Input sheet(dashboard)'!$D$6*12,'Input sheet(dashboard)'!$D$3*'Input sheet(dashboard)'!$D$4),0)</f>
        <v>0</v>
      </c>
      <c r="F542" s="3">
        <f>I541*'Input sheet(dashboard)'!$E$5</f>
        <v>1.4429822178675148E-11</v>
      </c>
      <c r="G542" s="3">
        <f>IF(C542&lt;='Input sheet(dashboard)'!$D$6,E542*'Input sheet(dashboard)'!$D$7,0)</f>
        <v>0</v>
      </c>
      <c r="H542" s="3">
        <f t="shared" si="73"/>
        <v>-1.4429822178675148E-11</v>
      </c>
      <c r="I542" s="3">
        <f t="shared" si="74"/>
        <v>3.9756319716438446E-9</v>
      </c>
      <c r="J542" s="3">
        <f>IF(B542&lt;='Input sheet(dashboard)'!$D$27*12,'Input sheet(dashboard)'!$D$3*(1+'Input sheet(dashboard)'!$E$24)^B542,0)</f>
        <v>0</v>
      </c>
      <c r="K542" s="3">
        <f>IF(B542&lt;='Input sheet(dashboard)'!$D$27*12,J542*'Input sheet(dashboard)'!$E$8,0)</f>
        <v>0</v>
      </c>
      <c r="L542" s="3">
        <f>IF(B542&lt;='Input sheet(dashboard)'!$D$27*12,'Input sheet(dashboard)'!$D$9*(1+'Input sheet(dashboard)'!$E$22)^B542,0)</f>
        <v>0</v>
      </c>
      <c r="M542" s="3">
        <f>IF(B542=1,'Input sheet(dashboard)'!$D$3*'Input sheet(dashboard)'!$D$10,0)</f>
        <v>0</v>
      </c>
      <c r="N542" s="3">
        <f>IF(B542='Input sheet(dashboard)'!$D$27*12,J542*'Input sheet(dashboard)'!$D$11,0)</f>
        <v>0</v>
      </c>
      <c r="O542" s="3">
        <f>IF(SUM(F542:F553)&gt;=150000,150000/12*'Input sheet(dashboard)'!$D$28,SUM(F542:F553)/12*'Input sheet(dashboard)'!$D$28)</f>
        <v>2.2083701983268442E-12</v>
      </c>
      <c r="P542" s="3">
        <f t="shared" si="78"/>
        <v>0</v>
      </c>
      <c r="Q542" s="3">
        <f>IF(B542&lt;='Input sheet(dashboard)'!$D$27*12,'Input sheet(dashboard)'!$D$12/12,0)</f>
        <v>0</v>
      </c>
      <c r="R542" s="3">
        <f>IF(B542&lt;='Input sheet(dashboard)'!$D$27*12,('Input sheet(dashboard)'!$D$15/12)*(1+'Input sheet(dashboard)'!$E$22)^Calculations!B542,0)</f>
        <v>0</v>
      </c>
      <c r="S542" s="3">
        <f>IF(B542&lt;='Input sheet(dashboard)'!$D$27*12,(E542+G542+K542+L542-O542+M542+Q542+R542),0)</f>
        <v>0</v>
      </c>
      <c r="T542" s="3">
        <f>IF(B542&lt;='Input sheet(dashboard)'!$D$27*12,IF(D542=12,SUM(S531:S542),0),0)</f>
        <v>0</v>
      </c>
      <c r="U542" s="3">
        <f>IF(B542&lt;='Input sheet(dashboard)'!$D$27*12,IF(S542&lt;AD542,AD542-S542,0),0)</f>
        <v>0</v>
      </c>
      <c r="V542" s="3">
        <f>IF(B542&lt;='Input sheet(dashboard)'!$D$27*12,V541*(1+'Input sheet(dashboard)'!$E$25)+U542,0)</f>
        <v>0</v>
      </c>
      <c r="W542" s="17">
        <f>IF(B542&lt;='Input sheet(dashboard)'!$D$27*12,J542-I542+V542-N542,0)</f>
        <v>0</v>
      </c>
      <c r="X542" s="3">
        <f>IF(B542&lt;='Input sheet(dashboard)'!$D$27*12,'Input sheet(dashboard)'!$D$17*(1+'Input sheet(dashboard)'!$E$23)^(B542-1),0)</f>
        <v>0</v>
      </c>
      <c r="Y542" s="3"/>
      <c r="Z542" s="18"/>
      <c r="AA542" s="18"/>
      <c r="AB542" s="3">
        <f>IF(B542=1,'Input sheet(dashboard)'!$D$18*Calculations!X542,IF(Calculations!B542=12*'Input sheet(dashboard)'!$D$27,'Input sheet(dashboard)'!$D$18*-Calculations!X542,0))</f>
        <v>0</v>
      </c>
      <c r="AC542" s="3">
        <f>IF(B542&lt;='Input sheet(dashboard)'!$D$27*12,IF(MOD(B541,'Input sheet(dashboard)'!$D$19*12),0,'Input sheet(dashboard)'!$D$20*(1+'Input sheet(dashboard)'!$E$22)^Calculations!B542),0)</f>
        <v>0</v>
      </c>
      <c r="AD542" s="17">
        <f t="shared" si="75"/>
        <v>0</v>
      </c>
      <c r="AE542" s="17">
        <f>IF(B542&lt;='Input sheet(dashboard)'!$D$27*12,IF(D542=12,SUM(AD531:AD542),0),0)</f>
        <v>0</v>
      </c>
      <c r="AF542" s="17">
        <f t="shared" si="76"/>
        <v>0</v>
      </c>
      <c r="AG542" s="17">
        <f t="shared" si="77"/>
        <v>0</v>
      </c>
      <c r="AH542" s="3" t="str">
        <f>IF(B542&lt;='Input sheet(dashboard)'!$D$27*12,AH541*(1+'Input sheet(dashboard)'!$E$25)+AG542," ")</f>
        <v xml:space="preserve"> </v>
      </c>
    </row>
    <row r="543" spans="2:34">
      <c r="B543">
        <f t="shared" si="72"/>
        <v>540</v>
      </c>
      <c r="C543">
        <f t="shared" si="79"/>
        <v>45</v>
      </c>
      <c r="D543">
        <f t="shared" si="80"/>
        <v>12</v>
      </c>
      <c r="E543" s="15">
        <f>IF(C543&lt;='Input sheet(dashboard)'!$D$6, -PMT('Input sheet(dashboard)'!$E$5,'Input sheet(dashboard)'!$D$6*12,'Input sheet(dashboard)'!$D$3*'Input sheet(dashboard)'!$D$4),0)</f>
        <v>0</v>
      </c>
      <c r="F543" s="3">
        <f>I542*'Input sheet(dashboard)'!$E$5</f>
        <v>1.448238697094062E-11</v>
      </c>
      <c r="G543" s="3">
        <f>IF(C543&lt;='Input sheet(dashboard)'!$D$6,E543*'Input sheet(dashboard)'!$D$7,0)</f>
        <v>0</v>
      </c>
      <c r="H543" s="3">
        <f t="shared" si="73"/>
        <v>-1.448238697094062E-11</v>
      </c>
      <c r="I543" s="3">
        <f t="shared" si="74"/>
        <v>3.9901143586147855E-9</v>
      </c>
      <c r="J543" s="3">
        <f>IF(B543&lt;='Input sheet(dashboard)'!$D$27*12,'Input sheet(dashboard)'!$D$3*(1+'Input sheet(dashboard)'!$E$24)^B543,0)</f>
        <v>0</v>
      </c>
      <c r="K543" s="3">
        <f>IF(B543&lt;='Input sheet(dashboard)'!$D$27*12,J543*'Input sheet(dashboard)'!$E$8,0)</f>
        <v>0</v>
      </c>
      <c r="L543" s="3">
        <f>IF(B543&lt;='Input sheet(dashboard)'!$D$27*12,'Input sheet(dashboard)'!$D$9*(1+'Input sheet(dashboard)'!$E$22)^B543,0)</f>
        <v>0</v>
      </c>
      <c r="M543" s="3">
        <f>IF(B543=1,'Input sheet(dashboard)'!$D$3*'Input sheet(dashboard)'!$D$10,0)</f>
        <v>0</v>
      </c>
      <c r="N543" s="3">
        <f>IF(B543='Input sheet(dashboard)'!$D$27*12,J543*'Input sheet(dashboard)'!$D$11,0)</f>
        <v>0</v>
      </c>
      <c r="O543" s="3">
        <f>IF(SUM(F543:F554)&gt;=150000,150000/12*'Input sheet(dashboard)'!$D$28,SUM(F543:F554)/12*'Input sheet(dashboard)'!$D$28)</f>
        <v>2.2164148241914558E-12</v>
      </c>
      <c r="P543" s="3">
        <f t="shared" si="78"/>
        <v>2.7734421457296052E-11</v>
      </c>
      <c r="Q543" s="3">
        <f>IF(B543&lt;='Input sheet(dashboard)'!$D$27*12,'Input sheet(dashboard)'!$D$12/12,0)</f>
        <v>0</v>
      </c>
      <c r="R543" s="3">
        <f>IF(B543&lt;='Input sheet(dashboard)'!$D$27*12,('Input sheet(dashboard)'!$D$15/12)*(1+'Input sheet(dashboard)'!$E$22)^Calculations!B543,0)</f>
        <v>0</v>
      </c>
      <c r="S543" s="3">
        <f>IF(B543&lt;='Input sheet(dashboard)'!$D$27*12,(E543+G543+K543+L543-O543+M543+Q543+R543),0)</f>
        <v>0</v>
      </c>
      <c r="T543" s="3">
        <f>IF(B543&lt;='Input sheet(dashboard)'!$D$27*12,IF(D543=12,SUM(S532:S543),0),0)</f>
        <v>0</v>
      </c>
      <c r="U543" s="3">
        <f>IF(B543&lt;='Input sheet(dashboard)'!$D$27*12,IF(S543&lt;AD543,AD543-S543,0),0)</f>
        <v>0</v>
      </c>
      <c r="V543" s="3">
        <f>IF(B543&lt;='Input sheet(dashboard)'!$D$27*12,V542*(1+'Input sheet(dashboard)'!$E$25)+U543,0)</f>
        <v>0</v>
      </c>
      <c r="W543" s="17">
        <f>IF(B543&lt;='Input sheet(dashboard)'!$D$27*12,J543-I543+V543-N543,0)</f>
        <v>0</v>
      </c>
      <c r="X543" s="3">
        <f>IF(B543&lt;='Input sheet(dashboard)'!$D$27*12,'Input sheet(dashboard)'!$D$17*(1+'Input sheet(dashboard)'!$E$23)^(B543-1),0)</f>
        <v>0</v>
      </c>
      <c r="Y543" s="3"/>
      <c r="Z543" s="18"/>
      <c r="AA543" s="18"/>
      <c r="AB543" s="3">
        <f>IF(B543=1,'Input sheet(dashboard)'!$D$18*Calculations!X543,IF(Calculations!B543=12*'Input sheet(dashboard)'!$D$27,'Input sheet(dashboard)'!$D$18*-Calculations!X543,0))</f>
        <v>0</v>
      </c>
      <c r="AC543" s="3">
        <f>IF(B543&lt;='Input sheet(dashboard)'!$D$27*12,IF(MOD(B542,'Input sheet(dashboard)'!$D$19*12),0,'Input sheet(dashboard)'!$D$20*(1+'Input sheet(dashboard)'!$E$22)^Calculations!B543),0)</f>
        <v>0</v>
      </c>
      <c r="AD543" s="17">
        <f t="shared" si="75"/>
        <v>0</v>
      </c>
      <c r="AE543" s="17">
        <f>IF(B543&lt;='Input sheet(dashboard)'!$D$27*12,IF(D543=12,SUM(AD532:AD543),0),0)</f>
        <v>0</v>
      </c>
      <c r="AF543" s="17">
        <f t="shared" si="76"/>
        <v>0</v>
      </c>
      <c r="AG543" s="17">
        <f t="shared" si="77"/>
        <v>0</v>
      </c>
      <c r="AH543" s="3" t="str">
        <f>IF(B543&lt;='Input sheet(dashboard)'!$D$27*12,AH542*(1+'Input sheet(dashboard)'!$E$25)+AG543," ")</f>
        <v xml:space="preserve"> </v>
      </c>
    </row>
    <row r="544" spans="2:34">
      <c r="B544">
        <f t="shared" si="72"/>
        <v>541</v>
      </c>
      <c r="C544">
        <f t="shared" si="79"/>
        <v>46</v>
      </c>
      <c r="D544">
        <f t="shared" si="80"/>
        <v>1</v>
      </c>
      <c r="E544" s="15">
        <f>IF(C544&lt;='Input sheet(dashboard)'!$D$6, -PMT('Input sheet(dashboard)'!$E$5,'Input sheet(dashboard)'!$D$6*12,'Input sheet(dashboard)'!$D$3*'Input sheet(dashboard)'!$D$4),0)</f>
        <v>0</v>
      </c>
      <c r="F544" s="3">
        <f>I543*'Input sheet(dashboard)'!$E$5</f>
        <v>1.4535143245634063E-11</v>
      </c>
      <c r="G544" s="3">
        <f>IF(C544&lt;='Input sheet(dashboard)'!$D$6,E544*'Input sheet(dashboard)'!$D$7,0)</f>
        <v>0</v>
      </c>
      <c r="H544" s="3">
        <f t="shared" si="73"/>
        <v>-1.4535143245634063E-11</v>
      </c>
      <c r="I544" s="3">
        <f t="shared" si="74"/>
        <v>4.0046495018604194E-9</v>
      </c>
      <c r="J544" s="3">
        <f>IF(B544&lt;='Input sheet(dashboard)'!$D$27*12,'Input sheet(dashboard)'!$D$3*(1+'Input sheet(dashboard)'!$E$24)^B544,0)</f>
        <v>0</v>
      </c>
      <c r="K544" s="3">
        <f>IF(B544&lt;='Input sheet(dashboard)'!$D$27*12,J544*'Input sheet(dashboard)'!$E$8,0)</f>
        <v>0</v>
      </c>
      <c r="L544" s="3">
        <f>IF(B544&lt;='Input sheet(dashboard)'!$D$27*12,'Input sheet(dashboard)'!$D$9*(1+'Input sheet(dashboard)'!$E$22)^B544,0)</f>
        <v>0</v>
      </c>
      <c r="M544" s="3">
        <f>IF(B544=1,'Input sheet(dashboard)'!$D$3*'Input sheet(dashboard)'!$D$10,0)</f>
        <v>0</v>
      </c>
      <c r="N544" s="3">
        <f>IF(B544='Input sheet(dashboard)'!$D$27*12,J544*'Input sheet(dashboard)'!$D$11,0)</f>
        <v>0</v>
      </c>
      <c r="O544" s="3">
        <f>IF(SUM(F544:F555)&gt;=150000,150000/12*'Input sheet(dashboard)'!$D$28,SUM(F544:F555)/12*'Input sheet(dashboard)'!$D$28)</f>
        <v>2.2244887549277557E-12</v>
      </c>
      <c r="P544" s="3">
        <f t="shared" si="78"/>
        <v>0</v>
      </c>
      <c r="Q544" s="3">
        <f>IF(B544&lt;='Input sheet(dashboard)'!$D$27*12,'Input sheet(dashboard)'!$D$12/12,0)</f>
        <v>0</v>
      </c>
      <c r="R544" s="3">
        <f>IF(B544&lt;='Input sheet(dashboard)'!$D$27*12,('Input sheet(dashboard)'!$D$15/12)*(1+'Input sheet(dashboard)'!$E$22)^Calculations!B544,0)</f>
        <v>0</v>
      </c>
      <c r="S544" s="3">
        <f>IF(B544&lt;='Input sheet(dashboard)'!$D$27*12,(E544+G544+K544+L544-O544+M544+Q544+R544),0)</f>
        <v>0</v>
      </c>
      <c r="T544" s="3">
        <f>IF(B544&lt;='Input sheet(dashboard)'!$D$27*12,IF(D544=12,SUM(S533:S544),0),0)</f>
        <v>0</v>
      </c>
      <c r="U544" s="3">
        <f>IF(B544&lt;='Input sheet(dashboard)'!$D$27*12,IF(S544&lt;AD544,AD544-S544,0),0)</f>
        <v>0</v>
      </c>
      <c r="V544" s="3">
        <f>IF(B544&lt;='Input sheet(dashboard)'!$D$27*12,V543*(1+'Input sheet(dashboard)'!$E$25)+U544,0)</f>
        <v>0</v>
      </c>
      <c r="W544" s="17">
        <f>IF(B544&lt;='Input sheet(dashboard)'!$D$27*12,J544-I544+V544-N544,0)</f>
        <v>0</v>
      </c>
      <c r="X544" s="3">
        <f>IF(B544&lt;='Input sheet(dashboard)'!$D$27*12,'Input sheet(dashboard)'!$D$17*(1+'Input sheet(dashboard)'!$E$23)^(B544-1),0)</f>
        <v>0</v>
      </c>
      <c r="Y544" s="3"/>
      <c r="Z544" s="18"/>
      <c r="AA544" s="18"/>
      <c r="AB544" s="3">
        <f>IF(B544=1,'Input sheet(dashboard)'!$D$18*Calculations!X544,IF(Calculations!B544=12*'Input sheet(dashboard)'!$D$27,'Input sheet(dashboard)'!$D$18*-Calculations!X544,0))</f>
        <v>0</v>
      </c>
      <c r="AC544" s="3">
        <f>IF(B544&lt;='Input sheet(dashboard)'!$D$27*12,IF(MOD(B543,'Input sheet(dashboard)'!$D$19*12),0,'Input sheet(dashboard)'!$D$20*(1+'Input sheet(dashboard)'!$E$22)^Calculations!B544),0)</f>
        <v>0</v>
      </c>
      <c r="AD544" s="17">
        <f t="shared" si="75"/>
        <v>0</v>
      </c>
      <c r="AE544" s="17">
        <f>IF(B544&lt;='Input sheet(dashboard)'!$D$27*12,IF(D544=12,SUM(AD533:AD544),0),0)</f>
        <v>0</v>
      </c>
      <c r="AF544" s="17">
        <f t="shared" si="76"/>
        <v>0</v>
      </c>
      <c r="AG544" s="17">
        <f t="shared" si="77"/>
        <v>0</v>
      </c>
      <c r="AH544" s="3" t="str">
        <f>IF(B544&lt;='Input sheet(dashboard)'!$D$27*12,AH543*(1+'Input sheet(dashboard)'!$E$25)+AG544," ")</f>
        <v xml:space="preserve"> </v>
      </c>
    </row>
    <row r="545" spans="2:34">
      <c r="B545">
        <f t="shared" si="72"/>
        <v>542</v>
      </c>
      <c r="C545">
        <f t="shared" si="79"/>
        <v>46</v>
      </c>
      <c r="D545">
        <f t="shared" si="80"/>
        <v>2</v>
      </c>
      <c r="E545" s="15">
        <f>IF(C545&lt;='Input sheet(dashboard)'!$D$6, -PMT('Input sheet(dashboard)'!$E$5,'Input sheet(dashboard)'!$D$6*12,'Input sheet(dashboard)'!$D$3*'Input sheet(dashboard)'!$D$4),0)</f>
        <v>0</v>
      </c>
      <c r="F545" s="3">
        <f>I544*'Input sheet(dashboard)'!$E$5</f>
        <v>1.4588091700285482E-11</v>
      </c>
      <c r="G545" s="3">
        <f>IF(C545&lt;='Input sheet(dashboard)'!$D$6,E545*'Input sheet(dashboard)'!$D$7,0)</f>
        <v>0</v>
      </c>
      <c r="H545" s="3">
        <f t="shared" si="73"/>
        <v>-1.4588091700285482E-11</v>
      </c>
      <c r="I545" s="3">
        <f t="shared" si="74"/>
        <v>4.0192375935607049E-9</v>
      </c>
      <c r="J545" s="3">
        <f>IF(B545&lt;='Input sheet(dashboard)'!$D$27*12,'Input sheet(dashboard)'!$D$3*(1+'Input sheet(dashboard)'!$E$24)^B545,0)</f>
        <v>0</v>
      </c>
      <c r="K545" s="3">
        <f>IF(B545&lt;='Input sheet(dashboard)'!$D$27*12,J545*'Input sheet(dashboard)'!$E$8,0)</f>
        <v>0</v>
      </c>
      <c r="L545" s="3">
        <f>IF(B545&lt;='Input sheet(dashboard)'!$D$27*12,'Input sheet(dashboard)'!$D$9*(1+'Input sheet(dashboard)'!$E$22)^B545,0)</f>
        <v>0</v>
      </c>
      <c r="M545" s="3">
        <f>IF(B545=1,'Input sheet(dashboard)'!$D$3*'Input sheet(dashboard)'!$D$10,0)</f>
        <v>0</v>
      </c>
      <c r="N545" s="3">
        <f>IF(B545='Input sheet(dashboard)'!$D$27*12,J545*'Input sheet(dashboard)'!$D$11,0)</f>
        <v>0</v>
      </c>
      <c r="O545" s="3">
        <f>IF(SUM(F545:F556)&gt;=150000,150000/12*'Input sheet(dashboard)'!$D$28,SUM(F545:F556)/12*'Input sheet(dashboard)'!$D$28)</f>
        <v>2.2325920972871964E-12</v>
      </c>
      <c r="P545" s="3">
        <f t="shared" si="78"/>
        <v>0</v>
      </c>
      <c r="Q545" s="3">
        <f>IF(B545&lt;='Input sheet(dashboard)'!$D$27*12,'Input sheet(dashboard)'!$D$12/12,0)</f>
        <v>0</v>
      </c>
      <c r="R545" s="3">
        <f>IF(B545&lt;='Input sheet(dashboard)'!$D$27*12,('Input sheet(dashboard)'!$D$15/12)*(1+'Input sheet(dashboard)'!$E$22)^Calculations!B545,0)</f>
        <v>0</v>
      </c>
      <c r="S545" s="3">
        <f>IF(B545&lt;='Input sheet(dashboard)'!$D$27*12,(E545+G545+K545+L545-O545+M545+Q545+R545),0)</f>
        <v>0</v>
      </c>
      <c r="T545" s="3">
        <f>IF(B545&lt;='Input sheet(dashboard)'!$D$27*12,IF(D545=12,SUM(S534:S545),0),0)</f>
        <v>0</v>
      </c>
      <c r="U545" s="3">
        <f>IF(B545&lt;='Input sheet(dashboard)'!$D$27*12,IF(S545&lt;AD545,AD545-S545,0),0)</f>
        <v>0</v>
      </c>
      <c r="V545" s="3">
        <f>IF(B545&lt;='Input sheet(dashboard)'!$D$27*12,V544*(1+'Input sheet(dashboard)'!$E$25)+U545,0)</f>
        <v>0</v>
      </c>
      <c r="W545" s="17">
        <f>IF(B545&lt;='Input sheet(dashboard)'!$D$27*12,J545-I545+V545-N545,0)</f>
        <v>0</v>
      </c>
      <c r="X545" s="3">
        <f>IF(B545&lt;='Input sheet(dashboard)'!$D$27*12,'Input sheet(dashboard)'!$D$17*(1+'Input sheet(dashboard)'!$E$23)^(B545-1),0)</f>
        <v>0</v>
      </c>
      <c r="Y545" s="3"/>
      <c r="Z545" s="18"/>
      <c r="AA545" s="18"/>
      <c r="AB545" s="3">
        <f>IF(B545=1,'Input sheet(dashboard)'!$D$18*Calculations!X545,IF(Calculations!B545=12*'Input sheet(dashboard)'!$D$27,'Input sheet(dashboard)'!$D$18*-Calculations!X545,0))</f>
        <v>0</v>
      </c>
      <c r="AC545" s="3">
        <f>IF(B545&lt;='Input sheet(dashboard)'!$D$27*12,IF(MOD(B544,'Input sheet(dashboard)'!$D$19*12),0,'Input sheet(dashboard)'!$D$20*(1+'Input sheet(dashboard)'!$E$22)^Calculations!B545),0)</f>
        <v>0</v>
      </c>
      <c r="AD545" s="17">
        <f t="shared" si="75"/>
        <v>0</v>
      </c>
      <c r="AE545" s="17">
        <f>IF(B545&lt;='Input sheet(dashboard)'!$D$27*12,IF(D545=12,SUM(AD534:AD545),0),0)</f>
        <v>0</v>
      </c>
      <c r="AF545" s="17">
        <f t="shared" si="76"/>
        <v>0</v>
      </c>
      <c r="AG545" s="17">
        <f t="shared" si="77"/>
        <v>0</v>
      </c>
      <c r="AH545" s="3" t="str">
        <f>IF(B545&lt;='Input sheet(dashboard)'!$D$27*12,AH544*(1+'Input sheet(dashboard)'!$E$25)+AG545," ")</f>
        <v xml:space="preserve"> </v>
      </c>
    </row>
    <row r="546" spans="2:34">
      <c r="B546">
        <f t="shared" si="72"/>
        <v>543</v>
      </c>
      <c r="C546">
        <f t="shared" si="79"/>
        <v>46</v>
      </c>
      <c r="D546">
        <f t="shared" si="80"/>
        <v>3</v>
      </c>
      <c r="E546" s="15">
        <f>IF(C546&lt;='Input sheet(dashboard)'!$D$6, -PMT('Input sheet(dashboard)'!$E$5,'Input sheet(dashboard)'!$D$6*12,'Input sheet(dashboard)'!$D$3*'Input sheet(dashboard)'!$D$4),0)</f>
        <v>0</v>
      </c>
      <c r="F546" s="3">
        <f>I545*'Input sheet(dashboard)'!$E$5</f>
        <v>1.4641233034965853E-11</v>
      </c>
      <c r="G546" s="3">
        <f>IF(C546&lt;='Input sheet(dashboard)'!$D$6,E546*'Input sheet(dashboard)'!$D$7,0)</f>
        <v>0</v>
      </c>
      <c r="H546" s="3">
        <f t="shared" si="73"/>
        <v>-1.4641233034965853E-11</v>
      </c>
      <c r="I546" s="3">
        <f t="shared" si="74"/>
        <v>4.0338788265956709E-9</v>
      </c>
      <c r="J546" s="3">
        <f>IF(B546&lt;='Input sheet(dashboard)'!$D$27*12,'Input sheet(dashboard)'!$D$3*(1+'Input sheet(dashboard)'!$E$24)^B546,0)</f>
        <v>0</v>
      </c>
      <c r="K546" s="3">
        <f>IF(B546&lt;='Input sheet(dashboard)'!$D$27*12,J546*'Input sheet(dashboard)'!$E$8,0)</f>
        <v>0</v>
      </c>
      <c r="L546" s="3">
        <f>IF(B546&lt;='Input sheet(dashboard)'!$D$27*12,'Input sheet(dashboard)'!$D$9*(1+'Input sheet(dashboard)'!$E$22)^B546,0)</f>
        <v>0</v>
      </c>
      <c r="M546" s="3">
        <f>IF(B546=1,'Input sheet(dashboard)'!$D$3*'Input sheet(dashboard)'!$D$10,0)</f>
        <v>0</v>
      </c>
      <c r="N546" s="3">
        <f>IF(B546='Input sheet(dashboard)'!$D$27*12,J546*'Input sheet(dashboard)'!$D$11,0)</f>
        <v>0</v>
      </c>
      <c r="O546" s="3">
        <f>IF(SUM(F546:F557)&gt;=150000,150000/12*'Input sheet(dashboard)'!$D$28,SUM(F546:F557)/12*'Input sheet(dashboard)'!$D$28)</f>
        <v>2.2407249584101062E-12</v>
      </c>
      <c r="P546" s="3">
        <f t="shared" si="78"/>
        <v>0</v>
      </c>
      <c r="Q546" s="3">
        <f>IF(B546&lt;='Input sheet(dashboard)'!$D$27*12,'Input sheet(dashboard)'!$D$12/12,0)</f>
        <v>0</v>
      </c>
      <c r="R546" s="3">
        <f>IF(B546&lt;='Input sheet(dashboard)'!$D$27*12,('Input sheet(dashboard)'!$D$15/12)*(1+'Input sheet(dashboard)'!$E$22)^Calculations!B546,0)</f>
        <v>0</v>
      </c>
      <c r="S546" s="3">
        <f>IF(B546&lt;='Input sheet(dashboard)'!$D$27*12,(E546+G546+K546+L546-O546+M546+Q546+R546),0)</f>
        <v>0</v>
      </c>
      <c r="T546" s="3">
        <f>IF(B546&lt;='Input sheet(dashboard)'!$D$27*12,IF(D546=12,SUM(S535:S546),0),0)</f>
        <v>0</v>
      </c>
      <c r="U546" s="3">
        <f>IF(B546&lt;='Input sheet(dashboard)'!$D$27*12,IF(S546&lt;AD546,AD546-S546,0),0)</f>
        <v>0</v>
      </c>
      <c r="V546" s="3">
        <f>IF(B546&lt;='Input sheet(dashboard)'!$D$27*12,V545*(1+'Input sheet(dashboard)'!$E$25)+U546,0)</f>
        <v>0</v>
      </c>
      <c r="W546" s="17">
        <f>IF(B546&lt;='Input sheet(dashboard)'!$D$27*12,J546-I546+V546-N546,0)</f>
        <v>0</v>
      </c>
      <c r="X546" s="3">
        <f>IF(B546&lt;='Input sheet(dashboard)'!$D$27*12,'Input sheet(dashboard)'!$D$17*(1+'Input sheet(dashboard)'!$E$23)^(B546-1),0)</f>
        <v>0</v>
      </c>
      <c r="Y546" s="3"/>
      <c r="Z546" s="18"/>
      <c r="AA546" s="18"/>
      <c r="AB546" s="3">
        <f>IF(B546=1,'Input sheet(dashboard)'!$D$18*Calculations!X546,IF(Calculations!B546=12*'Input sheet(dashboard)'!$D$27,'Input sheet(dashboard)'!$D$18*-Calculations!X546,0))</f>
        <v>0</v>
      </c>
      <c r="AC546" s="3">
        <f>IF(B546&lt;='Input sheet(dashboard)'!$D$27*12,IF(MOD(B545,'Input sheet(dashboard)'!$D$19*12),0,'Input sheet(dashboard)'!$D$20*(1+'Input sheet(dashboard)'!$E$22)^Calculations!B546),0)</f>
        <v>0</v>
      </c>
      <c r="AD546" s="17">
        <f t="shared" si="75"/>
        <v>0</v>
      </c>
      <c r="AE546" s="17">
        <f>IF(B546&lt;='Input sheet(dashboard)'!$D$27*12,IF(D546=12,SUM(AD535:AD546),0),0)</f>
        <v>0</v>
      </c>
      <c r="AF546" s="17">
        <f t="shared" si="76"/>
        <v>0</v>
      </c>
      <c r="AG546" s="17">
        <f t="shared" si="77"/>
        <v>0</v>
      </c>
      <c r="AH546" s="3" t="str">
        <f>IF(B546&lt;='Input sheet(dashboard)'!$D$27*12,AH545*(1+'Input sheet(dashboard)'!$E$25)+AG546," ")</f>
        <v xml:space="preserve"> </v>
      </c>
    </row>
    <row r="547" spans="2:34">
      <c r="B547">
        <f t="shared" si="72"/>
        <v>544</v>
      </c>
      <c r="C547">
        <f t="shared" si="79"/>
        <v>46</v>
      </c>
      <c r="D547">
        <f t="shared" si="80"/>
        <v>4</v>
      </c>
      <c r="E547" s="15">
        <f>IF(C547&lt;='Input sheet(dashboard)'!$D$6, -PMT('Input sheet(dashboard)'!$E$5,'Input sheet(dashboard)'!$D$6*12,'Input sheet(dashboard)'!$D$3*'Input sheet(dashboard)'!$D$4),0)</f>
        <v>0</v>
      </c>
      <c r="F547" s="3">
        <f>I546*'Input sheet(dashboard)'!$E$5</f>
        <v>1.4694567952296349E-11</v>
      </c>
      <c r="G547" s="3">
        <f>IF(C547&lt;='Input sheet(dashboard)'!$D$6,E547*'Input sheet(dashboard)'!$D$7,0)</f>
        <v>0</v>
      </c>
      <c r="H547" s="3">
        <f t="shared" si="73"/>
        <v>-1.4694567952296349E-11</v>
      </c>
      <c r="I547" s="3">
        <f t="shared" si="74"/>
        <v>4.0485733945479674E-9</v>
      </c>
      <c r="J547" s="3">
        <f>IF(B547&lt;='Input sheet(dashboard)'!$D$27*12,'Input sheet(dashboard)'!$D$3*(1+'Input sheet(dashboard)'!$E$24)^B547,0)</f>
        <v>0</v>
      </c>
      <c r="K547" s="3">
        <f>IF(B547&lt;='Input sheet(dashboard)'!$D$27*12,J547*'Input sheet(dashboard)'!$E$8,0)</f>
        <v>0</v>
      </c>
      <c r="L547" s="3">
        <f>IF(B547&lt;='Input sheet(dashboard)'!$D$27*12,'Input sheet(dashboard)'!$D$9*(1+'Input sheet(dashboard)'!$E$22)^B547,0)</f>
        <v>0</v>
      </c>
      <c r="M547" s="3">
        <f>IF(B547=1,'Input sheet(dashboard)'!$D$3*'Input sheet(dashboard)'!$D$10,0)</f>
        <v>0</v>
      </c>
      <c r="N547" s="3">
        <f>IF(B547='Input sheet(dashboard)'!$D$27*12,J547*'Input sheet(dashboard)'!$D$11,0)</f>
        <v>0</v>
      </c>
      <c r="O547" s="3">
        <f>IF(SUM(F547:F558)&gt;=150000,150000/12*'Input sheet(dashboard)'!$D$28,SUM(F547:F558)/12*'Input sheet(dashboard)'!$D$28)</f>
        <v>2.2488874458270999E-12</v>
      </c>
      <c r="P547" s="3">
        <f t="shared" si="78"/>
        <v>0</v>
      </c>
      <c r="Q547" s="3">
        <f>IF(B547&lt;='Input sheet(dashboard)'!$D$27*12,'Input sheet(dashboard)'!$D$12/12,0)</f>
        <v>0</v>
      </c>
      <c r="R547" s="3">
        <f>IF(B547&lt;='Input sheet(dashboard)'!$D$27*12,('Input sheet(dashboard)'!$D$15/12)*(1+'Input sheet(dashboard)'!$E$22)^Calculations!B547,0)</f>
        <v>0</v>
      </c>
      <c r="S547" s="3">
        <f>IF(B547&lt;='Input sheet(dashboard)'!$D$27*12,(E547+G547+K547+L547-O547+M547+Q547+R547),0)</f>
        <v>0</v>
      </c>
      <c r="T547" s="3">
        <f>IF(B547&lt;='Input sheet(dashboard)'!$D$27*12,IF(D547=12,SUM(S536:S547),0),0)</f>
        <v>0</v>
      </c>
      <c r="U547" s="3">
        <f>IF(B547&lt;='Input sheet(dashboard)'!$D$27*12,IF(S547&lt;AD547,AD547-S547,0),0)</f>
        <v>0</v>
      </c>
      <c r="V547" s="3">
        <f>IF(B547&lt;='Input sheet(dashboard)'!$D$27*12,V546*(1+'Input sheet(dashboard)'!$E$25)+U547,0)</f>
        <v>0</v>
      </c>
      <c r="W547" s="17">
        <f>IF(B547&lt;='Input sheet(dashboard)'!$D$27*12,J547-I547+V547-N547,0)</f>
        <v>0</v>
      </c>
      <c r="X547" s="3">
        <f>IF(B547&lt;='Input sheet(dashboard)'!$D$27*12,'Input sheet(dashboard)'!$D$17*(1+'Input sheet(dashboard)'!$E$23)^(B547-1),0)</f>
        <v>0</v>
      </c>
      <c r="Y547" s="3"/>
      <c r="Z547" s="18"/>
      <c r="AA547" s="18"/>
      <c r="AB547" s="3">
        <f>IF(B547=1,'Input sheet(dashboard)'!$D$18*Calculations!X547,IF(Calculations!B547=12*'Input sheet(dashboard)'!$D$27,'Input sheet(dashboard)'!$D$18*-Calculations!X547,0))</f>
        <v>0</v>
      </c>
      <c r="AC547" s="3">
        <f>IF(B547&lt;='Input sheet(dashboard)'!$D$27*12,IF(MOD(B546,'Input sheet(dashboard)'!$D$19*12),0,'Input sheet(dashboard)'!$D$20*(1+'Input sheet(dashboard)'!$E$22)^Calculations!B547),0)</f>
        <v>0</v>
      </c>
      <c r="AD547" s="17">
        <f t="shared" si="75"/>
        <v>0</v>
      </c>
      <c r="AE547" s="17">
        <f>IF(B547&lt;='Input sheet(dashboard)'!$D$27*12,IF(D547=12,SUM(AD536:AD547),0),0)</f>
        <v>0</v>
      </c>
      <c r="AF547" s="17">
        <f t="shared" si="76"/>
        <v>0</v>
      </c>
      <c r="AG547" s="17">
        <f t="shared" si="77"/>
        <v>0</v>
      </c>
      <c r="AH547" s="3" t="str">
        <f>IF(B547&lt;='Input sheet(dashboard)'!$D$27*12,AH546*(1+'Input sheet(dashboard)'!$E$25)+AG547," ")</f>
        <v xml:space="preserve"> </v>
      </c>
    </row>
    <row r="548" spans="2:34">
      <c r="B548">
        <f t="shared" si="72"/>
        <v>545</v>
      </c>
      <c r="C548">
        <f t="shared" si="79"/>
        <v>46</v>
      </c>
      <c r="D548">
        <f t="shared" si="80"/>
        <v>5</v>
      </c>
      <c r="E548" s="15">
        <f>IF(C548&lt;='Input sheet(dashboard)'!$D$6, -PMT('Input sheet(dashboard)'!$E$5,'Input sheet(dashboard)'!$D$6*12,'Input sheet(dashboard)'!$D$3*'Input sheet(dashboard)'!$D$4),0)</f>
        <v>0</v>
      </c>
      <c r="F548" s="3">
        <f>I547*'Input sheet(dashboard)'!$E$5</f>
        <v>1.4748097157457646E-11</v>
      </c>
      <c r="G548" s="3">
        <f>IF(C548&lt;='Input sheet(dashboard)'!$D$6,E548*'Input sheet(dashboard)'!$D$7,0)</f>
        <v>0</v>
      </c>
      <c r="H548" s="3">
        <f t="shared" si="73"/>
        <v>-1.4748097157457646E-11</v>
      </c>
      <c r="I548" s="3">
        <f t="shared" si="74"/>
        <v>4.0633214917054254E-9</v>
      </c>
      <c r="J548" s="3">
        <f>IF(B548&lt;='Input sheet(dashboard)'!$D$27*12,'Input sheet(dashboard)'!$D$3*(1+'Input sheet(dashboard)'!$E$24)^B548,0)</f>
        <v>0</v>
      </c>
      <c r="K548" s="3">
        <f>IF(B548&lt;='Input sheet(dashboard)'!$D$27*12,J548*'Input sheet(dashboard)'!$E$8,0)</f>
        <v>0</v>
      </c>
      <c r="L548" s="3">
        <f>IF(B548&lt;='Input sheet(dashboard)'!$D$27*12,'Input sheet(dashboard)'!$D$9*(1+'Input sheet(dashboard)'!$E$22)^B548,0)</f>
        <v>0</v>
      </c>
      <c r="M548" s="3">
        <f>IF(B548=1,'Input sheet(dashboard)'!$D$3*'Input sheet(dashboard)'!$D$10,0)</f>
        <v>0</v>
      </c>
      <c r="N548" s="3">
        <f>IF(B548='Input sheet(dashboard)'!$D$27*12,J548*'Input sheet(dashboard)'!$D$11,0)</f>
        <v>0</v>
      </c>
      <c r="O548" s="3">
        <f>IF(SUM(F548:F559)&gt;=150000,150000/12*'Input sheet(dashboard)'!$D$28,SUM(F548:F559)/12*'Input sheet(dashboard)'!$D$28)</f>
        <v>2.2570796674605049E-12</v>
      </c>
      <c r="P548" s="3">
        <f t="shared" si="78"/>
        <v>0</v>
      </c>
      <c r="Q548" s="3">
        <f>IF(B548&lt;='Input sheet(dashboard)'!$D$27*12,'Input sheet(dashboard)'!$D$12/12,0)</f>
        <v>0</v>
      </c>
      <c r="R548" s="3">
        <f>IF(B548&lt;='Input sheet(dashboard)'!$D$27*12,('Input sheet(dashboard)'!$D$15/12)*(1+'Input sheet(dashboard)'!$E$22)^Calculations!B548,0)</f>
        <v>0</v>
      </c>
      <c r="S548" s="3">
        <f>IF(B548&lt;='Input sheet(dashboard)'!$D$27*12,(E548+G548+K548+L548-O548+M548+Q548+R548),0)</f>
        <v>0</v>
      </c>
      <c r="T548" s="3">
        <f>IF(B548&lt;='Input sheet(dashboard)'!$D$27*12,IF(D548=12,SUM(S537:S548),0),0)</f>
        <v>0</v>
      </c>
      <c r="U548" s="3">
        <f>IF(B548&lt;='Input sheet(dashboard)'!$D$27*12,IF(S548&lt;AD548,AD548-S548,0),0)</f>
        <v>0</v>
      </c>
      <c r="V548" s="3">
        <f>IF(B548&lt;='Input sheet(dashboard)'!$D$27*12,V547*(1+'Input sheet(dashboard)'!$E$25)+U548,0)</f>
        <v>0</v>
      </c>
      <c r="W548" s="17">
        <f>IF(B548&lt;='Input sheet(dashboard)'!$D$27*12,J548-I548+V548-N548,0)</f>
        <v>0</v>
      </c>
      <c r="X548" s="3">
        <f>IF(B548&lt;='Input sheet(dashboard)'!$D$27*12,'Input sheet(dashboard)'!$D$17*(1+'Input sheet(dashboard)'!$E$23)^(B548-1),0)</f>
        <v>0</v>
      </c>
      <c r="Y548" s="3"/>
      <c r="Z548" s="18"/>
      <c r="AA548" s="18"/>
      <c r="AB548" s="3">
        <f>IF(B548=1,'Input sheet(dashboard)'!$D$18*Calculations!X548,IF(Calculations!B548=12*'Input sheet(dashboard)'!$D$27,'Input sheet(dashboard)'!$D$18*-Calculations!X548,0))</f>
        <v>0</v>
      </c>
      <c r="AC548" s="3">
        <f>IF(B548&lt;='Input sheet(dashboard)'!$D$27*12,IF(MOD(B547,'Input sheet(dashboard)'!$D$19*12),0,'Input sheet(dashboard)'!$D$20*(1+'Input sheet(dashboard)'!$E$22)^Calculations!B548),0)</f>
        <v>0</v>
      </c>
      <c r="AD548" s="17">
        <f t="shared" si="75"/>
        <v>0</v>
      </c>
      <c r="AE548" s="17">
        <f>IF(B548&lt;='Input sheet(dashboard)'!$D$27*12,IF(D548=12,SUM(AD537:AD548),0),0)</f>
        <v>0</v>
      </c>
      <c r="AF548" s="17">
        <f t="shared" si="76"/>
        <v>0</v>
      </c>
      <c r="AG548" s="17">
        <f t="shared" si="77"/>
        <v>0</v>
      </c>
      <c r="AH548" s="3" t="str">
        <f>IF(B548&lt;='Input sheet(dashboard)'!$D$27*12,AH547*(1+'Input sheet(dashboard)'!$E$25)+AG548," ")</f>
        <v xml:space="preserve"> </v>
      </c>
    </row>
    <row r="549" spans="2:34">
      <c r="B549">
        <f t="shared" si="72"/>
        <v>546</v>
      </c>
      <c r="C549">
        <f t="shared" si="79"/>
        <v>46</v>
      </c>
      <c r="D549">
        <f t="shared" si="80"/>
        <v>6</v>
      </c>
      <c r="E549" s="15">
        <f>IF(C549&lt;='Input sheet(dashboard)'!$D$6, -PMT('Input sheet(dashboard)'!$E$5,'Input sheet(dashboard)'!$D$6*12,'Input sheet(dashboard)'!$D$3*'Input sheet(dashboard)'!$D$4),0)</f>
        <v>0</v>
      </c>
      <c r="F549" s="3">
        <f>I548*'Input sheet(dashboard)'!$E$5</f>
        <v>1.480182135819925E-11</v>
      </c>
      <c r="G549" s="3">
        <f>IF(C549&lt;='Input sheet(dashboard)'!$D$6,E549*'Input sheet(dashboard)'!$D$7,0)</f>
        <v>0</v>
      </c>
      <c r="H549" s="3">
        <f t="shared" si="73"/>
        <v>-1.480182135819925E-11</v>
      </c>
      <c r="I549" s="3">
        <f t="shared" si="74"/>
        <v>4.0781233130636243E-9</v>
      </c>
      <c r="J549" s="3">
        <f>IF(B549&lt;='Input sheet(dashboard)'!$D$27*12,'Input sheet(dashboard)'!$D$3*(1+'Input sheet(dashboard)'!$E$24)^B549,0)</f>
        <v>0</v>
      </c>
      <c r="K549" s="3">
        <f>IF(B549&lt;='Input sheet(dashboard)'!$D$27*12,J549*'Input sheet(dashboard)'!$E$8,0)</f>
        <v>0</v>
      </c>
      <c r="L549" s="3">
        <f>IF(B549&lt;='Input sheet(dashboard)'!$D$27*12,'Input sheet(dashboard)'!$D$9*(1+'Input sheet(dashboard)'!$E$22)^B549,0)</f>
        <v>0</v>
      </c>
      <c r="M549" s="3">
        <f>IF(B549=1,'Input sheet(dashboard)'!$D$3*'Input sheet(dashboard)'!$D$10,0)</f>
        <v>0</v>
      </c>
      <c r="N549" s="3">
        <f>IF(B549='Input sheet(dashboard)'!$D$27*12,J549*'Input sheet(dashboard)'!$D$11,0)</f>
        <v>0</v>
      </c>
      <c r="O549" s="3">
        <f>IF(SUM(F549:F560)&gt;=150000,150000/12*'Input sheet(dashboard)'!$D$28,SUM(F549:F560)/12*'Input sheet(dashboard)'!$D$28)</f>
        <v>2.2653017316257872E-12</v>
      </c>
      <c r="P549" s="3">
        <f t="shared" si="78"/>
        <v>0</v>
      </c>
      <c r="Q549" s="3">
        <f>IF(B549&lt;='Input sheet(dashboard)'!$D$27*12,'Input sheet(dashboard)'!$D$12/12,0)</f>
        <v>0</v>
      </c>
      <c r="R549" s="3">
        <f>IF(B549&lt;='Input sheet(dashboard)'!$D$27*12,('Input sheet(dashboard)'!$D$15/12)*(1+'Input sheet(dashboard)'!$E$22)^Calculations!B549,0)</f>
        <v>0</v>
      </c>
      <c r="S549" s="3">
        <f>IF(B549&lt;='Input sheet(dashboard)'!$D$27*12,(E549+G549+K549+L549-O549+M549+Q549+R549),0)</f>
        <v>0</v>
      </c>
      <c r="T549" s="3">
        <f>IF(B549&lt;='Input sheet(dashboard)'!$D$27*12,IF(D549=12,SUM(S538:S549),0),0)</f>
        <v>0</v>
      </c>
      <c r="U549" s="3">
        <f>IF(B549&lt;='Input sheet(dashboard)'!$D$27*12,IF(S549&lt;AD549,AD549-S549,0),0)</f>
        <v>0</v>
      </c>
      <c r="V549" s="3">
        <f>IF(B549&lt;='Input sheet(dashboard)'!$D$27*12,V548*(1+'Input sheet(dashboard)'!$E$25)+U549,0)</f>
        <v>0</v>
      </c>
      <c r="W549" s="17">
        <f>IF(B549&lt;='Input sheet(dashboard)'!$D$27*12,J549-I549+V549-N549,0)</f>
        <v>0</v>
      </c>
      <c r="X549" s="3">
        <f>IF(B549&lt;='Input sheet(dashboard)'!$D$27*12,'Input sheet(dashboard)'!$D$17*(1+'Input sheet(dashboard)'!$E$23)^(B549-1),0)</f>
        <v>0</v>
      </c>
      <c r="Y549" s="3"/>
      <c r="Z549" s="18"/>
      <c r="AA549" s="18"/>
      <c r="AB549" s="3">
        <f>IF(B549=1,'Input sheet(dashboard)'!$D$18*Calculations!X549,IF(Calculations!B549=12*'Input sheet(dashboard)'!$D$27,'Input sheet(dashboard)'!$D$18*-Calculations!X549,0))</f>
        <v>0</v>
      </c>
      <c r="AC549" s="3">
        <f>IF(B549&lt;='Input sheet(dashboard)'!$D$27*12,IF(MOD(B548,'Input sheet(dashboard)'!$D$19*12),0,'Input sheet(dashboard)'!$D$20*(1+'Input sheet(dashboard)'!$E$22)^Calculations!B549),0)</f>
        <v>0</v>
      </c>
      <c r="AD549" s="17">
        <f t="shared" si="75"/>
        <v>0</v>
      </c>
      <c r="AE549" s="17">
        <f>IF(B549&lt;='Input sheet(dashboard)'!$D$27*12,IF(D549=12,SUM(AD538:AD549),0),0)</f>
        <v>0</v>
      </c>
      <c r="AF549" s="17">
        <f t="shared" si="76"/>
        <v>0</v>
      </c>
      <c r="AG549" s="17">
        <f t="shared" si="77"/>
        <v>0</v>
      </c>
      <c r="AH549" s="3" t="str">
        <f>IF(B549&lt;='Input sheet(dashboard)'!$D$27*12,AH548*(1+'Input sheet(dashboard)'!$E$25)+AG549," ")</f>
        <v xml:space="preserve"> </v>
      </c>
    </row>
    <row r="550" spans="2:34">
      <c r="B550">
        <f t="shared" si="72"/>
        <v>547</v>
      </c>
      <c r="C550">
        <f t="shared" si="79"/>
        <v>46</v>
      </c>
      <c r="D550">
        <f t="shared" si="80"/>
        <v>7</v>
      </c>
      <c r="E550" s="15">
        <f>IF(C550&lt;='Input sheet(dashboard)'!$D$6, -PMT('Input sheet(dashboard)'!$E$5,'Input sheet(dashboard)'!$D$6*12,'Input sheet(dashboard)'!$D$3*'Input sheet(dashboard)'!$D$4),0)</f>
        <v>0</v>
      </c>
      <c r="F550" s="3">
        <f>I549*'Input sheet(dashboard)'!$E$5</f>
        <v>1.4855741264848845E-11</v>
      </c>
      <c r="G550" s="3">
        <f>IF(C550&lt;='Input sheet(dashboard)'!$D$6,E550*'Input sheet(dashboard)'!$D$7,0)</f>
        <v>0</v>
      </c>
      <c r="H550" s="3">
        <f t="shared" si="73"/>
        <v>-1.4855741264848845E-11</v>
      </c>
      <c r="I550" s="3">
        <f t="shared" si="74"/>
        <v>4.092979054328473E-9</v>
      </c>
      <c r="J550" s="3">
        <f>IF(B550&lt;='Input sheet(dashboard)'!$D$27*12,'Input sheet(dashboard)'!$D$3*(1+'Input sheet(dashboard)'!$E$24)^B550,0)</f>
        <v>0</v>
      </c>
      <c r="K550" s="3">
        <f>IF(B550&lt;='Input sheet(dashboard)'!$D$27*12,J550*'Input sheet(dashboard)'!$E$8,0)</f>
        <v>0</v>
      </c>
      <c r="L550" s="3">
        <f>IF(B550&lt;='Input sheet(dashboard)'!$D$27*12,'Input sheet(dashboard)'!$D$9*(1+'Input sheet(dashboard)'!$E$22)^B550,0)</f>
        <v>0</v>
      </c>
      <c r="M550" s="3">
        <f>IF(B550=1,'Input sheet(dashboard)'!$D$3*'Input sheet(dashboard)'!$D$10,0)</f>
        <v>0</v>
      </c>
      <c r="N550" s="3">
        <f>IF(B550='Input sheet(dashboard)'!$D$27*12,J550*'Input sheet(dashboard)'!$D$11,0)</f>
        <v>0</v>
      </c>
      <c r="O550" s="3">
        <f>IF(SUM(F550:F561)&gt;=150000,150000/12*'Input sheet(dashboard)'!$D$28,SUM(F550:F561)/12*'Input sheet(dashboard)'!$D$28)</f>
        <v>2.2735537470329834E-12</v>
      </c>
      <c r="P550" s="3">
        <f t="shared" si="78"/>
        <v>0</v>
      </c>
      <c r="Q550" s="3">
        <f>IF(B550&lt;='Input sheet(dashboard)'!$D$27*12,'Input sheet(dashboard)'!$D$12/12,0)</f>
        <v>0</v>
      </c>
      <c r="R550" s="3">
        <f>IF(B550&lt;='Input sheet(dashboard)'!$D$27*12,('Input sheet(dashboard)'!$D$15/12)*(1+'Input sheet(dashboard)'!$E$22)^Calculations!B550,0)</f>
        <v>0</v>
      </c>
      <c r="S550" s="3">
        <f>IF(B550&lt;='Input sheet(dashboard)'!$D$27*12,(E550+G550+K550+L550-O550+M550+Q550+R550),0)</f>
        <v>0</v>
      </c>
      <c r="T550" s="3">
        <f>IF(B550&lt;='Input sheet(dashboard)'!$D$27*12,IF(D550=12,SUM(S539:S550),0),0)</f>
        <v>0</v>
      </c>
      <c r="U550" s="3">
        <f>IF(B550&lt;='Input sheet(dashboard)'!$D$27*12,IF(S550&lt;AD550,AD550-S550,0),0)</f>
        <v>0</v>
      </c>
      <c r="V550" s="3">
        <f>IF(B550&lt;='Input sheet(dashboard)'!$D$27*12,V549*(1+'Input sheet(dashboard)'!$E$25)+U550,0)</f>
        <v>0</v>
      </c>
      <c r="W550" s="17">
        <f>IF(B550&lt;='Input sheet(dashboard)'!$D$27*12,J550-I550+V550-N550,0)</f>
        <v>0</v>
      </c>
      <c r="X550" s="3">
        <f>IF(B550&lt;='Input sheet(dashboard)'!$D$27*12,'Input sheet(dashboard)'!$D$17*(1+'Input sheet(dashboard)'!$E$23)^(B550-1),0)</f>
        <v>0</v>
      </c>
      <c r="Y550" s="3"/>
      <c r="Z550" s="18"/>
      <c r="AA550" s="18"/>
      <c r="AB550" s="3">
        <f>IF(B550=1,'Input sheet(dashboard)'!$D$18*Calculations!X550,IF(Calculations!B550=12*'Input sheet(dashboard)'!$D$27,'Input sheet(dashboard)'!$D$18*-Calculations!X550,0))</f>
        <v>0</v>
      </c>
      <c r="AC550" s="3">
        <f>IF(B550&lt;='Input sheet(dashboard)'!$D$27*12,IF(MOD(B549,'Input sheet(dashboard)'!$D$19*12),0,'Input sheet(dashboard)'!$D$20*(1+'Input sheet(dashboard)'!$E$22)^Calculations!B550),0)</f>
        <v>0</v>
      </c>
      <c r="AD550" s="17">
        <f t="shared" si="75"/>
        <v>0</v>
      </c>
      <c r="AE550" s="17">
        <f>IF(B550&lt;='Input sheet(dashboard)'!$D$27*12,IF(D550=12,SUM(AD539:AD550),0),0)</f>
        <v>0</v>
      </c>
      <c r="AF550" s="17">
        <f t="shared" si="76"/>
        <v>0</v>
      </c>
      <c r="AG550" s="17">
        <f t="shared" si="77"/>
        <v>0</v>
      </c>
      <c r="AH550" s="3" t="str">
        <f>IF(B550&lt;='Input sheet(dashboard)'!$D$27*12,AH549*(1+'Input sheet(dashboard)'!$E$25)+AG550," ")</f>
        <v xml:space="preserve"> </v>
      </c>
    </row>
    <row r="551" spans="2:34">
      <c r="B551">
        <f t="shared" si="72"/>
        <v>548</v>
      </c>
      <c r="C551">
        <f t="shared" si="79"/>
        <v>46</v>
      </c>
      <c r="D551">
        <f t="shared" si="80"/>
        <v>8</v>
      </c>
      <c r="E551" s="15">
        <f>IF(C551&lt;='Input sheet(dashboard)'!$D$6, -PMT('Input sheet(dashboard)'!$E$5,'Input sheet(dashboard)'!$D$6*12,'Input sheet(dashboard)'!$D$3*'Input sheet(dashboard)'!$D$4),0)</f>
        <v>0</v>
      </c>
      <c r="F551" s="3">
        <f>I550*'Input sheet(dashboard)'!$E$5</f>
        <v>1.4909857590321685E-11</v>
      </c>
      <c r="G551" s="3">
        <f>IF(C551&lt;='Input sheet(dashboard)'!$D$6,E551*'Input sheet(dashboard)'!$D$7,0)</f>
        <v>0</v>
      </c>
      <c r="H551" s="3">
        <f t="shared" si="73"/>
        <v>-1.4909857590321685E-11</v>
      </c>
      <c r="I551" s="3">
        <f t="shared" si="74"/>
        <v>4.1078889119187946E-9</v>
      </c>
      <c r="J551" s="3">
        <f>IF(B551&lt;='Input sheet(dashboard)'!$D$27*12,'Input sheet(dashboard)'!$D$3*(1+'Input sheet(dashboard)'!$E$24)^B551,0)</f>
        <v>0</v>
      </c>
      <c r="K551" s="3">
        <f>IF(B551&lt;='Input sheet(dashboard)'!$D$27*12,J551*'Input sheet(dashboard)'!$E$8,0)</f>
        <v>0</v>
      </c>
      <c r="L551" s="3">
        <f>IF(B551&lt;='Input sheet(dashboard)'!$D$27*12,'Input sheet(dashboard)'!$D$9*(1+'Input sheet(dashboard)'!$E$22)^B551,0)</f>
        <v>0</v>
      </c>
      <c r="M551" s="3">
        <f>IF(B551=1,'Input sheet(dashboard)'!$D$3*'Input sheet(dashboard)'!$D$10,0)</f>
        <v>0</v>
      </c>
      <c r="N551" s="3">
        <f>IF(B551='Input sheet(dashboard)'!$D$27*12,J551*'Input sheet(dashboard)'!$D$11,0)</f>
        <v>0</v>
      </c>
      <c r="O551" s="3">
        <f>IF(SUM(F551:F562)&gt;=150000,150000/12*'Input sheet(dashboard)'!$D$28,SUM(F551:F562)/12*'Input sheet(dashboard)'!$D$28)</f>
        <v>2.2818358227881371E-12</v>
      </c>
      <c r="P551" s="3">
        <f t="shared" si="78"/>
        <v>0</v>
      </c>
      <c r="Q551" s="3">
        <f>IF(B551&lt;='Input sheet(dashboard)'!$D$27*12,'Input sheet(dashboard)'!$D$12/12,0)</f>
        <v>0</v>
      </c>
      <c r="R551" s="3">
        <f>IF(B551&lt;='Input sheet(dashboard)'!$D$27*12,('Input sheet(dashboard)'!$D$15/12)*(1+'Input sheet(dashboard)'!$E$22)^Calculations!B551,0)</f>
        <v>0</v>
      </c>
      <c r="S551" s="3">
        <f>IF(B551&lt;='Input sheet(dashboard)'!$D$27*12,(E551+G551+K551+L551-O551+M551+Q551+R551),0)</f>
        <v>0</v>
      </c>
      <c r="T551" s="3">
        <f>IF(B551&lt;='Input sheet(dashboard)'!$D$27*12,IF(D551=12,SUM(S540:S551),0),0)</f>
        <v>0</v>
      </c>
      <c r="U551" s="3">
        <f>IF(B551&lt;='Input sheet(dashboard)'!$D$27*12,IF(S551&lt;AD551,AD551-S551,0),0)</f>
        <v>0</v>
      </c>
      <c r="V551" s="3">
        <f>IF(B551&lt;='Input sheet(dashboard)'!$D$27*12,V550*(1+'Input sheet(dashboard)'!$E$25)+U551,0)</f>
        <v>0</v>
      </c>
      <c r="W551" s="17">
        <f>IF(B551&lt;='Input sheet(dashboard)'!$D$27*12,J551-I551+V551-N551,0)</f>
        <v>0</v>
      </c>
      <c r="X551" s="3">
        <f>IF(B551&lt;='Input sheet(dashboard)'!$D$27*12,'Input sheet(dashboard)'!$D$17*(1+'Input sheet(dashboard)'!$E$23)^(B551-1),0)</f>
        <v>0</v>
      </c>
      <c r="Y551" s="3"/>
      <c r="Z551" s="18"/>
      <c r="AA551" s="18"/>
      <c r="AB551" s="3">
        <f>IF(B551=1,'Input sheet(dashboard)'!$D$18*Calculations!X551,IF(Calculations!B551=12*'Input sheet(dashboard)'!$D$27,'Input sheet(dashboard)'!$D$18*-Calculations!X551,0))</f>
        <v>0</v>
      </c>
      <c r="AC551" s="3">
        <f>IF(B551&lt;='Input sheet(dashboard)'!$D$27*12,IF(MOD(B550,'Input sheet(dashboard)'!$D$19*12),0,'Input sheet(dashboard)'!$D$20*(1+'Input sheet(dashboard)'!$E$22)^Calculations!B551),0)</f>
        <v>0</v>
      </c>
      <c r="AD551" s="17">
        <f t="shared" si="75"/>
        <v>0</v>
      </c>
      <c r="AE551" s="17">
        <f>IF(B551&lt;='Input sheet(dashboard)'!$D$27*12,IF(D551=12,SUM(AD540:AD551),0),0)</f>
        <v>0</v>
      </c>
      <c r="AF551" s="17">
        <f t="shared" si="76"/>
        <v>0</v>
      </c>
      <c r="AG551" s="17">
        <f t="shared" si="77"/>
        <v>0</v>
      </c>
      <c r="AH551" s="3" t="str">
        <f>IF(B551&lt;='Input sheet(dashboard)'!$D$27*12,AH550*(1+'Input sheet(dashboard)'!$E$25)+AG551," ")</f>
        <v xml:space="preserve"> </v>
      </c>
    </row>
    <row r="552" spans="2:34">
      <c r="B552">
        <f t="shared" si="72"/>
        <v>549</v>
      </c>
      <c r="C552">
        <f t="shared" si="79"/>
        <v>46</v>
      </c>
      <c r="D552">
        <f t="shared" si="80"/>
        <v>9</v>
      </c>
      <c r="E552" s="15">
        <f>IF(C552&lt;='Input sheet(dashboard)'!$D$6, -PMT('Input sheet(dashboard)'!$E$5,'Input sheet(dashboard)'!$D$6*12,'Input sheet(dashboard)'!$D$3*'Input sheet(dashboard)'!$D$4),0)</f>
        <v>0</v>
      </c>
      <c r="F552" s="3">
        <f>I551*'Input sheet(dashboard)'!$E$5</f>
        <v>1.496417105013003E-11</v>
      </c>
      <c r="G552" s="3">
        <f>IF(C552&lt;='Input sheet(dashboard)'!$D$6,E552*'Input sheet(dashboard)'!$D$7,0)</f>
        <v>0</v>
      </c>
      <c r="H552" s="3">
        <f t="shared" si="73"/>
        <v>-1.496417105013003E-11</v>
      </c>
      <c r="I552" s="3">
        <f t="shared" si="74"/>
        <v>4.1228530829689247E-9</v>
      </c>
      <c r="J552" s="3">
        <f>IF(B552&lt;='Input sheet(dashboard)'!$D$27*12,'Input sheet(dashboard)'!$D$3*(1+'Input sheet(dashboard)'!$E$24)^B552,0)</f>
        <v>0</v>
      </c>
      <c r="K552" s="3">
        <f>IF(B552&lt;='Input sheet(dashboard)'!$D$27*12,J552*'Input sheet(dashboard)'!$E$8,0)</f>
        <v>0</v>
      </c>
      <c r="L552" s="3">
        <f>IF(B552&lt;='Input sheet(dashboard)'!$D$27*12,'Input sheet(dashboard)'!$D$9*(1+'Input sheet(dashboard)'!$E$22)^B552,0)</f>
        <v>0</v>
      </c>
      <c r="M552" s="3">
        <f>IF(B552=1,'Input sheet(dashboard)'!$D$3*'Input sheet(dashboard)'!$D$10,0)</f>
        <v>0</v>
      </c>
      <c r="N552" s="3">
        <f>IF(B552='Input sheet(dashboard)'!$D$27*12,J552*'Input sheet(dashboard)'!$D$11,0)</f>
        <v>0</v>
      </c>
      <c r="O552" s="3">
        <f>IF(SUM(F552:F563)&gt;=150000,150000/12*'Input sheet(dashboard)'!$D$28,SUM(F552:F563)/12*'Input sheet(dashboard)'!$D$28)</f>
        <v>2.2901480683947411E-12</v>
      </c>
      <c r="P552" s="3">
        <f t="shared" si="78"/>
        <v>0</v>
      </c>
      <c r="Q552" s="3">
        <f>IF(B552&lt;='Input sheet(dashboard)'!$D$27*12,'Input sheet(dashboard)'!$D$12/12,0)</f>
        <v>0</v>
      </c>
      <c r="R552" s="3">
        <f>IF(B552&lt;='Input sheet(dashboard)'!$D$27*12,('Input sheet(dashboard)'!$D$15/12)*(1+'Input sheet(dashboard)'!$E$22)^Calculations!B552,0)</f>
        <v>0</v>
      </c>
      <c r="S552" s="3">
        <f>IF(B552&lt;='Input sheet(dashboard)'!$D$27*12,(E552+G552+K552+L552-O552+M552+Q552+R552),0)</f>
        <v>0</v>
      </c>
      <c r="T552" s="3">
        <f>IF(B552&lt;='Input sheet(dashboard)'!$D$27*12,IF(D552=12,SUM(S541:S552),0),0)</f>
        <v>0</v>
      </c>
      <c r="U552" s="3">
        <f>IF(B552&lt;='Input sheet(dashboard)'!$D$27*12,IF(S552&lt;AD552,AD552-S552,0),0)</f>
        <v>0</v>
      </c>
      <c r="V552" s="3">
        <f>IF(B552&lt;='Input sheet(dashboard)'!$D$27*12,V551*(1+'Input sheet(dashboard)'!$E$25)+U552,0)</f>
        <v>0</v>
      </c>
      <c r="W552" s="17">
        <f>IF(B552&lt;='Input sheet(dashboard)'!$D$27*12,J552-I552+V552-N552,0)</f>
        <v>0</v>
      </c>
      <c r="X552" s="3">
        <f>IF(B552&lt;='Input sheet(dashboard)'!$D$27*12,'Input sheet(dashboard)'!$D$17*(1+'Input sheet(dashboard)'!$E$23)^(B552-1),0)</f>
        <v>0</v>
      </c>
      <c r="Y552" s="3"/>
      <c r="Z552" s="18"/>
      <c r="AA552" s="18"/>
      <c r="AB552" s="3">
        <f>IF(B552=1,'Input sheet(dashboard)'!$D$18*Calculations!X552,IF(Calculations!B552=12*'Input sheet(dashboard)'!$D$27,'Input sheet(dashboard)'!$D$18*-Calculations!X552,0))</f>
        <v>0</v>
      </c>
      <c r="AC552" s="3">
        <f>IF(B552&lt;='Input sheet(dashboard)'!$D$27*12,IF(MOD(B551,'Input sheet(dashboard)'!$D$19*12),0,'Input sheet(dashboard)'!$D$20*(1+'Input sheet(dashboard)'!$E$22)^Calculations!B552),0)</f>
        <v>0</v>
      </c>
      <c r="AD552" s="17">
        <f t="shared" si="75"/>
        <v>0</v>
      </c>
      <c r="AE552" s="17">
        <f>IF(B552&lt;='Input sheet(dashboard)'!$D$27*12,IF(D552=12,SUM(AD541:AD552),0),0)</f>
        <v>0</v>
      </c>
      <c r="AF552" s="17">
        <f t="shared" si="76"/>
        <v>0</v>
      </c>
      <c r="AG552" s="17">
        <f t="shared" si="77"/>
        <v>0</v>
      </c>
      <c r="AH552" s="3" t="str">
        <f>IF(B552&lt;='Input sheet(dashboard)'!$D$27*12,AH551*(1+'Input sheet(dashboard)'!$E$25)+AG552," ")</f>
        <v xml:space="preserve"> </v>
      </c>
    </row>
    <row r="553" spans="2:34">
      <c r="B553">
        <f t="shared" si="72"/>
        <v>550</v>
      </c>
      <c r="C553">
        <f t="shared" si="79"/>
        <v>46</v>
      </c>
      <c r="D553">
        <f t="shared" si="80"/>
        <v>10</v>
      </c>
      <c r="E553" s="15">
        <f>IF(C553&lt;='Input sheet(dashboard)'!$D$6, -PMT('Input sheet(dashboard)'!$E$5,'Input sheet(dashboard)'!$D$6*12,'Input sheet(dashboard)'!$D$3*'Input sheet(dashboard)'!$D$4),0)</f>
        <v>0</v>
      </c>
      <c r="F553" s="3">
        <f>I552*'Input sheet(dashboard)'!$E$5</f>
        <v>1.5018682362392601E-11</v>
      </c>
      <c r="G553" s="3">
        <f>IF(C553&lt;='Input sheet(dashboard)'!$D$6,E553*'Input sheet(dashboard)'!$D$7,0)</f>
        <v>0</v>
      </c>
      <c r="H553" s="3">
        <f t="shared" si="73"/>
        <v>-1.5018682362392601E-11</v>
      </c>
      <c r="I553" s="3">
        <f t="shared" si="74"/>
        <v>4.1378717653313171E-9</v>
      </c>
      <c r="J553" s="3">
        <f>IF(B553&lt;='Input sheet(dashboard)'!$D$27*12,'Input sheet(dashboard)'!$D$3*(1+'Input sheet(dashboard)'!$E$24)^B553,0)</f>
        <v>0</v>
      </c>
      <c r="K553" s="3">
        <f>IF(B553&lt;='Input sheet(dashboard)'!$D$27*12,J553*'Input sheet(dashboard)'!$E$8,0)</f>
        <v>0</v>
      </c>
      <c r="L553" s="3">
        <f>IF(B553&lt;='Input sheet(dashboard)'!$D$27*12,'Input sheet(dashboard)'!$D$9*(1+'Input sheet(dashboard)'!$E$22)^B553,0)</f>
        <v>0</v>
      </c>
      <c r="M553" s="3">
        <f>IF(B553=1,'Input sheet(dashboard)'!$D$3*'Input sheet(dashboard)'!$D$10,0)</f>
        <v>0</v>
      </c>
      <c r="N553" s="3">
        <f>IF(B553='Input sheet(dashboard)'!$D$27*12,J553*'Input sheet(dashboard)'!$D$11,0)</f>
        <v>0</v>
      </c>
      <c r="O553" s="3">
        <f>IF(SUM(F553:F564)&gt;=150000,150000/12*'Input sheet(dashboard)'!$D$28,SUM(F553:F564)/12*'Input sheet(dashboard)'!$D$28)</f>
        <v>2.2984905937551888E-12</v>
      </c>
      <c r="P553" s="3">
        <f t="shared" si="78"/>
        <v>0</v>
      </c>
      <c r="Q553" s="3">
        <f>IF(B553&lt;='Input sheet(dashboard)'!$D$27*12,'Input sheet(dashboard)'!$D$12/12,0)</f>
        <v>0</v>
      </c>
      <c r="R553" s="3">
        <f>IF(B553&lt;='Input sheet(dashboard)'!$D$27*12,('Input sheet(dashboard)'!$D$15/12)*(1+'Input sheet(dashboard)'!$E$22)^Calculations!B553,0)</f>
        <v>0</v>
      </c>
      <c r="S553" s="3">
        <f>IF(B553&lt;='Input sheet(dashboard)'!$D$27*12,(E553+G553+K553+L553-O553+M553+Q553+R553),0)</f>
        <v>0</v>
      </c>
      <c r="T553" s="3">
        <f>IF(B553&lt;='Input sheet(dashboard)'!$D$27*12,IF(D553=12,SUM(S542:S553),0),0)</f>
        <v>0</v>
      </c>
      <c r="U553" s="3">
        <f>IF(B553&lt;='Input sheet(dashboard)'!$D$27*12,IF(S553&lt;AD553,AD553-S553,0),0)</f>
        <v>0</v>
      </c>
      <c r="V553" s="3">
        <f>IF(B553&lt;='Input sheet(dashboard)'!$D$27*12,V552*(1+'Input sheet(dashboard)'!$E$25)+U553,0)</f>
        <v>0</v>
      </c>
      <c r="W553" s="17">
        <f>IF(B553&lt;='Input sheet(dashboard)'!$D$27*12,J553-I553+V553-N553,0)</f>
        <v>0</v>
      </c>
      <c r="X553" s="3">
        <f>IF(B553&lt;='Input sheet(dashboard)'!$D$27*12,'Input sheet(dashboard)'!$D$17*(1+'Input sheet(dashboard)'!$E$23)^(B553-1),0)</f>
        <v>0</v>
      </c>
      <c r="Y553" s="3"/>
      <c r="Z553" s="18"/>
      <c r="AA553" s="18"/>
      <c r="AB553" s="3">
        <f>IF(B553=1,'Input sheet(dashboard)'!$D$18*Calculations!X553,IF(Calculations!B553=12*'Input sheet(dashboard)'!$D$27,'Input sheet(dashboard)'!$D$18*-Calculations!X553,0))</f>
        <v>0</v>
      </c>
      <c r="AC553" s="3">
        <f>IF(B553&lt;='Input sheet(dashboard)'!$D$27*12,IF(MOD(B552,'Input sheet(dashboard)'!$D$19*12),0,'Input sheet(dashboard)'!$D$20*(1+'Input sheet(dashboard)'!$E$22)^Calculations!B553),0)</f>
        <v>0</v>
      </c>
      <c r="AD553" s="17">
        <f t="shared" si="75"/>
        <v>0</v>
      </c>
      <c r="AE553" s="17">
        <f>IF(B553&lt;='Input sheet(dashboard)'!$D$27*12,IF(D553=12,SUM(AD542:AD553),0),0)</f>
        <v>0</v>
      </c>
      <c r="AF553" s="17">
        <f t="shared" si="76"/>
        <v>0</v>
      </c>
      <c r="AG553" s="17">
        <f t="shared" si="77"/>
        <v>0</v>
      </c>
      <c r="AH553" s="3" t="str">
        <f>IF(B553&lt;='Input sheet(dashboard)'!$D$27*12,AH552*(1+'Input sheet(dashboard)'!$E$25)+AG553," ")</f>
        <v xml:space="preserve"> </v>
      </c>
    </row>
    <row r="554" spans="2:34">
      <c r="B554">
        <f t="shared" si="72"/>
        <v>551</v>
      </c>
      <c r="C554">
        <f t="shared" si="79"/>
        <v>46</v>
      </c>
      <c r="D554">
        <f t="shared" si="80"/>
        <v>11</v>
      </c>
      <c r="E554" s="15">
        <f>IF(C554&lt;='Input sheet(dashboard)'!$D$6, -PMT('Input sheet(dashboard)'!$E$5,'Input sheet(dashboard)'!$D$6*12,'Input sheet(dashboard)'!$D$3*'Input sheet(dashboard)'!$D$4),0)</f>
        <v>0</v>
      </c>
      <c r="F554" s="3">
        <f>I553*'Input sheet(dashboard)'!$E$5</f>
        <v>1.5073392247844062E-11</v>
      </c>
      <c r="G554" s="3">
        <f>IF(C554&lt;='Input sheet(dashboard)'!$D$6,E554*'Input sheet(dashboard)'!$D$7,0)</f>
        <v>0</v>
      </c>
      <c r="H554" s="3">
        <f t="shared" si="73"/>
        <v>-1.5073392247844062E-11</v>
      </c>
      <c r="I554" s="3">
        <f t="shared" si="74"/>
        <v>4.1529451575791614E-9</v>
      </c>
      <c r="J554" s="3">
        <f>IF(B554&lt;='Input sheet(dashboard)'!$D$27*12,'Input sheet(dashboard)'!$D$3*(1+'Input sheet(dashboard)'!$E$24)^B554,0)</f>
        <v>0</v>
      </c>
      <c r="K554" s="3">
        <f>IF(B554&lt;='Input sheet(dashboard)'!$D$27*12,J554*'Input sheet(dashboard)'!$E$8,0)</f>
        <v>0</v>
      </c>
      <c r="L554" s="3">
        <f>IF(B554&lt;='Input sheet(dashboard)'!$D$27*12,'Input sheet(dashboard)'!$D$9*(1+'Input sheet(dashboard)'!$E$22)^B554,0)</f>
        <v>0</v>
      </c>
      <c r="M554" s="3">
        <f>IF(B554=1,'Input sheet(dashboard)'!$D$3*'Input sheet(dashboard)'!$D$10,0)</f>
        <v>0</v>
      </c>
      <c r="N554" s="3">
        <f>IF(B554='Input sheet(dashboard)'!$D$27*12,J554*'Input sheet(dashboard)'!$D$11,0)</f>
        <v>0</v>
      </c>
      <c r="O554" s="3">
        <f>IF(SUM(F554:F565)&gt;=150000,150000/12*'Input sheet(dashboard)'!$D$28,SUM(F554:F565)/12*'Input sheet(dashboard)'!$D$28)</f>
        <v>2.306863509172223E-12</v>
      </c>
      <c r="P554" s="3">
        <f t="shared" si="78"/>
        <v>0</v>
      </c>
      <c r="Q554" s="3">
        <f>IF(B554&lt;='Input sheet(dashboard)'!$D$27*12,'Input sheet(dashboard)'!$D$12/12,0)</f>
        <v>0</v>
      </c>
      <c r="R554" s="3">
        <f>IF(B554&lt;='Input sheet(dashboard)'!$D$27*12,('Input sheet(dashboard)'!$D$15/12)*(1+'Input sheet(dashboard)'!$E$22)^Calculations!B554,0)</f>
        <v>0</v>
      </c>
      <c r="S554" s="3">
        <f>IF(B554&lt;='Input sheet(dashboard)'!$D$27*12,(E554+G554+K554+L554-O554+M554+Q554+R554),0)</f>
        <v>0</v>
      </c>
      <c r="T554" s="3">
        <f>IF(B554&lt;='Input sheet(dashboard)'!$D$27*12,IF(D554=12,SUM(S543:S554),0),0)</f>
        <v>0</v>
      </c>
      <c r="U554" s="3">
        <f>IF(B554&lt;='Input sheet(dashboard)'!$D$27*12,IF(S554&lt;AD554,AD554-S554,0),0)</f>
        <v>0</v>
      </c>
      <c r="V554" s="3">
        <f>IF(B554&lt;='Input sheet(dashboard)'!$D$27*12,V553*(1+'Input sheet(dashboard)'!$E$25)+U554,0)</f>
        <v>0</v>
      </c>
      <c r="W554" s="17">
        <f>IF(B554&lt;='Input sheet(dashboard)'!$D$27*12,J554-I554+V554-N554,0)</f>
        <v>0</v>
      </c>
      <c r="X554" s="3">
        <f>IF(B554&lt;='Input sheet(dashboard)'!$D$27*12,'Input sheet(dashboard)'!$D$17*(1+'Input sheet(dashboard)'!$E$23)^(B554-1),0)</f>
        <v>0</v>
      </c>
      <c r="Y554" s="3"/>
      <c r="Z554" s="18"/>
      <c r="AA554" s="18"/>
      <c r="AB554" s="3">
        <f>IF(B554=1,'Input sheet(dashboard)'!$D$18*Calculations!X554,IF(Calculations!B554=12*'Input sheet(dashboard)'!$D$27,'Input sheet(dashboard)'!$D$18*-Calculations!X554,0))</f>
        <v>0</v>
      </c>
      <c r="AC554" s="3">
        <f>IF(B554&lt;='Input sheet(dashboard)'!$D$27*12,IF(MOD(B553,'Input sheet(dashboard)'!$D$19*12),0,'Input sheet(dashboard)'!$D$20*(1+'Input sheet(dashboard)'!$E$22)^Calculations!B554),0)</f>
        <v>0</v>
      </c>
      <c r="AD554" s="17">
        <f t="shared" si="75"/>
        <v>0</v>
      </c>
      <c r="AE554" s="17">
        <f>IF(B554&lt;='Input sheet(dashboard)'!$D$27*12,IF(D554=12,SUM(AD543:AD554),0),0)</f>
        <v>0</v>
      </c>
      <c r="AF554" s="17">
        <f t="shared" si="76"/>
        <v>0</v>
      </c>
      <c r="AG554" s="17">
        <f t="shared" si="77"/>
        <v>0</v>
      </c>
      <c r="AH554" s="3" t="str">
        <f>IF(B554&lt;='Input sheet(dashboard)'!$D$27*12,AH553*(1+'Input sheet(dashboard)'!$E$25)+AG554," ")</f>
        <v xml:space="preserve"> </v>
      </c>
    </row>
    <row r="555" spans="2:34">
      <c r="B555">
        <f t="shared" si="72"/>
        <v>552</v>
      </c>
      <c r="C555">
        <f t="shared" si="79"/>
        <v>46</v>
      </c>
      <c r="D555">
        <f t="shared" si="80"/>
        <v>12</v>
      </c>
      <c r="E555" s="15">
        <f>IF(C555&lt;='Input sheet(dashboard)'!$D$6, -PMT('Input sheet(dashboard)'!$E$5,'Input sheet(dashboard)'!$D$6*12,'Input sheet(dashboard)'!$D$3*'Input sheet(dashboard)'!$D$4),0)</f>
        <v>0</v>
      </c>
      <c r="F555" s="3">
        <f>I554*'Input sheet(dashboard)'!$E$5</f>
        <v>1.5128301429844575E-11</v>
      </c>
      <c r="G555" s="3">
        <f>IF(C555&lt;='Input sheet(dashboard)'!$D$6,E555*'Input sheet(dashboard)'!$D$7,0)</f>
        <v>0</v>
      </c>
      <c r="H555" s="3">
        <f t="shared" si="73"/>
        <v>-1.5128301429844575E-11</v>
      </c>
      <c r="I555" s="3">
        <f t="shared" si="74"/>
        <v>4.168073459009006E-9</v>
      </c>
      <c r="J555" s="3">
        <f>IF(B555&lt;='Input sheet(dashboard)'!$D$27*12,'Input sheet(dashboard)'!$D$3*(1+'Input sheet(dashboard)'!$E$24)^B555,0)</f>
        <v>0</v>
      </c>
      <c r="K555" s="3">
        <f>IF(B555&lt;='Input sheet(dashboard)'!$D$27*12,J555*'Input sheet(dashboard)'!$E$8,0)</f>
        <v>0</v>
      </c>
      <c r="L555" s="3">
        <f>IF(B555&lt;='Input sheet(dashboard)'!$D$27*12,'Input sheet(dashboard)'!$D$9*(1+'Input sheet(dashboard)'!$E$22)^B555,0)</f>
        <v>0</v>
      </c>
      <c r="M555" s="3">
        <f>IF(B555=1,'Input sheet(dashboard)'!$D$3*'Input sheet(dashboard)'!$D$10,0)</f>
        <v>0</v>
      </c>
      <c r="N555" s="3">
        <f>IF(B555='Input sheet(dashboard)'!$D$27*12,J555*'Input sheet(dashboard)'!$D$11,0)</f>
        <v>0</v>
      </c>
      <c r="O555" s="3">
        <f>IF(SUM(F555:F566)&gt;=150000,150000/12*'Input sheet(dashboard)'!$D$28,SUM(F555:F566)/12*'Input sheet(dashboard)'!$D$28)</f>
        <v>2.3152669253503961E-12</v>
      </c>
      <c r="P555" s="3">
        <f t="shared" si="78"/>
        <v>2.8971376654291467E-11</v>
      </c>
      <c r="Q555" s="3">
        <f>IF(B555&lt;='Input sheet(dashboard)'!$D$27*12,'Input sheet(dashboard)'!$D$12/12,0)</f>
        <v>0</v>
      </c>
      <c r="R555" s="3">
        <f>IF(B555&lt;='Input sheet(dashboard)'!$D$27*12,('Input sheet(dashboard)'!$D$15/12)*(1+'Input sheet(dashboard)'!$E$22)^Calculations!B555,0)</f>
        <v>0</v>
      </c>
      <c r="S555" s="3">
        <f>IF(B555&lt;='Input sheet(dashboard)'!$D$27*12,(E555+G555+K555+L555-O555+M555+Q555+R555),0)</f>
        <v>0</v>
      </c>
      <c r="T555" s="3">
        <f>IF(B555&lt;='Input sheet(dashboard)'!$D$27*12,IF(D555=12,SUM(S544:S555),0),0)</f>
        <v>0</v>
      </c>
      <c r="U555" s="3">
        <f>IF(B555&lt;='Input sheet(dashboard)'!$D$27*12,IF(S555&lt;AD555,AD555-S555,0),0)</f>
        <v>0</v>
      </c>
      <c r="V555" s="3">
        <f>IF(B555&lt;='Input sheet(dashboard)'!$D$27*12,V554*(1+'Input sheet(dashboard)'!$E$25)+U555,0)</f>
        <v>0</v>
      </c>
      <c r="W555" s="17">
        <f>IF(B555&lt;='Input sheet(dashboard)'!$D$27*12,J555-I555+V555-N555,0)</f>
        <v>0</v>
      </c>
      <c r="X555" s="3">
        <f>IF(B555&lt;='Input sheet(dashboard)'!$D$27*12,'Input sheet(dashboard)'!$D$17*(1+'Input sheet(dashboard)'!$E$23)^(B555-1),0)</f>
        <v>0</v>
      </c>
      <c r="Y555" s="3"/>
      <c r="Z555" s="18"/>
      <c r="AA555" s="18"/>
      <c r="AB555" s="3">
        <f>IF(B555=1,'Input sheet(dashboard)'!$D$18*Calculations!X555,IF(Calculations!B555=12*'Input sheet(dashboard)'!$D$27,'Input sheet(dashboard)'!$D$18*-Calculations!X555,0))</f>
        <v>0</v>
      </c>
      <c r="AC555" s="3">
        <f>IF(B555&lt;='Input sheet(dashboard)'!$D$27*12,IF(MOD(B554,'Input sheet(dashboard)'!$D$19*12),0,'Input sheet(dashboard)'!$D$20*(1+'Input sheet(dashboard)'!$E$22)^Calculations!B555),0)</f>
        <v>0</v>
      </c>
      <c r="AD555" s="17">
        <f t="shared" si="75"/>
        <v>0</v>
      </c>
      <c r="AE555" s="17">
        <f>IF(B555&lt;='Input sheet(dashboard)'!$D$27*12,IF(D555=12,SUM(AD544:AD555),0),0)</f>
        <v>0</v>
      </c>
      <c r="AF555" s="17">
        <f t="shared" si="76"/>
        <v>0</v>
      </c>
      <c r="AG555" s="17">
        <f t="shared" si="77"/>
        <v>0</v>
      </c>
      <c r="AH555" s="3" t="str">
        <f>IF(B555&lt;='Input sheet(dashboard)'!$D$27*12,AH554*(1+'Input sheet(dashboard)'!$E$25)+AG555," ")</f>
        <v xml:space="preserve"> </v>
      </c>
    </row>
    <row r="556" spans="2:34">
      <c r="B556">
        <f t="shared" si="72"/>
        <v>553</v>
      </c>
      <c r="C556">
        <f t="shared" si="79"/>
        <v>47</v>
      </c>
      <c r="D556">
        <f t="shared" si="80"/>
        <v>1</v>
      </c>
      <c r="E556" s="15">
        <f>IF(C556&lt;='Input sheet(dashboard)'!$D$6, -PMT('Input sheet(dashboard)'!$E$5,'Input sheet(dashboard)'!$D$6*12,'Input sheet(dashboard)'!$D$3*'Input sheet(dashboard)'!$D$4),0)</f>
        <v>0</v>
      </c>
      <c r="F556" s="3">
        <f>I555*'Input sheet(dashboard)'!$E$5</f>
        <v>1.5183410634389346E-11</v>
      </c>
      <c r="G556" s="3">
        <f>IF(C556&lt;='Input sheet(dashboard)'!$D$6,E556*'Input sheet(dashboard)'!$D$7,0)</f>
        <v>0</v>
      </c>
      <c r="H556" s="3">
        <f t="shared" si="73"/>
        <v>-1.5183410634389346E-11</v>
      </c>
      <c r="I556" s="3">
        <f t="shared" si="74"/>
        <v>4.1832568696433956E-9</v>
      </c>
      <c r="J556" s="3">
        <f>IF(B556&lt;='Input sheet(dashboard)'!$D$27*12,'Input sheet(dashboard)'!$D$3*(1+'Input sheet(dashboard)'!$E$24)^B556,0)</f>
        <v>0</v>
      </c>
      <c r="K556" s="3">
        <f>IF(B556&lt;='Input sheet(dashboard)'!$D$27*12,J556*'Input sheet(dashboard)'!$E$8,0)</f>
        <v>0</v>
      </c>
      <c r="L556" s="3">
        <f>IF(B556&lt;='Input sheet(dashboard)'!$D$27*12,'Input sheet(dashboard)'!$D$9*(1+'Input sheet(dashboard)'!$E$22)^B556,0)</f>
        <v>0</v>
      </c>
      <c r="M556" s="3">
        <f>IF(B556=1,'Input sheet(dashboard)'!$D$3*'Input sheet(dashboard)'!$D$10,0)</f>
        <v>0</v>
      </c>
      <c r="N556" s="3">
        <f>IF(B556='Input sheet(dashboard)'!$D$27*12,J556*'Input sheet(dashboard)'!$D$11,0)</f>
        <v>0</v>
      </c>
      <c r="O556" s="3">
        <f>IF(SUM(F556:F567)&gt;=150000,150000/12*'Input sheet(dashboard)'!$D$28,SUM(F556:F567)/12*'Input sheet(dashboard)'!$D$28)</f>
        <v>2.3237009533975341E-12</v>
      </c>
      <c r="P556" s="3">
        <f t="shared" si="78"/>
        <v>0</v>
      </c>
      <c r="Q556" s="3">
        <f>IF(B556&lt;='Input sheet(dashboard)'!$D$27*12,'Input sheet(dashboard)'!$D$12/12,0)</f>
        <v>0</v>
      </c>
      <c r="R556" s="3">
        <f>IF(B556&lt;='Input sheet(dashboard)'!$D$27*12,('Input sheet(dashboard)'!$D$15/12)*(1+'Input sheet(dashboard)'!$E$22)^Calculations!B556,0)</f>
        <v>0</v>
      </c>
      <c r="S556" s="3">
        <f>IF(B556&lt;='Input sheet(dashboard)'!$D$27*12,(E556+G556+K556+L556-O556+M556+Q556+R556),0)</f>
        <v>0</v>
      </c>
      <c r="T556" s="3">
        <f>IF(B556&lt;='Input sheet(dashboard)'!$D$27*12,IF(D556=12,SUM(S545:S556),0),0)</f>
        <v>0</v>
      </c>
      <c r="U556" s="3">
        <f>IF(B556&lt;='Input sheet(dashboard)'!$D$27*12,IF(S556&lt;AD556,AD556-S556,0),0)</f>
        <v>0</v>
      </c>
      <c r="V556" s="3">
        <f>IF(B556&lt;='Input sheet(dashboard)'!$D$27*12,V555*(1+'Input sheet(dashboard)'!$E$25)+U556,0)</f>
        <v>0</v>
      </c>
      <c r="W556" s="17">
        <f>IF(B556&lt;='Input sheet(dashboard)'!$D$27*12,J556-I556+V556-N556,0)</f>
        <v>0</v>
      </c>
      <c r="X556" s="3">
        <f>IF(B556&lt;='Input sheet(dashboard)'!$D$27*12,'Input sheet(dashboard)'!$D$17*(1+'Input sheet(dashboard)'!$E$23)^(B556-1),0)</f>
        <v>0</v>
      </c>
      <c r="Y556" s="3"/>
      <c r="Z556" s="18"/>
      <c r="AA556" s="18"/>
      <c r="AB556" s="3">
        <f>IF(B556=1,'Input sheet(dashboard)'!$D$18*Calculations!X556,IF(Calculations!B556=12*'Input sheet(dashboard)'!$D$27,'Input sheet(dashboard)'!$D$18*-Calculations!X556,0))</f>
        <v>0</v>
      </c>
      <c r="AC556" s="3">
        <f>IF(B556&lt;='Input sheet(dashboard)'!$D$27*12,IF(MOD(B555,'Input sheet(dashboard)'!$D$19*12),0,'Input sheet(dashboard)'!$D$20*(1+'Input sheet(dashboard)'!$E$22)^Calculations!B556),0)</f>
        <v>0</v>
      </c>
      <c r="AD556" s="17">
        <f t="shared" si="75"/>
        <v>0</v>
      </c>
      <c r="AE556" s="17">
        <f>IF(B556&lt;='Input sheet(dashboard)'!$D$27*12,IF(D556=12,SUM(AD545:AD556),0),0)</f>
        <v>0</v>
      </c>
      <c r="AF556" s="17">
        <f t="shared" si="76"/>
        <v>0</v>
      </c>
      <c r="AG556" s="17">
        <f t="shared" si="77"/>
        <v>0</v>
      </c>
      <c r="AH556" s="3" t="str">
        <f>IF(B556&lt;='Input sheet(dashboard)'!$D$27*12,AH555*(1+'Input sheet(dashboard)'!$E$25)+AG556," ")</f>
        <v xml:space="preserve"> </v>
      </c>
    </row>
    <row r="557" spans="2:34">
      <c r="B557">
        <f t="shared" si="72"/>
        <v>554</v>
      </c>
      <c r="C557">
        <f t="shared" si="79"/>
        <v>47</v>
      </c>
      <c r="D557">
        <f t="shared" si="80"/>
        <v>2</v>
      </c>
      <c r="E557" s="15">
        <f>IF(C557&lt;='Input sheet(dashboard)'!$D$6, -PMT('Input sheet(dashboard)'!$E$5,'Input sheet(dashboard)'!$D$6*12,'Input sheet(dashboard)'!$D$3*'Input sheet(dashboard)'!$D$4),0)</f>
        <v>0</v>
      </c>
      <c r="F557" s="3">
        <f>I556*'Input sheet(dashboard)'!$E$5</f>
        <v>1.5238720590118221E-11</v>
      </c>
      <c r="G557" s="3">
        <f>IF(C557&lt;='Input sheet(dashboard)'!$D$6,E557*'Input sheet(dashboard)'!$D$7,0)</f>
        <v>0</v>
      </c>
      <c r="H557" s="3">
        <f t="shared" si="73"/>
        <v>-1.5238720590118221E-11</v>
      </c>
      <c r="I557" s="3">
        <f t="shared" si="74"/>
        <v>4.1984955902335138E-9</v>
      </c>
      <c r="J557" s="3">
        <f>IF(B557&lt;='Input sheet(dashboard)'!$D$27*12,'Input sheet(dashboard)'!$D$3*(1+'Input sheet(dashboard)'!$E$24)^B557,0)</f>
        <v>0</v>
      </c>
      <c r="K557" s="3">
        <f>IF(B557&lt;='Input sheet(dashboard)'!$D$27*12,J557*'Input sheet(dashboard)'!$E$8,0)</f>
        <v>0</v>
      </c>
      <c r="L557" s="3">
        <f>IF(B557&lt;='Input sheet(dashboard)'!$D$27*12,'Input sheet(dashboard)'!$D$9*(1+'Input sheet(dashboard)'!$E$22)^B557,0)</f>
        <v>0</v>
      </c>
      <c r="M557" s="3">
        <f>IF(B557=1,'Input sheet(dashboard)'!$D$3*'Input sheet(dashboard)'!$D$10,0)</f>
        <v>0</v>
      </c>
      <c r="N557" s="3">
        <f>IF(B557='Input sheet(dashboard)'!$D$27*12,J557*'Input sheet(dashboard)'!$D$11,0)</f>
        <v>0</v>
      </c>
      <c r="O557" s="3">
        <f>IF(SUM(F557:F568)&gt;=150000,150000/12*'Input sheet(dashboard)'!$D$28,SUM(F557:F568)/12*'Input sheet(dashboard)'!$D$28)</f>
        <v>2.3321657048262068E-12</v>
      </c>
      <c r="P557" s="3">
        <f t="shared" si="78"/>
        <v>0</v>
      </c>
      <c r="Q557" s="3">
        <f>IF(B557&lt;='Input sheet(dashboard)'!$D$27*12,'Input sheet(dashboard)'!$D$12/12,0)</f>
        <v>0</v>
      </c>
      <c r="R557" s="3">
        <f>IF(B557&lt;='Input sheet(dashboard)'!$D$27*12,('Input sheet(dashboard)'!$D$15/12)*(1+'Input sheet(dashboard)'!$E$22)^Calculations!B557,0)</f>
        <v>0</v>
      </c>
      <c r="S557" s="3">
        <f>IF(B557&lt;='Input sheet(dashboard)'!$D$27*12,(E557+G557+K557+L557-O557+M557+Q557+R557),0)</f>
        <v>0</v>
      </c>
      <c r="T557" s="3">
        <f>IF(B557&lt;='Input sheet(dashboard)'!$D$27*12,IF(D557=12,SUM(S546:S557),0),0)</f>
        <v>0</v>
      </c>
      <c r="U557" s="3">
        <f>IF(B557&lt;='Input sheet(dashboard)'!$D$27*12,IF(S557&lt;AD557,AD557-S557,0),0)</f>
        <v>0</v>
      </c>
      <c r="V557" s="3">
        <f>IF(B557&lt;='Input sheet(dashboard)'!$D$27*12,V556*(1+'Input sheet(dashboard)'!$E$25)+U557,0)</f>
        <v>0</v>
      </c>
      <c r="W557" s="17">
        <f>IF(B557&lt;='Input sheet(dashboard)'!$D$27*12,J557-I557+V557-N557,0)</f>
        <v>0</v>
      </c>
      <c r="X557" s="3">
        <f>IF(B557&lt;='Input sheet(dashboard)'!$D$27*12,'Input sheet(dashboard)'!$D$17*(1+'Input sheet(dashboard)'!$E$23)^(B557-1),0)</f>
        <v>0</v>
      </c>
      <c r="Y557" s="3"/>
      <c r="Z557" s="18"/>
      <c r="AA557" s="18"/>
      <c r="AB557" s="3">
        <f>IF(B557=1,'Input sheet(dashboard)'!$D$18*Calculations!X557,IF(Calculations!B557=12*'Input sheet(dashboard)'!$D$27,'Input sheet(dashboard)'!$D$18*-Calculations!X557,0))</f>
        <v>0</v>
      </c>
      <c r="AC557" s="3">
        <f>IF(B557&lt;='Input sheet(dashboard)'!$D$27*12,IF(MOD(B556,'Input sheet(dashboard)'!$D$19*12),0,'Input sheet(dashboard)'!$D$20*(1+'Input sheet(dashboard)'!$E$22)^Calculations!B557),0)</f>
        <v>0</v>
      </c>
      <c r="AD557" s="17">
        <f t="shared" si="75"/>
        <v>0</v>
      </c>
      <c r="AE557" s="17">
        <f>IF(B557&lt;='Input sheet(dashboard)'!$D$27*12,IF(D557=12,SUM(AD546:AD557),0),0)</f>
        <v>0</v>
      </c>
      <c r="AF557" s="17">
        <f t="shared" si="76"/>
        <v>0</v>
      </c>
      <c r="AG557" s="17">
        <f t="shared" si="77"/>
        <v>0</v>
      </c>
      <c r="AH557" s="3" t="str">
        <f>IF(B557&lt;='Input sheet(dashboard)'!$D$27*12,AH556*(1+'Input sheet(dashboard)'!$E$25)+AG557," ")</f>
        <v xml:space="preserve"> </v>
      </c>
    </row>
    <row r="558" spans="2:34">
      <c r="B558">
        <f t="shared" si="72"/>
        <v>555</v>
      </c>
      <c r="C558">
        <f t="shared" si="79"/>
        <v>47</v>
      </c>
      <c r="D558">
        <f t="shared" si="80"/>
        <v>3</v>
      </c>
      <c r="E558" s="15">
        <f>IF(C558&lt;='Input sheet(dashboard)'!$D$6, -PMT('Input sheet(dashboard)'!$E$5,'Input sheet(dashboard)'!$D$6*12,'Input sheet(dashboard)'!$D$3*'Input sheet(dashboard)'!$D$4),0)</f>
        <v>0</v>
      </c>
      <c r="F558" s="3">
        <f>I557*'Input sheet(dashboard)'!$E$5</f>
        <v>1.5294232028325336E-11</v>
      </c>
      <c r="G558" s="3">
        <f>IF(C558&lt;='Input sheet(dashboard)'!$D$6,E558*'Input sheet(dashboard)'!$D$7,0)</f>
        <v>0</v>
      </c>
      <c r="H558" s="3">
        <f t="shared" si="73"/>
        <v>-1.5294232028325336E-11</v>
      </c>
      <c r="I558" s="3">
        <f t="shared" si="74"/>
        <v>4.2137898222618396E-9</v>
      </c>
      <c r="J558" s="3">
        <f>IF(B558&lt;='Input sheet(dashboard)'!$D$27*12,'Input sheet(dashboard)'!$D$3*(1+'Input sheet(dashboard)'!$E$24)^B558,0)</f>
        <v>0</v>
      </c>
      <c r="K558" s="3">
        <f>IF(B558&lt;='Input sheet(dashboard)'!$D$27*12,J558*'Input sheet(dashboard)'!$E$8,0)</f>
        <v>0</v>
      </c>
      <c r="L558" s="3">
        <f>IF(B558&lt;='Input sheet(dashboard)'!$D$27*12,'Input sheet(dashboard)'!$D$9*(1+'Input sheet(dashboard)'!$E$22)^B558,0)</f>
        <v>0</v>
      </c>
      <c r="M558" s="3">
        <f>IF(B558=1,'Input sheet(dashboard)'!$D$3*'Input sheet(dashboard)'!$D$10,0)</f>
        <v>0</v>
      </c>
      <c r="N558" s="3">
        <f>IF(B558='Input sheet(dashboard)'!$D$27*12,J558*'Input sheet(dashboard)'!$D$11,0)</f>
        <v>0</v>
      </c>
      <c r="O558" s="3">
        <f>IF(SUM(F558:F569)&gt;=150000,150000/12*'Input sheet(dashboard)'!$D$28,SUM(F558:F569)/12*'Input sheet(dashboard)'!$D$28)</f>
        <v>2.3406612915551978E-12</v>
      </c>
      <c r="P558" s="3">
        <f t="shared" si="78"/>
        <v>0</v>
      </c>
      <c r="Q558" s="3">
        <f>IF(B558&lt;='Input sheet(dashboard)'!$D$27*12,'Input sheet(dashboard)'!$D$12/12,0)</f>
        <v>0</v>
      </c>
      <c r="R558" s="3">
        <f>IF(B558&lt;='Input sheet(dashboard)'!$D$27*12,('Input sheet(dashboard)'!$D$15/12)*(1+'Input sheet(dashboard)'!$E$22)^Calculations!B558,0)</f>
        <v>0</v>
      </c>
      <c r="S558" s="3">
        <f>IF(B558&lt;='Input sheet(dashboard)'!$D$27*12,(E558+G558+K558+L558-O558+M558+Q558+R558),0)</f>
        <v>0</v>
      </c>
      <c r="T558" s="3">
        <f>IF(B558&lt;='Input sheet(dashboard)'!$D$27*12,IF(D558=12,SUM(S547:S558),0),0)</f>
        <v>0</v>
      </c>
      <c r="U558" s="3">
        <f>IF(B558&lt;='Input sheet(dashboard)'!$D$27*12,IF(S558&lt;AD558,AD558-S558,0),0)</f>
        <v>0</v>
      </c>
      <c r="V558" s="3">
        <f>IF(B558&lt;='Input sheet(dashboard)'!$D$27*12,V557*(1+'Input sheet(dashboard)'!$E$25)+U558,0)</f>
        <v>0</v>
      </c>
      <c r="W558" s="17">
        <f>IF(B558&lt;='Input sheet(dashboard)'!$D$27*12,J558-I558+V558-N558,0)</f>
        <v>0</v>
      </c>
      <c r="X558" s="3">
        <f>IF(B558&lt;='Input sheet(dashboard)'!$D$27*12,'Input sheet(dashboard)'!$D$17*(1+'Input sheet(dashboard)'!$E$23)^(B558-1),0)</f>
        <v>0</v>
      </c>
      <c r="Y558" s="3"/>
      <c r="Z558" s="18"/>
      <c r="AA558" s="18"/>
      <c r="AB558" s="3">
        <f>IF(B558=1,'Input sheet(dashboard)'!$D$18*Calculations!X558,IF(Calculations!B558=12*'Input sheet(dashboard)'!$D$27,'Input sheet(dashboard)'!$D$18*-Calculations!X558,0))</f>
        <v>0</v>
      </c>
      <c r="AC558" s="3">
        <f>IF(B558&lt;='Input sheet(dashboard)'!$D$27*12,IF(MOD(B557,'Input sheet(dashboard)'!$D$19*12),0,'Input sheet(dashboard)'!$D$20*(1+'Input sheet(dashboard)'!$E$22)^Calculations!B558),0)</f>
        <v>0</v>
      </c>
      <c r="AD558" s="17">
        <f t="shared" si="75"/>
        <v>0</v>
      </c>
      <c r="AE558" s="17">
        <f>IF(B558&lt;='Input sheet(dashboard)'!$D$27*12,IF(D558=12,SUM(AD547:AD558),0),0)</f>
        <v>0</v>
      </c>
      <c r="AF558" s="17">
        <f t="shared" si="76"/>
        <v>0</v>
      </c>
      <c r="AG558" s="17">
        <f t="shared" si="77"/>
        <v>0</v>
      </c>
      <c r="AH558" s="3" t="str">
        <f>IF(B558&lt;='Input sheet(dashboard)'!$D$27*12,AH557*(1+'Input sheet(dashboard)'!$E$25)+AG558," ")</f>
        <v xml:space="preserve"> </v>
      </c>
    </row>
    <row r="559" spans="2:34">
      <c r="B559">
        <f t="shared" si="72"/>
        <v>556</v>
      </c>
      <c r="C559">
        <f t="shared" si="79"/>
        <v>47</v>
      </c>
      <c r="D559">
        <f t="shared" si="80"/>
        <v>4</v>
      </c>
      <c r="E559" s="15">
        <f>IF(C559&lt;='Input sheet(dashboard)'!$D$6, -PMT('Input sheet(dashboard)'!$E$5,'Input sheet(dashboard)'!$D$6*12,'Input sheet(dashboard)'!$D$3*'Input sheet(dashboard)'!$D$4),0)</f>
        <v>0</v>
      </c>
      <c r="F559" s="3">
        <f>I558*'Input sheet(dashboard)'!$E$5</f>
        <v>1.5349945682968773E-11</v>
      </c>
      <c r="G559" s="3">
        <f>IF(C559&lt;='Input sheet(dashboard)'!$D$6,E559*'Input sheet(dashboard)'!$D$7,0)</f>
        <v>0</v>
      </c>
      <c r="H559" s="3">
        <f t="shared" si="73"/>
        <v>-1.5349945682968773E-11</v>
      </c>
      <c r="I559" s="3">
        <f t="shared" si="74"/>
        <v>4.2291397679448083E-9</v>
      </c>
      <c r="J559" s="3">
        <f>IF(B559&lt;='Input sheet(dashboard)'!$D$27*12,'Input sheet(dashboard)'!$D$3*(1+'Input sheet(dashboard)'!$E$24)^B559,0)</f>
        <v>0</v>
      </c>
      <c r="K559" s="3">
        <f>IF(B559&lt;='Input sheet(dashboard)'!$D$27*12,J559*'Input sheet(dashboard)'!$E$8,0)</f>
        <v>0</v>
      </c>
      <c r="L559" s="3">
        <f>IF(B559&lt;='Input sheet(dashboard)'!$D$27*12,'Input sheet(dashboard)'!$D$9*(1+'Input sheet(dashboard)'!$E$22)^B559,0)</f>
        <v>0</v>
      </c>
      <c r="M559" s="3">
        <f>IF(B559=1,'Input sheet(dashboard)'!$D$3*'Input sheet(dashboard)'!$D$10,0)</f>
        <v>0</v>
      </c>
      <c r="N559" s="3">
        <f>IF(B559='Input sheet(dashboard)'!$D$27*12,J559*'Input sheet(dashboard)'!$D$11,0)</f>
        <v>0</v>
      </c>
      <c r="O559" s="3">
        <f>IF(SUM(F559:F570)&gt;=150000,150000/12*'Input sheet(dashboard)'!$D$28,SUM(F559:F570)/12*'Input sheet(dashboard)'!$D$28)</f>
        <v>2.3491878259109888E-12</v>
      </c>
      <c r="P559" s="3">
        <f t="shared" si="78"/>
        <v>0</v>
      </c>
      <c r="Q559" s="3">
        <f>IF(B559&lt;='Input sheet(dashboard)'!$D$27*12,'Input sheet(dashboard)'!$D$12/12,0)</f>
        <v>0</v>
      </c>
      <c r="R559" s="3">
        <f>IF(B559&lt;='Input sheet(dashboard)'!$D$27*12,('Input sheet(dashboard)'!$D$15/12)*(1+'Input sheet(dashboard)'!$E$22)^Calculations!B559,0)</f>
        <v>0</v>
      </c>
      <c r="S559" s="3">
        <f>IF(B559&lt;='Input sheet(dashboard)'!$D$27*12,(E559+G559+K559+L559-O559+M559+Q559+R559),0)</f>
        <v>0</v>
      </c>
      <c r="T559" s="3">
        <f>IF(B559&lt;='Input sheet(dashboard)'!$D$27*12,IF(D559=12,SUM(S548:S559),0),0)</f>
        <v>0</v>
      </c>
      <c r="U559" s="3">
        <f>IF(B559&lt;='Input sheet(dashboard)'!$D$27*12,IF(S559&lt;AD559,AD559-S559,0),0)</f>
        <v>0</v>
      </c>
      <c r="V559" s="3">
        <f>IF(B559&lt;='Input sheet(dashboard)'!$D$27*12,V558*(1+'Input sheet(dashboard)'!$E$25)+U559,0)</f>
        <v>0</v>
      </c>
      <c r="W559" s="17">
        <f>IF(B559&lt;='Input sheet(dashboard)'!$D$27*12,J559-I559+V559-N559,0)</f>
        <v>0</v>
      </c>
      <c r="X559" s="3">
        <f>IF(B559&lt;='Input sheet(dashboard)'!$D$27*12,'Input sheet(dashboard)'!$D$17*(1+'Input sheet(dashboard)'!$E$23)^(B559-1),0)</f>
        <v>0</v>
      </c>
      <c r="Y559" s="3"/>
      <c r="Z559" s="18"/>
      <c r="AA559" s="18"/>
      <c r="AB559" s="3">
        <f>IF(B559=1,'Input sheet(dashboard)'!$D$18*Calculations!X559,IF(Calculations!B559=12*'Input sheet(dashboard)'!$D$27,'Input sheet(dashboard)'!$D$18*-Calculations!X559,0))</f>
        <v>0</v>
      </c>
      <c r="AC559" s="3">
        <f>IF(B559&lt;='Input sheet(dashboard)'!$D$27*12,IF(MOD(B558,'Input sheet(dashboard)'!$D$19*12),0,'Input sheet(dashboard)'!$D$20*(1+'Input sheet(dashboard)'!$E$22)^Calculations!B559),0)</f>
        <v>0</v>
      </c>
      <c r="AD559" s="17">
        <f t="shared" si="75"/>
        <v>0</v>
      </c>
      <c r="AE559" s="17">
        <f>IF(B559&lt;='Input sheet(dashboard)'!$D$27*12,IF(D559=12,SUM(AD548:AD559),0),0)</f>
        <v>0</v>
      </c>
      <c r="AF559" s="17">
        <f t="shared" si="76"/>
        <v>0</v>
      </c>
      <c r="AG559" s="17">
        <f t="shared" si="77"/>
        <v>0</v>
      </c>
      <c r="AH559" s="3" t="str">
        <f>IF(B559&lt;='Input sheet(dashboard)'!$D$27*12,AH558*(1+'Input sheet(dashboard)'!$E$25)+AG559," ")</f>
        <v xml:space="preserve"> </v>
      </c>
    </row>
    <row r="560" spans="2:34">
      <c r="B560">
        <f t="shared" si="72"/>
        <v>557</v>
      </c>
      <c r="C560">
        <f t="shared" si="79"/>
        <v>47</v>
      </c>
      <c r="D560">
        <f t="shared" si="80"/>
        <v>5</v>
      </c>
      <c r="E560" s="15">
        <f>IF(C560&lt;='Input sheet(dashboard)'!$D$6, -PMT('Input sheet(dashboard)'!$E$5,'Input sheet(dashboard)'!$D$6*12,'Input sheet(dashboard)'!$D$3*'Input sheet(dashboard)'!$D$4),0)</f>
        <v>0</v>
      </c>
      <c r="F560" s="3">
        <f>I559*'Input sheet(dashboard)'!$E$5</f>
        <v>1.5405862290680264E-11</v>
      </c>
      <c r="G560" s="3">
        <f>IF(C560&lt;='Input sheet(dashboard)'!$D$6,E560*'Input sheet(dashboard)'!$D$7,0)</f>
        <v>0</v>
      </c>
      <c r="H560" s="3">
        <f t="shared" si="73"/>
        <v>-1.5405862290680264E-11</v>
      </c>
      <c r="I560" s="3">
        <f t="shared" si="74"/>
        <v>4.2445456302354888E-9</v>
      </c>
      <c r="J560" s="3">
        <f>IF(B560&lt;='Input sheet(dashboard)'!$D$27*12,'Input sheet(dashboard)'!$D$3*(1+'Input sheet(dashboard)'!$E$24)^B560,0)</f>
        <v>0</v>
      </c>
      <c r="K560" s="3">
        <f>IF(B560&lt;='Input sheet(dashboard)'!$D$27*12,J560*'Input sheet(dashboard)'!$E$8,0)</f>
        <v>0</v>
      </c>
      <c r="L560" s="3">
        <f>IF(B560&lt;='Input sheet(dashboard)'!$D$27*12,'Input sheet(dashboard)'!$D$9*(1+'Input sheet(dashboard)'!$E$22)^B560,0)</f>
        <v>0</v>
      </c>
      <c r="M560" s="3">
        <f>IF(B560=1,'Input sheet(dashboard)'!$D$3*'Input sheet(dashboard)'!$D$10,0)</f>
        <v>0</v>
      </c>
      <c r="N560" s="3">
        <f>IF(B560='Input sheet(dashboard)'!$D$27*12,J560*'Input sheet(dashboard)'!$D$11,0)</f>
        <v>0</v>
      </c>
      <c r="O560" s="3">
        <f>IF(SUM(F560:F571)&gt;=150000,150000/12*'Input sheet(dashboard)'!$D$28,SUM(F560:F571)/12*'Input sheet(dashboard)'!$D$28)</f>
        <v>2.3577454206292438E-12</v>
      </c>
      <c r="P560" s="3">
        <f t="shared" si="78"/>
        <v>0</v>
      </c>
      <c r="Q560" s="3">
        <f>IF(B560&lt;='Input sheet(dashboard)'!$D$27*12,'Input sheet(dashboard)'!$D$12/12,0)</f>
        <v>0</v>
      </c>
      <c r="R560" s="3">
        <f>IF(B560&lt;='Input sheet(dashboard)'!$D$27*12,('Input sheet(dashboard)'!$D$15/12)*(1+'Input sheet(dashboard)'!$E$22)^Calculations!B560,0)</f>
        <v>0</v>
      </c>
      <c r="S560" s="3">
        <f>IF(B560&lt;='Input sheet(dashboard)'!$D$27*12,(E560+G560+K560+L560-O560+M560+Q560+R560),0)</f>
        <v>0</v>
      </c>
      <c r="T560" s="3">
        <f>IF(B560&lt;='Input sheet(dashboard)'!$D$27*12,IF(D560=12,SUM(S549:S560),0),0)</f>
        <v>0</v>
      </c>
      <c r="U560" s="3">
        <f>IF(B560&lt;='Input sheet(dashboard)'!$D$27*12,IF(S560&lt;AD560,AD560-S560,0),0)</f>
        <v>0</v>
      </c>
      <c r="V560" s="3">
        <f>IF(B560&lt;='Input sheet(dashboard)'!$D$27*12,V559*(1+'Input sheet(dashboard)'!$E$25)+U560,0)</f>
        <v>0</v>
      </c>
      <c r="W560" s="17">
        <f>IF(B560&lt;='Input sheet(dashboard)'!$D$27*12,J560-I560+V560-N560,0)</f>
        <v>0</v>
      </c>
      <c r="X560" s="3">
        <f>IF(B560&lt;='Input sheet(dashboard)'!$D$27*12,'Input sheet(dashboard)'!$D$17*(1+'Input sheet(dashboard)'!$E$23)^(B560-1),0)</f>
        <v>0</v>
      </c>
      <c r="Y560" s="3"/>
      <c r="Z560" s="18"/>
      <c r="AA560" s="18"/>
      <c r="AB560" s="3">
        <f>IF(B560=1,'Input sheet(dashboard)'!$D$18*Calculations!X560,IF(Calculations!B560=12*'Input sheet(dashboard)'!$D$27,'Input sheet(dashboard)'!$D$18*-Calculations!X560,0))</f>
        <v>0</v>
      </c>
      <c r="AC560" s="3">
        <f>IF(B560&lt;='Input sheet(dashboard)'!$D$27*12,IF(MOD(B559,'Input sheet(dashboard)'!$D$19*12),0,'Input sheet(dashboard)'!$D$20*(1+'Input sheet(dashboard)'!$E$22)^Calculations!B560),0)</f>
        <v>0</v>
      </c>
      <c r="AD560" s="17">
        <f t="shared" si="75"/>
        <v>0</v>
      </c>
      <c r="AE560" s="17">
        <f>IF(B560&lt;='Input sheet(dashboard)'!$D$27*12,IF(D560=12,SUM(AD549:AD560),0),0)</f>
        <v>0</v>
      </c>
      <c r="AF560" s="17">
        <f t="shared" si="76"/>
        <v>0</v>
      </c>
      <c r="AG560" s="17">
        <f t="shared" si="77"/>
        <v>0</v>
      </c>
      <c r="AH560" s="3" t="str">
        <f>IF(B560&lt;='Input sheet(dashboard)'!$D$27*12,AH559*(1+'Input sheet(dashboard)'!$E$25)+AG560," ")</f>
        <v xml:space="preserve"> </v>
      </c>
    </row>
    <row r="561" spans="2:34">
      <c r="B561">
        <f t="shared" si="72"/>
        <v>558</v>
      </c>
      <c r="C561">
        <f t="shared" si="79"/>
        <v>47</v>
      </c>
      <c r="D561">
        <f t="shared" si="80"/>
        <v>6</v>
      </c>
      <c r="E561" s="15">
        <f>IF(C561&lt;='Input sheet(dashboard)'!$D$6, -PMT('Input sheet(dashboard)'!$E$5,'Input sheet(dashboard)'!$D$6*12,'Input sheet(dashboard)'!$D$3*'Input sheet(dashboard)'!$D$4),0)</f>
        <v>0</v>
      </c>
      <c r="F561" s="3">
        <f>I560*'Input sheet(dashboard)'!$E$5</f>
        <v>1.5461982590774944E-11</v>
      </c>
      <c r="G561" s="3">
        <f>IF(C561&lt;='Input sheet(dashboard)'!$D$6,E561*'Input sheet(dashboard)'!$D$7,0)</f>
        <v>0</v>
      </c>
      <c r="H561" s="3">
        <f t="shared" si="73"/>
        <v>-1.5461982590774944E-11</v>
      </c>
      <c r="I561" s="3">
        <f t="shared" si="74"/>
        <v>4.2600076128262639E-9</v>
      </c>
      <c r="J561" s="3">
        <f>IF(B561&lt;='Input sheet(dashboard)'!$D$27*12,'Input sheet(dashboard)'!$D$3*(1+'Input sheet(dashboard)'!$E$24)^B561,0)</f>
        <v>0</v>
      </c>
      <c r="K561" s="3">
        <f>IF(B561&lt;='Input sheet(dashboard)'!$D$27*12,J561*'Input sheet(dashboard)'!$E$8,0)</f>
        <v>0</v>
      </c>
      <c r="L561" s="3">
        <f>IF(B561&lt;='Input sheet(dashboard)'!$D$27*12,'Input sheet(dashboard)'!$D$9*(1+'Input sheet(dashboard)'!$E$22)^B561,0)</f>
        <v>0</v>
      </c>
      <c r="M561" s="3">
        <f>IF(B561=1,'Input sheet(dashboard)'!$D$3*'Input sheet(dashboard)'!$D$10,0)</f>
        <v>0</v>
      </c>
      <c r="N561" s="3">
        <f>IF(B561='Input sheet(dashboard)'!$D$27*12,J561*'Input sheet(dashboard)'!$D$11,0)</f>
        <v>0</v>
      </c>
      <c r="O561" s="3">
        <f>IF(SUM(F561:F572)&gt;=150000,150000/12*'Input sheet(dashboard)'!$D$28,SUM(F561:F572)/12*'Input sheet(dashboard)'!$D$28)</f>
        <v>2.3663341888562984E-12</v>
      </c>
      <c r="P561" s="3">
        <f t="shared" si="78"/>
        <v>0</v>
      </c>
      <c r="Q561" s="3">
        <f>IF(B561&lt;='Input sheet(dashboard)'!$D$27*12,'Input sheet(dashboard)'!$D$12/12,0)</f>
        <v>0</v>
      </c>
      <c r="R561" s="3">
        <f>IF(B561&lt;='Input sheet(dashboard)'!$D$27*12,('Input sheet(dashboard)'!$D$15/12)*(1+'Input sheet(dashboard)'!$E$22)^Calculations!B561,0)</f>
        <v>0</v>
      </c>
      <c r="S561" s="3">
        <f>IF(B561&lt;='Input sheet(dashboard)'!$D$27*12,(E561+G561+K561+L561-O561+M561+Q561+R561),0)</f>
        <v>0</v>
      </c>
      <c r="T561" s="3">
        <f>IF(B561&lt;='Input sheet(dashboard)'!$D$27*12,IF(D561=12,SUM(S550:S561),0),0)</f>
        <v>0</v>
      </c>
      <c r="U561" s="3">
        <f>IF(B561&lt;='Input sheet(dashboard)'!$D$27*12,IF(S561&lt;AD561,AD561-S561,0),0)</f>
        <v>0</v>
      </c>
      <c r="V561" s="3">
        <f>IF(B561&lt;='Input sheet(dashboard)'!$D$27*12,V560*(1+'Input sheet(dashboard)'!$E$25)+U561,0)</f>
        <v>0</v>
      </c>
      <c r="W561" s="17">
        <f>IF(B561&lt;='Input sheet(dashboard)'!$D$27*12,J561-I561+V561-N561,0)</f>
        <v>0</v>
      </c>
      <c r="X561" s="3">
        <f>IF(B561&lt;='Input sheet(dashboard)'!$D$27*12,'Input sheet(dashboard)'!$D$17*(1+'Input sheet(dashboard)'!$E$23)^(B561-1),0)</f>
        <v>0</v>
      </c>
      <c r="Y561" s="3"/>
      <c r="Z561" s="18"/>
      <c r="AA561" s="18"/>
      <c r="AB561" s="3">
        <f>IF(B561=1,'Input sheet(dashboard)'!$D$18*Calculations!X561,IF(Calculations!B561=12*'Input sheet(dashboard)'!$D$27,'Input sheet(dashboard)'!$D$18*-Calculations!X561,0))</f>
        <v>0</v>
      </c>
      <c r="AC561" s="3">
        <f>IF(B561&lt;='Input sheet(dashboard)'!$D$27*12,IF(MOD(B560,'Input sheet(dashboard)'!$D$19*12),0,'Input sheet(dashboard)'!$D$20*(1+'Input sheet(dashboard)'!$E$22)^Calculations!B561),0)</f>
        <v>0</v>
      </c>
      <c r="AD561" s="17">
        <f t="shared" si="75"/>
        <v>0</v>
      </c>
      <c r="AE561" s="17">
        <f>IF(B561&lt;='Input sheet(dashboard)'!$D$27*12,IF(D561=12,SUM(AD550:AD561),0),0)</f>
        <v>0</v>
      </c>
      <c r="AF561" s="17">
        <f t="shared" si="76"/>
        <v>0</v>
      </c>
      <c r="AG561" s="17">
        <f t="shared" si="77"/>
        <v>0</v>
      </c>
      <c r="AH561" s="3" t="str">
        <f>IF(B561&lt;='Input sheet(dashboard)'!$D$27*12,AH560*(1+'Input sheet(dashboard)'!$E$25)+AG561," ")</f>
        <v xml:space="preserve"> </v>
      </c>
    </row>
    <row r="562" spans="2:34">
      <c r="B562">
        <f t="shared" si="72"/>
        <v>559</v>
      </c>
      <c r="C562">
        <f t="shared" si="79"/>
        <v>47</v>
      </c>
      <c r="D562">
        <f t="shared" si="80"/>
        <v>7</v>
      </c>
      <c r="E562" s="15">
        <f>IF(C562&lt;='Input sheet(dashboard)'!$D$6, -PMT('Input sheet(dashboard)'!$E$5,'Input sheet(dashboard)'!$D$6*12,'Input sheet(dashboard)'!$D$3*'Input sheet(dashboard)'!$D$4),0)</f>
        <v>0</v>
      </c>
      <c r="F562" s="3">
        <f>I561*'Input sheet(dashboard)'!$E$5</f>
        <v>1.5518307325261108E-11</v>
      </c>
      <c r="G562" s="3">
        <f>IF(C562&lt;='Input sheet(dashboard)'!$D$6,E562*'Input sheet(dashboard)'!$D$7,0)</f>
        <v>0</v>
      </c>
      <c r="H562" s="3">
        <f t="shared" si="73"/>
        <v>-1.5518307325261108E-11</v>
      </c>
      <c r="I562" s="3">
        <f t="shared" si="74"/>
        <v>4.2755259201515251E-9</v>
      </c>
      <c r="J562" s="3">
        <f>IF(B562&lt;='Input sheet(dashboard)'!$D$27*12,'Input sheet(dashboard)'!$D$3*(1+'Input sheet(dashboard)'!$E$24)^B562,0)</f>
        <v>0</v>
      </c>
      <c r="K562" s="3">
        <f>IF(B562&lt;='Input sheet(dashboard)'!$D$27*12,J562*'Input sheet(dashboard)'!$E$8,0)</f>
        <v>0</v>
      </c>
      <c r="L562" s="3">
        <f>IF(B562&lt;='Input sheet(dashboard)'!$D$27*12,'Input sheet(dashboard)'!$D$9*(1+'Input sheet(dashboard)'!$E$22)^B562,0)</f>
        <v>0</v>
      </c>
      <c r="M562" s="3">
        <f>IF(B562=1,'Input sheet(dashboard)'!$D$3*'Input sheet(dashboard)'!$D$10,0)</f>
        <v>0</v>
      </c>
      <c r="N562" s="3">
        <f>IF(B562='Input sheet(dashboard)'!$D$27*12,J562*'Input sheet(dashboard)'!$D$11,0)</f>
        <v>0</v>
      </c>
      <c r="O562" s="3">
        <f>IF(SUM(F562:F573)&gt;=150000,150000/12*'Input sheet(dashboard)'!$D$28,SUM(F562:F573)/12*'Input sheet(dashboard)'!$D$28)</f>
        <v>2.3749542441506558E-12</v>
      </c>
      <c r="P562" s="3">
        <f t="shared" si="78"/>
        <v>0</v>
      </c>
      <c r="Q562" s="3">
        <f>IF(B562&lt;='Input sheet(dashboard)'!$D$27*12,'Input sheet(dashboard)'!$D$12/12,0)</f>
        <v>0</v>
      </c>
      <c r="R562" s="3">
        <f>IF(B562&lt;='Input sheet(dashboard)'!$D$27*12,('Input sheet(dashboard)'!$D$15/12)*(1+'Input sheet(dashboard)'!$E$22)^Calculations!B562,0)</f>
        <v>0</v>
      </c>
      <c r="S562" s="3">
        <f>IF(B562&lt;='Input sheet(dashboard)'!$D$27*12,(E562+G562+K562+L562-O562+M562+Q562+R562),0)</f>
        <v>0</v>
      </c>
      <c r="T562" s="3">
        <f>IF(B562&lt;='Input sheet(dashboard)'!$D$27*12,IF(D562=12,SUM(S551:S562),0),0)</f>
        <v>0</v>
      </c>
      <c r="U562" s="3">
        <f>IF(B562&lt;='Input sheet(dashboard)'!$D$27*12,IF(S562&lt;AD562,AD562-S562,0),0)</f>
        <v>0</v>
      </c>
      <c r="V562" s="3">
        <f>IF(B562&lt;='Input sheet(dashboard)'!$D$27*12,V561*(1+'Input sheet(dashboard)'!$E$25)+U562,0)</f>
        <v>0</v>
      </c>
      <c r="W562" s="17">
        <f>IF(B562&lt;='Input sheet(dashboard)'!$D$27*12,J562-I562+V562-N562,0)</f>
        <v>0</v>
      </c>
      <c r="X562" s="3">
        <f>IF(B562&lt;='Input sheet(dashboard)'!$D$27*12,'Input sheet(dashboard)'!$D$17*(1+'Input sheet(dashboard)'!$E$23)^(B562-1),0)</f>
        <v>0</v>
      </c>
      <c r="Y562" s="3"/>
      <c r="Z562" s="18"/>
      <c r="AA562" s="18"/>
      <c r="AB562" s="3">
        <f>IF(B562=1,'Input sheet(dashboard)'!$D$18*Calculations!X562,IF(Calculations!B562=12*'Input sheet(dashboard)'!$D$27,'Input sheet(dashboard)'!$D$18*-Calculations!X562,0))</f>
        <v>0</v>
      </c>
      <c r="AC562" s="3">
        <f>IF(B562&lt;='Input sheet(dashboard)'!$D$27*12,IF(MOD(B561,'Input sheet(dashboard)'!$D$19*12),0,'Input sheet(dashboard)'!$D$20*(1+'Input sheet(dashboard)'!$E$22)^Calculations!B562),0)</f>
        <v>0</v>
      </c>
      <c r="AD562" s="17">
        <f t="shared" si="75"/>
        <v>0</v>
      </c>
      <c r="AE562" s="17">
        <f>IF(B562&lt;='Input sheet(dashboard)'!$D$27*12,IF(D562=12,SUM(AD551:AD562),0),0)</f>
        <v>0</v>
      </c>
      <c r="AF562" s="17">
        <f t="shared" si="76"/>
        <v>0</v>
      </c>
      <c r="AG562" s="17">
        <f t="shared" si="77"/>
        <v>0</v>
      </c>
      <c r="AH562" s="3" t="str">
        <f>IF(B562&lt;='Input sheet(dashboard)'!$D$27*12,AH561*(1+'Input sheet(dashboard)'!$E$25)+AG562," ")</f>
        <v xml:space="preserve"> </v>
      </c>
    </row>
    <row r="563" spans="2:34">
      <c r="B563">
        <f t="shared" si="72"/>
        <v>560</v>
      </c>
      <c r="C563">
        <f t="shared" si="79"/>
        <v>47</v>
      </c>
      <c r="D563">
        <f t="shared" si="80"/>
        <v>8</v>
      </c>
      <c r="E563" s="15">
        <f>IF(C563&lt;='Input sheet(dashboard)'!$D$6, -PMT('Input sheet(dashboard)'!$E$5,'Input sheet(dashboard)'!$D$6*12,'Input sheet(dashboard)'!$D$3*'Input sheet(dashboard)'!$D$4),0)</f>
        <v>0</v>
      </c>
      <c r="F563" s="3">
        <f>I562*'Input sheet(dashboard)'!$E$5</f>
        <v>1.5574837238850038E-11</v>
      </c>
      <c r="G563" s="3">
        <f>IF(C563&lt;='Input sheet(dashboard)'!$D$6,E563*'Input sheet(dashboard)'!$D$7,0)</f>
        <v>0</v>
      </c>
      <c r="H563" s="3">
        <f t="shared" si="73"/>
        <v>-1.5574837238850038E-11</v>
      </c>
      <c r="I563" s="3">
        <f t="shared" si="74"/>
        <v>4.2911007573903749E-9</v>
      </c>
      <c r="J563" s="3">
        <f>IF(B563&lt;='Input sheet(dashboard)'!$D$27*12,'Input sheet(dashboard)'!$D$3*(1+'Input sheet(dashboard)'!$E$24)^B563,0)</f>
        <v>0</v>
      </c>
      <c r="K563" s="3">
        <f>IF(B563&lt;='Input sheet(dashboard)'!$D$27*12,J563*'Input sheet(dashboard)'!$E$8,0)</f>
        <v>0</v>
      </c>
      <c r="L563" s="3">
        <f>IF(B563&lt;='Input sheet(dashboard)'!$D$27*12,'Input sheet(dashboard)'!$D$9*(1+'Input sheet(dashboard)'!$E$22)^B563,0)</f>
        <v>0</v>
      </c>
      <c r="M563" s="3">
        <f>IF(B563=1,'Input sheet(dashboard)'!$D$3*'Input sheet(dashboard)'!$D$10,0)</f>
        <v>0</v>
      </c>
      <c r="N563" s="3">
        <f>IF(B563='Input sheet(dashboard)'!$D$27*12,J563*'Input sheet(dashboard)'!$D$11,0)</f>
        <v>0</v>
      </c>
      <c r="O563" s="3">
        <f>IF(SUM(F563:F574)&gt;=150000,150000/12*'Input sheet(dashboard)'!$D$28,SUM(F563:F574)/12*'Input sheet(dashboard)'!$D$28)</f>
        <v>2.3836057004844884E-12</v>
      </c>
      <c r="P563" s="3">
        <f t="shared" si="78"/>
        <v>0</v>
      </c>
      <c r="Q563" s="3">
        <f>IF(B563&lt;='Input sheet(dashboard)'!$D$27*12,'Input sheet(dashboard)'!$D$12/12,0)</f>
        <v>0</v>
      </c>
      <c r="R563" s="3">
        <f>IF(B563&lt;='Input sheet(dashboard)'!$D$27*12,('Input sheet(dashboard)'!$D$15/12)*(1+'Input sheet(dashboard)'!$E$22)^Calculations!B563,0)</f>
        <v>0</v>
      </c>
      <c r="S563" s="3">
        <f>IF(B563&lt;='Input sheet(dashboard)'!$D$27*12,(E563+G563+K563+L563-O563+M563+Q563+R563),0)</f>
        <v>0</v>
      </c>
      <c r="T563" s="3">
        <f>IF(B563&lt;='Input sheet(dashboard)'!$D$27*12,IF(D563=12,SUM(S552:S563),0),0)</f>
        <v>0</v>
      </c>
      <c r="U563" s="3">
        <f>IF(B563&lt;='Input sheet(dashboard)'!$D$27*12,IF(S563&lt;AD563,AD563-S563,0),0)</f>
        <v>0</v>
      </c>
      <c r="V563" s="3">
        <f>IF(B563&lt;='Input sheet(dashboard)'!$D$27*12,V562*(1+'Input sheet(dashboard)'!$E$25)+U563,0)</f>
        <v>0</v>
      </c>
      <c r="W563" s="17">
        <f>IF(B563&lt;='Input sheet(dashboard)'!$D$27*12,J563-I563+V563-N563,0)</f>
        <v>0</v>
      </c>
      <c r="X563" s="3">
        <f>IF(B563&lt;='Input sheet(dashboard)'!$D$27*12,'Input sheet(dashboard)'!$D$17*(1+'Input sheet(dashboard)'!$E$23)^(B563-1),0)</f>
        <v>0</v>
      </c>
      <c r="Y563" s="3"/>
      <c r="Z563" s="18"/>
      <c r="AA563" s="18"/>
      <c r="AB563" s="3">
        <f>IF(B563=1,'Input sheet(dashboard)'!$D$18*Calculations!X563,IF(Calculations!B563=12*'Input sheet(dashboard)'!$D$27,'Input sheet(dashboard)'!$D$18*-Calculations!X563,0))</f>
        <v>0</v>
      </c>
      <c r="AC563" s="3">
        <f>IF(B563&lt;='Input sheet(dashboard)'!$D$27*12,IF(MOD(B562,'Input sheet(dashboard)'!$D$19*12),0,'Input sheet(dashboard)'!$D$20*(1+'Input sheet(dashboard)'!$E$22)^Calculations!B563),0)</f>
        <v>0</v>
      </c>
      <c r="AD563" s="17">
        <f t="shared" si="75"/>
        <v>0</v>
      </c>
      <c r="AE563" s="17">
        <f>IF(B563&lt;='Input sheet(dashboard)'!$D$27*12,IF(D563=12,SUM(AD552:AD563),0),0)</f>
        <v>0</v>
      </c>
      <c r="AF563" s="17">
        <f t="shared" si="76"/>
        <v>0</v>
      </c>
      <c r="AG563" s="17">
        <f t="shared" si="77"/>
        <v>0</v>
      </c>
      <c r="AH563" s="3" t="str">
        <f>IF(B563&lt;='Input sheet(dashboard)'!$D$27*12,AH562*(1+'Input sheet(dashboard)'!$E$25)+AG563," ")</f>
        <v xml:space="preserve"> </v>
      </c>
    </row>
    <row r="564" spans="2:34">
      <c r="B564">
        <f t="shared" si="72"/>
        <v>561</v>
      </c>
      <c r="C564">
        <f t="shared" si="79"/>
        <v>47</v>
      </c>
      <c r="D564">
        <f t="shared" si="80"/>
        <v>9</v>
      </c>
      <c r="E564" s="15">
        <f>IF(C564&lt;='Input sheet(dashboard)'!$D$6, -PMT('Input sheet(dashboard)'!$E$5,'Input sheet(dashboard)'!$D$6*12,'Input sheet(dashboard)'!$D$3*'Input sheet(dashboard)'!$D$4),0)</f>
        <v>0</v>
      </c>
      <c r="F564" s="3">
        <f>I563*'Input sheet(dashboard)'!$E$5</f>
        <v>1.5631573078965836E-11</v>
      </c>
      <c r="G564" s="3">
        <f>IF(C564&lt;='Input sheet(dashboard)'!$D$6,E564*'Input sheet(dashboard)'!$D$7,0)</f>
        <v>0</v>
      </c>
      <c r="H564" s="3">
        <f t="shared" si="73"/>
        <v>-1.5631573078965836E-11</v>
      </c>
      <c r="I564" s="3">
        <f t="shared" si="74"/>
        <v>4.3067323304693409E-9</v>
      </c>
      <c r="J564" s="3">
        <f>IF(B564&lt;='Input sheet(dashboard)'!$D$27*12,'Input sheet(dashboard)'!$D$3*(1+'Input sheet(dashboard)'!$E$24)^B564,0)</f>
        <v>0</v>
      </c>
      <c r="K564" s="3">
        <f>IF(B564&lt;='Input sheet(dashboard)'!$D$27*12,J564*'Input sheet(dashboard)'!$E$8,0)</f>
        <v>0</v>
      </c>
      <c r="L564" s="3">
        <f>IF(B564&lt;='Input sheet(dashboard)'!$D$27*12,'Input sheet(dashboard)'!$D$9*(1+'Input sheet(dashboard)'!$E$22)^B564,0)</f>
        <v>0</v>
      </c>
      <c r="M564" s="3">
        <f>IF(B564=1,'Input sheet(dashboard)'!$D$3*'Input sheet(dashboard)'!$D$10,0)</f>
        <v>0</v>
      </c>
      <c r="N564" s="3">
        <f>IF(B564='Input sheet(dashboard)'!$D$27*12,J564*'Input sheet(dashboard)'!$D$11,0)</f>
        <v>0</v>
      </c>
      <c r="O564" s="3">
        <f>IF(SUM(F564:F575)&gt;=150000,150000/12*'Input sheet(dashboard)'!$D$28,SUM(F564:F575)/12*'Input sheet(dashboard)'!$D$28)</f>
        <v>2.392288672245147E-12</v>
      </c>
      <c r="P564" s="3">
        <f t="shared" si="78"/>
        <v>0</v>
      </c>
      <c r="Q564" s="3">
        <f>IF(B564&lt;='Input sheet(dashboard)'!$D$27*12,'Input sheet(dashboard)'!$D$12/12,0)</f>
        <v>0</v>
      </c>
      <c r="R564" s="3">
        <f>IF(B564&lt;='Input sheet(dashboard)'!$D$27*12,('Input sheet(dashboard)'!$D$15/12)*(1+'Input sheet(dashboard)'!$E$22)^Calculations!B564,0)</f>
        <v>0</v>
      </c>
      <c r="S564" s="3">
        <f>IF(B564&lt;='Input sheet(dashboard)'!$D$27*12,(E564+G564+K564+L564-O564+M564+Q564+R564),0)</f>
        <v>0</v>
      </c>
      <c r="T564" s="3">
        <f>IF(B564&lt;='Input sheet(dashboard)'!$D$27*12,IF(D564=12,SUM(S553:S564),0),0)</f>
        <v>0</v>
      </c>
      <c r="U564" s="3">
        <f>IF(B564&lt;='Input sheet(dashboard)'!$D$27*12,IF(S564&lt;AD564,AD564-S564,0),0)</f>
        <v>0</v>
      </c>
      <c r="V564" s="3">
        <f>IF(B564&lt;='Input sheet(dashboard)'!$D$27*12,V563*(1+'Input sheet(dashboard)'!$E$25)+U564,0)</f>
        <v>0</v>
      </c>
      <c r="W564" s="17">
        <f>IF(B564&lt;='Input sheet(dashboard)'!$D$27*12,J564-I564+V564-N564,0)</f>
        <v>0</v>
      </c>
      <c r="X564" s="3">
        <f>IF(B564&lt;='Input sheet(dashboard)'!$D$27*12,'Input sheet(dashboard)'!$D$17*(1+'Input sheet(dashboard)'!$E$23)^(B564-1),0)</f>
        <v>0</v>
      </c>
      <c r="Y564" s="3"/>
      <c r="Z564" s="18"/>
      <c r="AA564" s="18"/>
      <c r="AB564" s="3">
        <f>IF(B564=1,'Input sheet(dashboard)'!$D$18*Calculations!X564,IF(Calculations!B564=12*'Input sheet(dashboard)'!$D$27,'Input sheet(dashboard)'!$D$18*-Calculations!X564,0))</f>
        <v>0</v>
      </c>
      <c r="AC564" s="3">
        <f>IF(B564&lt;='Input sheet(dashboard)'!$D$27*12,IF(MOD(B563,'Input sheet(dashboard)'!$D$19*12),0,'Input sheet(dashboard)'!$D$20*(1+'Input sheet(dashboard)'!$E$22)^Calculations!B564),0)</f>
        <v>0</v>
      </c>
      <c r="AD564" s="17">
        <f t="shared" si="75"/>
        <v>0</v>
      </c>
      <c r="AE564" s="17">
        <f>IF(B564&lt;='Input sheet(dashboard)'!$D$27*12,IF(D564=12,SUM(AD553:AD564),0),0)</f>
        <v>0</v>
      </c>
      <c r="AF564" s="17">
        <f t="shared" si="76"/>
        <v>0</v>
      </c>
      <c r="AG564" s="17">
        <f t="shared" si="77"/>
        <v>0</v>
      </c>
      <c r="AH564" s="3" t="str">
        <f>IF(B564&lt;='Input sheet(dashboard)'!$D$27*12,AH563*(1+'Input sheet(dashboard)'!$E$25)+AG564," ")</f>
        <v xml:space="preserve"> </v>
      </c>
    </row>
    <row r="565" spans="2:34">
      <c r="B565">
        <f t="shared" si="72"/>
        <v>562</v>
      </c>
      <c r="C565">
        <f t="shared" si="79"/>
        <v>47</v>
      </c>
      <c r="D565">
        <f t="shared" si="80"/>
        <v>10</v>
      </c>
      <c r="E565" s="15">
        <f>IF(C565&lt;='Input sheet(dashboard)'!$D$6, -PMT('Input sheet(dashboard)'!$E$5,'Input sheet(dashboard)'!$D$6*12,'Input sheet(dashboard)'!$D$3*'Input sheet(dashboard)'!$D$4),0)</f>
        <v>0</v>
      </c>
      <c r="F565" s="3">
        <f>I564*'Input sheet(dashboard)'!$E$5</f>
        <v>1.5688515595755318E-11</v>
      </c>
      <c r="G565" s="3">
        <f>IF(C565&lt;='Input sheet(dashboard)'!$D$6,E565*'Input sheet(dashboard)'!$D$7,0)</f>
        <v>0</v>
      </c>
      <c r="H565" s="3">
        <f t="shared" si="73"/>
        <v>-1.5688515595755318E-11</v>
      </c>
      <c r="I565" s="3">
        <f t="shared" si="74"/>
        <v>4.3224208460650959E-9</v>
      </c>
      <c r="J565" s="3">
        <f>IF(B565&lt;='Input sheet(dashboard)'!$D$27*12,'Input sheet(dashboard)'!$D$3*(1+'Input sheet(dashboard)'!$E$24)^B565,0)</f>
        <v>0</v>
      </c>
      <c r="K565" s="3">
        <f>IF(B565&lt;='Input sheet(dashboard)'!$D$27*12,J565*'Input sheet(dashboard)'!$E$8,0)</f>
        <v>0</v>
      </c>
      <c r="L565" s="3">
        <f>IF(B565&lt;='Input sheet(dashboard)'!$D$27*12,'Input sheet(dashboard)'!$D$9*(1+'Input sheet(dashboard)'!$E$22)^B565,0)</f>
        <v>0</v>
      </c>
      <c r="M565" s="3">
        <f>IF(B565=1,'Input sheet(dashboard)'!$D$3*'Input sheet(dashboard)'!$D$10,0)</f>
        <v>0</v>
      </c>
      <c r="N565" s="3">
        <f>IF(B565='Input sheet(dashboard)'!$D$27*12,J565*'Input sheet(dashboard)'!$D$11,0)</f>
        <v>0</v>
      </c>
      <c r="O565" s="3">
        <f>IF(SUM(F565:F576)&gt;=150000,150000/12*'Input sheet(dashboard)'!$D$28,SUM(F565:F576)/12*'Input sheet(dashboard)'!$D$28)</f>
        <v>2.4010032742366705E-12</v>
      </c>
      <c r="P565" s="3">
        <f t="shared" si="78"/>
        <v>0</v>
      </c>
      <c r="Q565" s="3">
        <f>IF(B565&lt;='Input sheet(dashboard)'!$D$27*12,'Input sheet(dashboard)'!$D$12/12,0)</f>
        <v>0</v>
      </c>
      <c r="R565" s="3">
        <f>IF(B565&lt;='Input sheet(dashboard)'!$D$27*12,('Input sheet(dashboard)'!$D$15/12)*(1+'Input sheet(dashboard)'!$E$22)^Calculations!B565,0)</f>
        <v>0</v>
      </c>
      <c r="S565" s="3">
        <f>IF(B565&lt;='Input sheet(dashboard)'!$D$27*12,(E565+G565+K565+L565-O565+M565+Q565+R565),0)</f>
        <v>0</v>
      </c>
      <c r="T565" s="3">
        <f>IF(B565&lt;='Input sheet(dashboard)'!$D$27*12,IF(D565=12,SUM(S554:S565),0),0)</f>
        <v>0</v>
      </c>
      <c r="U565" s="3">
        <f>IF(B565&lt;='Input sheet(dashboard)'!$D$27*12,IF(S565&lt;AD565,AD565-S565,0),0)</f>
        <v>0</v>
      </c>
      <c r="V565" s="3">
        <f>IF(B565&lt;='Input sheet(dashboard)'!$D$27*12,V564*(1+'Input sheet(dashboard)'!$E$25)+U565,0)</f>
        <v>0</v>
      </c>
      <c r="W565" s="17">
        <f>IF(B565&lt;='Input sheet(dashboard)'!$D$27*12,J565-I565+V565-N565,0)</f>
        <v>0</v>
      </c>
      <c r="X565" s="3">
        <f>IF(B565&lt;='Input sheet(dashboard)'!$D$27*12,'Input sheet(dashboard)'!$D$17*(1+'Input sheet(dashboard)'!$E$23)^(B565-1),0)</f>
        <v>0</v>
      </c>
      <c r="Y565" s="3"/>
      <c r="Z565" s="18"/>
      <c r="AA565" s="18"/>
      <c r="AB565" s="3">
        <f>IF(B565=1,'Input sheet(dashboard)'!$D$18*Calculations!X565,IF(Calculations!B565=12*'Input sheet(dashboard)'!$D$27,'Input sheet(dashboard)'!$D$18*-Calculations!X565,0))</f>
        <v>0</v>
      </c>
      <c r="AC565" s="3">
        <f>IF(B565&lt;='Input sheet(dashboard)'!$D$27*12,IF(MOD(B564,'Input sheet(dashboard)'!$D$19*12),0,'Input sheet(dashboard)'!$D$20*(1+'Input sheet(dashboard)'!$E$22)^Calculations!B565),0)</f>
        <v>0</v>
      </c>
      <c r="AD565" s="17">
        <f t="shared" si="75"/>
        <v>0</v>
      </c>
      <c r="AE565" s="17">
        <f>IF(B565&lt;='Input sheet(dashboard)'!$D$27*12,IF(D565=12,SUM(AD554:AD565),0),0)</f>
        <v>0</v>
      </c>
      <c r="AF565" s="17">
        <f t="shared" si="76"/>
        <v>0</v>
      </c>
      <c r="AG565" s="17">
        <f t="shared" si="77"/>
        <v>0</v>
      </c>
      <c r="AH565" s="3" t="str">
        <f>IF(B565&lt;='Input sheet(dashboard)'!$D$27*12,AH564*(1+'Input sheet(dashboard)'!$E$25)+AG565," ")</f>
        <v xml:space="preserve"> </v>
      </c>
    </row>
    <row r="566" spans="2:34">
      <c r="B566">
        <f t="shared" si="72"/>
        <v>563</v>
      </c>
      <c r="C566">
        <f t="shared" si="79"/>
        <v>47</v>
      </c>
      <c r="D566">
        <f t="shared" si="80"/>
        <v>11</v>
      </c>
      <c r="E566" s="15">
        <f>IF(C566&lt;='Input sheet(dashboard)'!$D$6, -PMT('Input sheet(dashboard)'!$E$5,'Input sheet(dashboard)'!$D$6*12,'Input sheet(dashboard)'!$D$3*'Input sheet(dashboard)'!$D$4),0)</f>
        <v>0</v>
      </c>
      <c r="F566" s="3">
        <f>I565*'Input sheet(dashboard)'!$E$5</f>
        <v>1.5745665542097915E-11</v>
      </c>
      <c r="G566" s="3">
        <f>IF(C566&lt;='Input sheet(dashboard)'!$D$6,E566*'Input sheet(dashboard)'!$D$7,0)</f>
        <v>0</v>
      </c>
      <c r="H566" s="3">
        <f t="shared" si="73"/>
        <v>-1.5745665542097915E-11</v>
      </c>
      <c r="I566" s="3">
        <f t="shared" si="74"/>
        <v>4.3381665116071942E-9</v>
      </c>
      <c r="J566" s="3">
        <f>IF(B566&lt;='Input sheet(dashboard)'!$D$27*12,'Input sheet(dashboard)'!$D$3*(1+'Input sheet(dashboard)'!$E$24)^B566,0)</f>
        <v>0</v>
      </c>
      <c r="K566" s="3">
        <f>IF(B566&lt;='Input sheet(dashboard)'!$D$27*12,J566*'Input sheet(dashboard)'!$E$8,0)</f>
        <v>0</v>
      </c>
      <c r="L566" s="3">
        <f>IF(B566&lt;='Input sheet(dashboard)'!$D$27*12,'Input sheet(dashboard)'!$D$9*(1+'Input sheet(dashboard)'!$E$22)^B566,0)</f>
        <v>0</v>
      </c>
      <c r="M566" s="3">
        <f>IF(B566=1,'Input sheet(dashboard)'!$D$3*'Input sheet(dashboard)'!$D$10,0)</f>
        <v>0</v>
      </c>
      <c r="N566" s="3">
        <f>IF(B566='Input sheet(dashboard)'!$D$27*12,J566*'Input sheet(dashboard)'!$D$11,0)</f>
        <v>0</v>
      </c>
      <c r="O566" s="3">
        <f>IF(SUM(F566:F577)&gt;=150000,150000/12*'Input sheet(dashboard)'!$D$28,SUM(F566:F577)/12*'Input sheet(dashboard)'!$D$28)</f>
        <v>2.4097496216813042E-12</v>
      </c>
      <c r="P566" s="3">
        <f t="shared" si="78"/>
        <v>0</v>
      </c>
      <c r="Q566" s="3">
        <f>IF(B566&lt;='Input sheet(dashboard)'!$D$27*12,'Input sheet(dashboard)'!$D$12/12,0)</f>
        <v>0</v>
      </c>
      <c r="R566" s="3">
        <f>IF(B566&lt;='Input sheet(dashboard)'!$D$27*12,('Input sheet(dashboard)'!$D$15/12)*(1+'Input sheet(dashboard)'!$E$22)^Calculations!B566,0)</f>
        <v>0</v>
      </c>
      <c r="S566" s="3">
        <f>IF(B566&lt;='Input sheet(dashboard)'!$D$27*12,(E566+G566+K566+L566-O566+M566+Q566+R566),0)</f>
        <v>0</v>
      </c>
      <c r="T566" s="3">
        <f>IF(B566&lt;='Input sheet(dashboard)'!$D$27*12,IF(D566=12,SUM(S555:S566),0),0)</f>
        <v>0</v>
      </c>
      <c r="U566" s="3">
        <f>IF(B566&lt;='Input sheet(dashboard)'!$D$27*12,IF(S566&lt;AD566,AD566-S566,0),0)</f>
        <v>0</v>
      </c>
      <c r="V566" s="3">
        <f>IF(B566&lt;='Input sheet(dashboard)'!$D$27*12,V565*(1+'Input sheet(dashboard)'!$E$25)+U566,0)</f>
        <v>0</v>
      </c>
      <c r="W566" s="17">
        <f>IF(B566&lt;='Input sheet(dashboard)'!$D$27*12,J566-I566+V566-N566,0)</f>
        <v>0</v>
      </c>
      <c r="X566" s="3">
        <f>IF(B566&lt;='Input sheet(dashboard)'!$D$27*12,'Input sheet(dashboard)'!$D$17*(1+'Input sheet(dashboard)'!$E$23)^(B566-1),0)</f>
        <v>0</v>
      </c>
      <c r="Y566" s="3"/>
      <c r="Z566" s="18"/>
      <c r="AA566" s="18"/>
      <c r="AB566" s="3">
        <f>IF(B566=1,'Input sheet(dashboard)'!$D$18*Calculations!X566,IF(Calculations!B566=12*'Input sheet(dashboard)'!$D$27,'Input sheet(dashboard)'!$D$18*-Calculations!X566,0))</f>
        <v>0</v>
      </c>
      <c r="AC566" s="3">
        <f>IF(B566&lt;='Input sheet(dashboard)'!$D$27*12,IF(MOD(B565,'Input sheet(dashboard)'!$D$19*12),0,'Input sheet(dashboard)'!$D$20*(1+'Input sheet(dashboard)'!$E$22)^Calculations!B566),0)</f>
        <v>0</v>
      </c>
      <c r="AD566" s="17">
        <f t="shared" si="75"/>
        <v>0</v>
      </c>
      <c r="AE566" s="17">
        <f>IF(B566&lt;='Input sheet(dashboard)'!$D$27*12,IF(D566=12,SUM(AD555:AD566),0),0)</f>
        <v>0</v>
      </c>
      <c r="AF566" s="17">
        <f t="shared" si="76"/>
        <v>0</v>
      </c>
      <c r="AG566" s="17">
        <f t="shared" si="77"/>
        <v>0</v>
      </c>
      <c r="AH566" s="3" t="str">
        <f>IF(B566&lt;='Input sheet(dashboard)'!$D$27*12,AH565*(1+'Input sheet(dashboard)'!$E$25)+AG566," ")</f>
        <v xml:space="preserve"> </v>
      </c>
    </row>
    <row r="567" spans="2:34">
      <c r="B567">
        <f t="shared" si="72"/>
        <v>564</v>
      </c>
      <c r="C567">
        <f t="shared" si="79"/>
        <v>47</v>
      </c>
      <c r="D567">
        <f t="shared" si="80"/>
        <v>12</v>
      </c>
      <c r="E567" s="15">
        <f>IF(C567&lt;='Input sheet(dashboard)'!$D$6, -PMT('Input sheet(dashboard)'!$E$5,'Input sheet(dashboard)'!$D$6*12,'Input sheet(dashboard)'!$D$3*'Input sheet(dashboard)'!$D$4),0)</f>
        <v>0</v>
      </c>
      <c r="F567" s="3">
        <f>I566*'Input sheet(dashboard)'!$E$5</f>
        <v>1.5803023673615653E-11</v>
      </c>
      <c r="G567" s="3">
        <f>IF(C567&lt;='Input sheet(dashboard)'!$D$6,E567*'Input sheet(dashboard)'!$D$7,0)</f>
        <v>0</v>
      </c>
      <c r="H567" s="3">
        <f t="shared" si="73"/>
        <v>-1.5803023673615653E-11</v>
      </c>
      <c r="I567" s="3">
        <f t="shared" si="74"/>
        <v>4.3539695352808097E-9</v>
      </c>
      <c r="J567" s="3">
        <f>IF(B567&lt;='Input sheet(dashboard)'!$D$27*12,'Input sheet(dashboard)'!$D$3*(1+'Input sheet(dashboard)'!$E$24)^B567,0)</f>
        <v>0</v>
      </c>
      <c r="K567" s="3">
        <f>IF(B567&lt;='Input sheet(dashboard)'!$D$27*12,J567*'Input sheet(dashboard)'!$E$8,0)</f>
        <v>0</v>
      </c>
      <c r="L567" s="3">
        <f>IF(B567&lt;='Input sheet(dashboard)'!$D$27*12,'Input sheet(dashboard)'!$D$9*(1+'Input sheet(dashboard)'!$E$22)^B567,0)</f>
        <v>0</v>
      </c>
      <c r="M567" s="3">
        <f>IF(B567=1,'Input sheet(dashboard)'!$D$3*'Input sheet(dashboard)'!$D$10,0)</f>
        <v>0</v>
      </c>
      <c r="N567" s="3">
        <f>IF(B567='Input sheet(dashboard)'!$D$27*12,J567*'Input sheet(dashboard)'!$D$11,0)</f>
        <v>0</v>
      </c>
      <c r="O567" s="3">
        <f>IF(SUM(F567:F578)&gt;=150000,150000/12*'Input sheet(dashboard)'!$D$28,SUM(F567:F578)/12*'Input sheet(dashboard)'!$D$28)</f>
        <v>2.4185278302210244E-12</v>
      </c>
      <c r="P567" s="3">
        <f t="shared" si="78"/>
        <v>3.0263500053072876E-11</v>
      </c>
      <c r="Q567" s="3">
        <f>IF(B567&lt;='Input sheet(dashboard)'!$D$27*12,'Input sheet(dashboard)'!$D$12/12,0)</f>
        <v>0</v>
      </c>
      <c r="R567" s="3">
        <f>IF(B567&lt;='Input sheet(dashboard)'!$D$27*12,('Input sheet(dashboard)'!$D$15/12)*(1+'Input sheet(dashboard)'!$E$22)^Calculations!B567,0)</f>
        <v>0</v>
      </c>
      <c r="S567" s="3">
        <f>IF(B567&lt;='Input sheet(dashboard)'!$D$27*12,(E567+G567+K567+L567-O567+M567+Q567+R567),0)</f>
        <v>0</v>
      </c>
      <c r="T567" s="3">
        <f>IF(B567&lt;='Input sheet(dashboard)'!$D$27*12,IF(D567=12,SUM(S556:S567),0),0)</f>
        <v>0</v>
      </c>
      <c r="U567" s="3">
        <f>IF(B567&lt;='Input sheet(dashboard)'!$D$27*12,IF(S567&lt;AD567,AD567-S567,0),0)</f>
        <v>0</v>
      </c>
      <c r="V567" s="3">
        <f>IF(B567&lt;='Input sheet(dashboard)'!$D$27*12,V566*(1+'Input sheet(dashboard)'!$E$25)+U567,0)</f>
        <v>0</v>
      </c>
      <c r="W567" s="17">
        <f>IF(B567&lt;='Input sheet(dashboard)'!$D$27*12,J567-I567+V567-N567,0)</f>
        <v>0</v>
      </c>
      <c r="X567" s="3">
        <f>IF(B567&lt;='Input sheet(dashboard)'!$D$27*12,'Input sheet(dashboard)'!$D$17*(1+'Input sheet(dashboard)'!$E$23)^(B567-1),0)</f>
        <v>0</v>
      </c>
      <c r="Y567" s="3"/>
      <c r="Z567" s="18"/>
      <c r="AA567" s="18"/>
      <c r="AB567" s="3">
        <f>IF(B567=1,'Input sheet(dashboard)'!$D$18*Calculations!X567,IF(Calculations!B567=12*'Input sheet(dashboard)'!$D$27,'Input sheet(dashboard)'!$D$18*-Calculations!X567,0))</f>
        <v>0</v>
      </c>
      <c r="AC567" s="3">
        <f>IF(B567&lt;='Input sheet(dashboard)'!$D$27*12,IF(MOD(B566,'Input sheet(dashboard)'!$D$19*12),0,'Input sheet(dashboard)'!$D$20*(1+'Input sheet(dashboard)'!$E$22)^Calculations!B567),0)</f>
        <v>0</v>
      </c>
      <c r="AD567" s="17">
        <f t="shared" si="75"/>
        <v>0</v>
      </c>
      <c r="AE567" s="17">
        <f>IF(B567&lt;='Input sheet(dashboard)'!$D$27*12,IF(D567=12,SUM(AD556:AD567),0),0)</f>
        <v>0</v>
      </c>
      <c r="AF567" s="17">
        <f t="shared" si="76"/>
        <v>0</v>
      </c>
      <c r="AG567" s="17">
        <f t="shared" si="77"/>
        <v>0</v>
      </c>
      <c r="AH567" s="3" t="str">
        <f>IF(B567&lt;='Input sheet(dashboard)'!$D$27*12,AH566*(1+'Input sheet(dashboard)'!$E$25)+AG567," ")</f>
        <v xml:space="preserve"> </v>
      </c>
    </row>
    <row r="568" spans="2:34">
      <c r="B568">
        <f t="shared" si="72"/>
        <v>565</v>
      </c>
      <c r="C568">
        <f t="shared" si="79"/>
        <v>48</v>
      </c>
      <c r="D568">
        <f t="shared" si="80"/>
        <v>1</v>
      </c>
      <c r="E568" s="15">
        <f>IF(C568&lt;='Input sheet(dashboard)'!$D$6, -PMT('Input sheet(dashboard)'!$E$5,'Input sheet(dashboard)'!$D$6*12,'Input sheet(dashboard)'!$D$3*'Input sheet(dashboard)'!$D$4),0)</f>
        <v>0</v>
      </c>
      <c r="F568" s="3">
        <f>I567*'Input sheet(dashboard)'!$E$5</f>
        <v>1.586059074868312E-11</v>
      </c>
      <c r="G568" s="3">
        <f>IF(C568&lt;='Input sheet(dashboard)'!$D$6,E568*'Input sheet(dashboard)'!$D$7,0)</f>
        <v>0</v>
      </c>
      <c r="H568" s="3">
        <f t="shared" si="73"/>
        <v>-1.586059074868312E-11</v>
      </c>
      <c r="I568" s="3">
        <f t="shared" si="74"/>
        <v>4.3698301260294929E-9</v>
      </c>
      <c r="J568" s="3">
        <f>IF(B568&lt;='Input sheet(dashboard)'!$D$27*12,'Input sheet(dashboard)'!$D$3*(1+'Input sheet(dashboard)'!$E$24)^B568,0)</f>
        <v>0</v>
      </c>
      <c r="K568" s="3">
        <f>IF(B568&lt;='Input sheet(dashboard)'!$D$27*12,J568*'Input sheet(dashboard)'!$E$8,0)</f>
        <v>0</v>
      </c>
      <c r="L568" s="3">
        <f>IF(B568&lt;='Input sheet(dashboard)'!$D$27*12,'Input sheet(dashboard)'!$D$9*(1+'Input sheet(dashboard)'!$E$22)^B568,0)</f>
        <v>0</v>
      </c>
      <c r="M568" s="3">
        <f>IF(B568=1,'Input sheet(dashboard)'!$D$3*'Input sheet(dashboard)'!$D$10,0)</f>
        <v>0</v>
      </c>
      <c r="N568" s="3">
        <f>IF(B568='Input sheet(dashboard)'!$D$27*12,J568*'Input sheet(dashboard)'!$D$11,0)</f>
        <v>0</v>
      </c>
      <c r="O568" s="3">
        <f>IF(SUM(F568:F579)&gt;=150000,150000/12*'Input sheet(dashboard)'!$D$28,SUM(F568:F579)/12*'Input sheet(dashboard)'!$D$28)</f>
        <v>2.4273380159190647E-12</v>
      </c>
      <c r="P568" s="3">
        <f t="shared" si="78"/>
        <v>0</v>
      </c>
      <c r="Q568" s="3">
        <f>IF(B568&lt;='Input sheet(dashboard)'!$D$27*12,'Input sheet(dashboard)'!$D$12/12,0)</f>
        <v>0</v>
      </c>
      <c r="R568" s="3">
        <f>IF(B568&lt;='Input sheet(dashboard)'!$D$27*12,('Input sheet(dashboard)'!$D$15/12)*(1+'Input sheet(dashboard)'!$E$22)^Calculations!B568,0)</f>
        <v>0</v>
      </c>
      <c r="S568" s="3">
        <f>IF(B568&lt;='Input sheet(dashboard)'!$D$27*12,(E568+G568+K568+L568-O568+M568+Q568+R568),0)</f>
        <v>0</v>
      </c>
      <c r="T568" s="3">
        <f>IF(B568&lt;='Input sheet(dashboard)'!$D$27*12,IF(D568=12,SUM(S557:S568),0),0)</f>
        <v>0</v>
      </c>
      <c r="U568" s="3">
        <f>IF(B568&lt;='Input sheet(dashboard)'!$D$27*12,IF(S568&lt;AD568,AD568-S568,0),0)</f>
        <v>0</v>
      </c>
      <c r="V568" s="3">
        <f>IF(B568&lt;='Input sheet(dashboard)'!$D$27*12,V567*(1+'Input sheet(dashboard)'!$E$25)+U568,0)</f>
        <v>0</v>
      </c>
      <c r="W568" s="17">
        <f>IF(B568&lt;='Input sheet(dashboard)'!$D$27*12,J568-I568+V568-N568,0)</f>
        <v>0</v>
      </c>
      <c r="X568" s="3">
        <f>IF(B568&lt;='Input sheet(dashboard)'!$D$27*12,'Input sheet(dashboard)'!$D$17*(1+'Input sheet(dashboard)'!$E$23)^(B568-1),0)</f>
        <v>0</v>
      </c>
      <c r="Y568" s="3"/>
      <c r="Z568" s="18"/>
      <c r="AA568" s="18"/>
      <c r="AB568" s="3">
        <f>IF(B568=1,'Input sheet(dashboard)'!$D$18*Calculations!X568,IF(Calculations!B568=12*'Input sheet(dashboard)'!$D$27,'Input sheet(dashboard)'!$D$18*-Calculations!X568,0))</f>
        <v>0</v>
      </c>
      <c r="AC568" s="3">
        <f>IF(B568&lt;='Input sheet(dashboard)'!$D$27*12,IF(MOD(B567,'Input sheet(dashboard)'!$D$19*12),0,'Input sheet(dashboard)'!$D$20*(1+'Input sheet(dashboard)'!$E$22)^Calculations!B568),0)</f>
        <v>0</v>
      </c>
      <c r="AD568" s="17">
        <f t="shared" si="75"/>
        <v>0</v>
      </c>
      <c r="AE568" s="17">
        <f>IF(B568&lt;='Input sheet(dashboard)'!$D$27*12,IF(D568=12,SUM(AD557:AD568),0),0)</f>
        <v>0</v>
      </c>
      <c r="AF568" s="17">
        <f t="shared" si="76"/>
        <v>0</v>
      </c>
      <c r="AG568" s="17">
        <f t="shared" si="77"/>
        <v>0</v>
      </c>
      <c r="AH568" s="3" t="str">
        <f>IF(B568&lt;='Input sheet(dashboard)'!$D$27*12,AH567*(1+'Input sheet(dashboard)'!$E$25)+AG568," ")</f>
        <v xml:space="preserve"> </v>
      </c>
    </row>
    <row r="569" spans="2:34">
      <c r="B569">
        <f t="shared" si="72"/>
        <v>566</v>
      </c>
      <c r="C569">
        <f t="shared" si="79"/>
        <v>48</v>
      </c>
      <c r="D569">
        <f t="shared" si="80"/>
        <v>2</v>
      </c>
      <c r="E569" s="15">
        <f>IF(C569&lt;='Input sheet(dashboard)'!$D$6, -PMT('Input sheet(dashboard)'!$E$5,'Input sheet(dashboard)'!$D$6*12,'Input sheet(dashboard)'!$D$3*'Input sheet(dashboard)'!$D$4),0)</f>
        <v>0</v>
      </c>
      <c r="F569" s="3">
        <f>I568*'Input sheet(dashboard)'!$E$5</f>
        <v>1.5918367528437503E-11</v>
      </c>
      <c r="G569" s="3">
        <f>IF(C569&lt;='Input sheet(dashboard)'!$D$6,E569*'Input sheet(dashboard)'!$D$7,0)</f>
        <v>0</v>
      </c>
      <c r="H569" s="3">
        <f t="shared" si="73"/>
        <v>-1.5918367528437503E-11</v>
      </c>
      <c r="I569" s="3">
        <f t="shared" si="74"/>
        <v>4.3857484935579302E-9</v>
      </c>
      <c r="J569" s="3">
        <f>IF(B569&lt;='Input sheet(dashboard)'!$D$27*12,'Input sheet(dashboard)'!$D$3*(1+'Input sheet(dashboard)'!$E$24)^B569,0)</f>
        <v>0</v>
      </c>
      <c r="K569" s="3">
        <f>IF(B569&lt;='Input sheet(dashboard)'!$D$27*12,J569*'Input sheet(dashboard)'!$E$8,0)</f>
        <v>0</v>
      </c>
      <c r="L569" s="3">
        <f>IF(B569&lt;='Input sheet(dashboard)'!$D$27*12,'Input sheet(dashboard)'!$D$9*(1+'Input sheet(dashboard)'!$E$22)^B569,0)</f>
        <v>0</v>
      </c>
      <c r="M569" s="3">
        <f>IF(B569=1,'Input sheet(dashboard)'!$D$3*'Input sheet(dashboard)'!$D$10,0)</f>
        <v>0</v>
      </c>
      <c r="N569" s="3">
        <f>IF(B569='Input sheet(dashboard)'!$D$27*12,J569*'Input sheet(dashboard)'!$D$11,0)</f>
        <v>0</v>
      </c>
      <c r="O569" s="3">
        <f>IF(SUM(F569:F580)&gt;=150000,150000/12*'Input sheet(dashboard)'!$D$28,SUM(F569:F580)/12*'Input sheet(dashboard)'!$D$28)</f>
        <v>2.4361802952614559E-12</v>
      </c>
      <c r="P569" s="3">
        <f t="shared" si="78"/>
        <v>0</v>
      </c>
      <c r="Q569" s="3">
        <f>IF(B569&lt;='Input sheet(dashboard)'!$D$27*12,'Input sheet(dashboard)'!$D$12/12,0)</f>
        <v>0</v>
      </c>
      <c r="R569" s="3">
        <f>IF(B569&lt;='Input sheet(dashboard)'!$D$27*12,('Input sheet(dashboard)'!$D$15/12)*(1+'Input sheet(dashboard)'!$E$22)^Calculations!B569,0)</f>
        <v>0</v>
      </c>
      <c r="S569" s="3">
        <f>IF(B569&lt;='Input sheet(dashboard)'!$D$27*12,(E569+G569+K569+L569-O569+M569+Q569+R569),0)</f>
        <v>0</v>
      </c>
      <c r="T569" s="3">
        <f>IF(B569&lt;='Input sheet(dashboard)'!$D$27*12,IF(D569=12,SUM(S558:S569),0),0)</f>
        <v>0</v>
      </c>
      <c r="U569" s="3">
        <f>IF(B569&lt;='Input sheet(dashboard)'!$D$27*12,IF(S569&lt;AD569,AD569-S569,0),0)</f>
        <v>0</v>
      </c>
      <c r="V569" s="3">
        <f>IF(B569&lt;='Input sheet(dashboard)'!$D$27*12,V568*(1+'Input sheet(dashboard)'!$E$25)+U569,0)</f>
        <v>0</v>
      </c>
      <c r="W569" s="17">
        <f>IF(B569&lt;='Input sheet(dashboard)'!$D$27*12,J569-I569+V569-N569,0)</f>
        <v>0</v>
      </c>
      <c r="X569" s="3">
        <f>IF(B569&lt;='Input sheet(dashboard)'!$D$27*12,'Input sheet(dashboard)'!$D$17*(1+'Input sheet(dashboard)'!$E$23)^(B569-1),0)</f>
        <v>0</v>
      </c>
      <c r="Y569" s="3"/>
      <c r="Z569" s="18"/>
      <c r="AA569" s="18"/>
      <c r="AB569" s="3">
        <f>IF(B569=1,'Input sheet(dashboard)'!$D$18*Calculations!X569,IF(Calculations!B569=12*'Input sheet(dashboard)'!$D$27,'Input sheet(dashboard)'!$D$18*-Calculations!X569,0))</f>
        <v>0</v>
      </c>
      <c r="AC569" s="3">
        <f>IF(B569&lt;='Input sheet(dashboard)'!$D$27*12,IF(MOD(B568,'Input sheet(dashboard)'!$D$19*12),0,'Input sheet(dashboard)'!$D$20*(1+'Input sheet(dashboard)'!$E$22)^Calculations!B569),0)</f>
        <v>0</v>
      </c>
      <c r="AD569" s="17">
        <f t="shared" si="75"/>
        <v>0</v>
      </c>
      <c r="AE569" s="17">
        <f>IF(B569&lt;='Input sheet(dashboard)'!$D$27*12,IF(D569=12,SUM(AD558:AD569),0),0)</f>
        <v>0</v>
      </c>
      <c r="AF569" s="17">
        <f t="shared" si="76"/>
        <v>0</v>
      </c>
      <c r="AG569" s="17">
        <f t="shared" si="77"/>
        <v>0</v>
      </c>
      <c r="AH569" s="3" t="str">
        <f>IF(B569&lt;='Input sheet(dashboard)'!$D$27*12,AH568*(1+'Input sheet(dashboard)'!$E$25)+AG569," ")</f>
        <v xml:space="preserve"> </v>
      </c>
    </row>
    <row r="570" spans="2:34">
      <c r="B570">
        <f t="shared" si="72"/>
        <v>567</v>
      </c>
      <c r="C570">
        <f t="shared" si="79"/>
        <v>48</v>
      </c>
      <c r="D570">
        <f t="shared" si="80"/>
        <v>3</v>
      </c>
      <c r="E570" s="15">
        <f>IF(C570&lt;='Input sheet(dashboard)'!$D$6, -PMT('Input sheet(dashboard)'!$E$5,'Input sheet(dashboard)'!$D$6*12,'Input sheet(dashboard)'!$D$3*'Input sheet(dashboard)'!$D$4),0)</f>
        <v>0</v>
      </c>
      <c r="F570" s="3">
        <f>I569*'Input sheet(dashboard)'!$E$5</f>
        <v>1.5976354776788651E-11</v>
      </c>
      <c r="G570" s="3">
        <f>IF(C570&lt;='Input sheet(dashboard)'!$D$6,E570*'Input sheet(dashboard)'!$D$7,0)</f>
        <v>0</v>
      </c>
      <c r="H570" s="3">
        <f t="shared" si="73"/>
        <v>-1.5976354776788651E-11</v>
      </c>
      <c r="I570" s="3">
        <f t="shared" si="74"/>
        <v>4.4017248483347186E-9</v>
      </c>
      <c r="J570" s="3">
        <f>IF(B570&lt;='Input sheet(dashboard)'!$D$27*12,'Input sheet(dashboard)'!$D$3*(1+'Input sheet(dashboard)'!$E$24)^B570,0)</f>
        <v>0</v>
      </c>
      <c r="K570" s="3">
        <f>IF(B570&lt;='Input sheet(dashboard)'!$D$27*12,J570*'Input sheet(dashboard)'!$E$8,0)</f>
        <v>0</v>
      </c>
      <c r="L570" s="3">
        <f>IF(B570&lt;='Input sheet(dashboard)'!$D$27*12,'Input sheet(dashboard)'!$D$9*(1+'Input sheet(dashboard)'!$E$22)^B570,0)</f>
        <v>0</v>
      </c>
      <c r="M570" s="3">
        <f>IF(B570=1,'Input sheet(dashboard)'!$D$3*'Input sheet(dashboard)'!$D$10,0)</f>
        <v>0</v>
      </c>
      <c r="N570" s="3">
        <f>IF(B570='Input sheet(dashboard)'!$D$27*12,J570*'Input sheet(dashboard)'!$D$11,0)</f>
        <v>0</v>
      </c>
      <c r="O570" s="3">
        <f>IF(SUM(F570:F581)&gt;=150000,150000/12*'Input sheet(dashboard)'!$D$28,SUM(F570:F581)/12*'Input sheet(dashboard)'!$D$28)</f>
        <v>2.4450547851585598E-12</v>
      </c>
      <c r="P570" s="3">
        <f t="shared" si="78"/>
        <v>0</v>
      </c>
      <c r="Q570" s="3">
        <f>IF(B570&lt;='Input sheet(dashboard)'!$D$27*12,'Input sheet(dashboard)'!$D$12/12,0)</f>
        <v>0</v>
      </c>
      <c r="R570" s="3">
        <f>IF(B570&lt;='Input sheet(dashboard)'!$D$27*12,('Input sheet(dashboard)'!$D$15/12)*(1+'Input sheet(dashboard)'!$E$22)^Calculations!B570,0)</f>
        <v>0</v>
      </c>
      <c r="S570" s="3">
        <f>IF(B570&lt;='Input sheet(dashboard)'!$D$27*12,(E570+G570+K570+L570-O570+M570+Q570+R570),0)</f>
        <v>0</v>
      </c>
      <c r="T570" s="3">
        <f>IF(B570&lt;='Input sheet(dashboard)'!$D$27*12,IF(D570=12,SUM(S559:S570),0),0)</f>
        <v>0</v>
      </c>
      <c r="U570" s="3">
        <f>IF(B570&lt;='Input sheet(dashboard)'!$D$27*12,IF(S570&lt;AD570,AD570-S570,0),0)</f>
        <v>0</v>
      </c>
      <c r="V570" s="3">
        <f>IF(B570&lt;='Input sheet(dashboard)'!$D$27*12,V569*(1+'Input sheet(dashboard)'!$E$25)+U570,0)</f>
        <v>0</v>
      </c>
      <c r="W570" s="17">
        <f>IF(B570&lt;='Input sheet(dashboard)'!$D$27*12,J570-I570+V570-N570,0)</f>
        <v>0</v>
      </c>
      <c r="X570" s="3">
        <f>IF(B570&lt;='Input sheet(dashboard)'!$D$27*12,'Input sheet(dashboard)'!$D$17*(1+'Input sheet(dashboard)'!$E$23)^(B570-1),0)</f>
        <v>0</v>
      </c>
      <c r="Y570" s="3"/>
      <c r="Z570" s="18"/>
      <c r="AA570" s="18"/>
      <c r="AB570" s="3">
        <f>IF(B570=1,'Input sheet(dashboard)'!$D$18*Calculations!X570,IF(Calculations!B570=12*'Input sheet(dashboard)'!$D$27,'Input sheet(dashboard)'!$D$18*-Calculations!X570,0))</f>
        <v>0</v>
      </c>
      <c r="AC570" s="3">
        <f>IF(B570&lt;='Input sheet(dashboard)'!$D$27*12,IF(MOD(B569,'Input sheet(dashboard)'!$D$19*12),0,'Input sheet(dashboard)'!$D$20*(1+'Input sheet(dashboard)'!$E$22)^Calculations!B570),0)</f>
        <v>0</v>
      </c>
      <c r="AD570" s="17">
        <f t="shared" si="75"/>
        <v>0</v>
      </c>
      <c r="AE570" s="17">
        <f>IF(B570&lt;='Input sheet(dashboard)'!$D$27*12,IF(D570=12,SUM(AD559:AD570),0),0)</f>
        <v>0</v>
      </c>
      <c r="AF570" s="17">
        <f t="shared" si="76"/>
        <v>0</v>
      </c>
      <c r="AG570" s="17">
        <f t="shared" si="77"/>
        <v>0</v>
      </c>
      <c r="AH570" s="3" t="str">
        <f>IF(B570&lt;='Input sheet(dashboard)'!$D$27*12,AH569*(1+'Input sheet(dashboard)'!$E$25)+AG570," ")</f>
        <v xml:space="preserve"> </v>
      </c>
    </row>
    <row r="571" spans="2:34">
      <c r="B571">
        <f t="shared" si="72"/>
        <v>568</v>
      </c>
      <c r="C571">
        <f t="shared" si="79"/>
        <v>48</v>
      </c>
      <c r="D571">
        <f t="shared" si="80"/>
        <v>4</v>
      </c>
      <c r="E571" s="15">
        <f>IF(C571&lt;='Input sheet(dashboard)'!$D$6, -PMT('Input sheet(dashboard)'!$E$5,'Input sheet(dashboard)'!$D$6*12,'Input sheet(dashboard)'!$D$3*'Input sheet(dashboard)'!$D$4),0)</f>
        <v>0</v>
      </c>
      <c r="F571" s="3">
        <f>I570*'Input sheet(dashboard)'!$E$5</f>
        <v>1.6034553260429182E-11</v>
      </c>
      <c r="G571" s="3">
        <f>IF(C571&lt;='Input sheet(dashboard)'!$D$6,E571*'Input sheet(dashboard)'!$D$7,0)</f>
        <v>0</v>
      </c>
      <c r="H571" s="3">
        <f t="shared" si="73"/>
        <v>-1.6034553260429182E-11</v>
      </c>
      <c r="I571" s="3">
        <f t="shared" si="74"/>
        <v>4.417759401595148E-9</v>
      </c>
      <c r="J571" s="3">
        <f>IF(B571&lt;='Input sheet(dashboard)'!$D$27*12,'Input sheet(dashboard)'!$D$3*(1+'Input sheet(dashboard)'!$E$24)^B571,0)</f>
        <v>0</v>
      </c>
      <c r="K571" s="3">
        <f>IF(B571&lt;='Input sheet(dashboard)'!$D$27*12,J571*'Input sheet(dashboard)'!$E$8,0)</f>
        <v>0</v>
      </c>
      <c r="L571" s="3">
        <f>IF(B571&lt;='Input sheet(dashboard)'!$D$27*12,'Input sheet(dashboard)'!$D$9*(1+'Input sheet(dashboard)'!$E$22)^B571,0)</f>
        <v>0</v>
      </c>
      <c r="M571" s="3">
        <f>IF(B571=1,'Input sheet(dashboard)'!$D$3*'Input sheet(dashboard)'!$D$10,0)</f>
        <v>0</v>
      </c>
      <c r="N571" s="3">
        <f>IF(B571='Input sheet(dashboard)'!$D$27*12,J571*'Input sheet(dashboard)'!$D$11,0)</f>
        <v>0</v>
      </c>
      <c r="O571" s="3">
        <f>IF(SUM(F571:F582)&gt;=150000,150000/12*'Input sheet(dashboard)'!$D$28,SUM(F571:F582)/12*'Input sheet(dashboard)'!$D$28)</f>
        <v>2.4539616029466192E-12</v>
      </c>
      <c r="P571" s="3">
        <f t="shared" si="78"/>
        <v>0</v>
      </c>
      <c r="Q571" s="3">
        <f>IF(B571&lt;='Input sheet(dashboard)'!$D$27*12,'Input sheet(dashboard)'!$D$12/12,0)</f>
        <v>0</v>
      </c>
      <c r="R571" s="3">
        <f>IF(B571&lt;='Input sheet(dashboard)'!$D$27*12,('Input sheet(dashboard)'!$D$15/12)*(1+'Input sheet(dashboard)'!$E$22)^Calculations!B571,0)</f>
        <v>0</v>
      </c>
      <c r="S571" s="3">
        <f>IF(B571&lt;='Input sheet(dashboard)'!$D$27*12,(E571+G571+K571+L571-O571+M571+Q571+R571),0)</f>
        <v>0</v>
      </c>
      <c r="T571" s="3">
        <f>IF(B571&lt;='Input sheet(dashboard)'!$D$27*12,IF(D571=12,SUM(S560:S571),0),0)</f>
        <v>0</v>
      </c>
      <c r="U571" s="3">
        <f>IF(B571&lt;='Input sheet(dashboard)'!$D$27*12,IF(S571&lt;AD571,AD571-S571,0),0)</f>
        <v>0</v>
      </c>
      <c r="V571" s="3">
        <f>IF(B571&lt;='Input sheet(dashboard)'!$D$27*12,V570*(1+'Input sheet(dashboard)'!$E$25)+U571,0)</f>
        <v>0</v>
      </c>
      <c r="W571" s="17">
        <f>IF(B571&lt;='Input sheet(dashboard)'!$D$27*12,J571-I571+V571-N571,0)</f>
        <v>0</v>
      </c>
      <c r="X571" s="3">
        <f>IF(B571&lt;='Input sheet(dashboard)'!$D$27*12,'Input sheet(dashboard)'!$D$17*(1+'Input sheet(dashboard)'!$E$23)^(B571-1),0)</f>
        <v>0</v>
      </c>
      <c r="Y571" s="3"/>
      <c r="Z571" s="18"/>
      <c r="AA571" s="18"/>
      <c r="AB571" s="3">
        <f>IF(B571=1,'Input sheet(dashboard)'!$D$18*Calculations!X571,IF(Calculations!B571=12*'Input sheet(dashboard)'!$D$27,'Input sheet(dashboard)'!$D$18*-Calculations!X571,0))</f>
        <v>0</v>
      </c>
      <c r="AC571" s="3">
        <f>IF(B571&lt;='Input sheet(dashboard)'!$D$27*12,IF(MOD(B570,'Input sheet(dashboard)'!$D$19*12),0,'Input sheet(dashboard)'!$D$20*(1+'Input sheet(dashboard)'!$E$22)^Calculations!B571),0)</f>
        <v>0</v>
      </c>
      <c r="AD571" s="17">
        <f t="shared" si="75"/>
        <v>0</v>
      </c>
      <c r="AE571" s="17">
        <f>IF(B571&lt;='Input sheet(dashboard)'!$D$27*12,IF(D571=12,SUM(AD560:AD571),0),0)</f>
        <v>0</v>
      </c>
      <c r="AF571" s="17">
        <f t="shared" si="76"/>
        <v>0</v>
      </c>
      <c r="AG571" s="17">
        <f t="shared" si="77"/>
        <v>0</v>
      </c>
      <c r="AH571" s="3" t="str">
        <f>IF(B571&lt;='Input sheet(dashboard)'!$D$27*12,AH570*(1+'Input sheet(dashboard)'!$E$25)+AG571," ")</f>
        <v xml:space="preserve"> </v>
      </c>
    </row>
    <row r="572" spans="2:34">
      <c r="B572">
        <f t="shared" si="72"/>
        <v>569</v>
      </c>
      <c r="C572">
        <f t="shared" si="79"/>
        <v>48</v>
      </c>
      <c r="D572">
        <f t="shared" si="80"/>
        <v>5</v>
      </c>
      <c r="E572" s="15">
        <f>IF(C572&lt;='Input sheet(dashboard)'!$D$6, -PMT('Input sheet(dashboard)'!$E$5,'Input sheet(dashboard)'!$D$6*12,'Input sheet(dashboard)'!$D$3*'Input sheet(dashboard)'!$D$4),0)</f>
        <v>0</v>
      </c>
      <c r="F572" s="3">
        <f>I571*'Input sheet(dashboard)'!$E$5</f>
        <v>1.6092963748844606E-11</v>
      </c>
      <c r="G572" s="3">
        <f>IF(C572&lt;='Input sheet(dashboard)'!$D$6,E572*'Input sheet(dashboard)'!$D$7,0)</f>
        <v>0</v>
      </c>
      <c r="H572" s="3">
        <f t="shared" si="73"/>
        <v>-1.6092963748844606E-11</v>
      </c>
      <c r="I572" s="3">
        <f t="shared" si="74"/>
        <v>4.4338523653439922E-9</v>
      </c>
      <c r="J572" s="3">
        <f>IF(B572&lt;='Input sheet(dashboard)'!$D$27*12,'Input sheet(dashboard)'!$D$3*(1+'Input sheet(dashboard)'!$E$24)^B572,0)</f>
        <v>0</v>
      </c>
      <c r="K572" s="3">
        <f>IF(B572&lt;='Input sheet(dashboard)'!$D$27*12,J572*'Input sheet(dashboard)'!$E$8,0)</f>
        <v>0</v>
      </c>
      <c r="L572" s="3">
        <f>IF(B572&lt;='Input sheet(dashboard)'!$D$27*12,'Input sheet(dashboard)'!$D$9*(1+'Input sheet(dashboard)'!$E$22)^B572,0)</f>
        <v>0</v>
      </c>
      <c r="M572" s="3">
        <f>IF(B572=1,'Input sheet(dashboard)'!$D$3*'Input sheet(dashboard)'!$D$10,0)</f>
        <v>0</v>
      </c>
      <c r="N572" s="3">
        <f>IF(B572='Input sheet(dashboard)'!$D$27*12,J572*'Input sheet(dashboard)'!$D$11,0)</f>
        <v>0</v>
      </c>
      <c r="O572" s="3">
        <f>IF(SUM(F572:F583)&gt;=150000,150000/12*'Input sheet(dashboard)'!$D$28,SUM(F572:F583)/12*'Input sheet(dashboard)'!$D$28)</f>
        <v>2.4629008663893084E-12</v>
      </c>
      <c r="P572" s="3">
        <f t="shared" si="78"/>
        <v>0</v>
      </c>
      <c r="Q572" s="3">
        <f>IF(B572&lt;='Input sheet(dashboard)'!$D$27*12,'Input sheet(dashboard)'!$D$12/12,0)</f>
        <v>0</v>
      </c>
      <c r="R572" s="3">
        <f>IF(B572&lt;='Input sheet(dashboard)'!$D$27*12,('Input sheet(dashboard)'!$D$15/12)*(1+'Input sheet(dashboard)'!$E$22)^Calculations!B572,0)</f>
        <v>0</v>
      </c>
      <c r="S572" s="3">
        <f>IF(B572&lt;='Input sheet(dashboard)'!$D$27*12,(E572+G572+K572+L572-O572+M572+Q572+R572),0)</f>
        <v>0</v>
      </c>
      <c r="T572" s="3">
        <f>IF(B572&lt;='Input sheet(dashboard)'!$D$27*12,IF(D572=12,SUM(S561:S572),0),0)</f>
        <v>0</v>
      </c>
      <c r="U572" s="3">
        <f>IF(B572&lt;='Input sheet(dashboard)'!$D$27*12,IF(S572&lt;AD572,AD572-S572,0),0)</f>
        <v>0</v>
      </c>
      <c r="V572" s="3">
        <f>IF(B572&lt;='Input sheet(dashboard)'!$D$27*12,V571*(1+'Input sheet(dashboard)'!$E$25)+U572,0)</f>
        <v>0</v>
      </c>
      <c r="W572" s="17">
        <f>IF(B572&lt;='Input sheet(dashboard)'!$D$27*12,J572-I572+V572-N572,0)</f>
        <v>0</v>
      </c>
      <c r="X572" s="3">
        <f>IF(B572&lt;='Input sheet(dashboard)'!$D$27*12,'Input sheet(dashboard)'!$D$17*(1+'Input sheet(dashboard)'!$E$23)^(B572-1),0)</f>
        <v>0</v>
      </c>
      <c r="Y572" s="3"/>
      <c r="Z572" s="18"/>
      <c r="AA572" s="18"/>
      <c r="AB572" s="3">
        <f>IF(B572=1,'Input sheet(dashboard)'!$D$18*Calculations!X572,IF(Calculations!B572=12*'Input sheet(dashboard)'!$D$27,'Input sheet(dashboard)'!$D$18*-Calculations!X572,0))</f>
        <v>0</v>
      </c>
      <c r="AC572" s="3">
        <f>IF(B572&lt;='Input sheet(dashboard)'!$D$27*12,IF(MOD(B571,'Input sheet(dashboard)'!$D$19*12),0,'Input sheet(dashboard)'!$D$20*(1+'Input sheet(dashboard)'!$E$22)^Calculations!B572),0)</f>
        <v>0</v>
      </c>
      <c r="AD572" s="17">
        <f t="shared" si="75"/>
        <v>0</v>
      </c>
      <c r="AE572" s="17">
        <f>IF(B572&lt;='Input sheet(dashboard)'!$D$27*12,IF(D572=12,SUM(AD561:AD572),0),0)</f>
        <v>0</v>
      </c>
      <c r="AF572" s="17">
        <f t="shared" si="76"/>
        <v>0</v>
      </c>
      <c r="AG572" s="17">
        <f t="shared" si="77"/>
        <v>0</v>
      </c>
      <c r="AH572" s="3" t="str">
        <f>IF(B572&lt;='Input sheet(dashboard)'!$D$27*12,AH571*(1+'Input sheet(dashboard)'!$E$25)+AG572," ")</f>
        <v xml:space="preserve"> </v>
      </c>
    </row>
    <row r="573" spans="2:34">
      <c r="B573">
        <f t="shared" si="72"/>
        <v>570</v>
      </c>
      <c r="C573">
        <f t="shared" si="79"/>
        <v>48</v>
      </c>
      <c r="D573">
        <f t="shared" si="80"/>
        <v>6</v>
      </c>
      <c r="E573" s="15">
        <f>IF(C573&lt;='Input sheet(dashboard)'!$D$6, -PMT('Input sheet(dashboard)'!$E$5,'Input sheet(dashboard)'!$D$6*12,'Input sheet(dashboard)'!$D$3*'Input sheet(dashboard)'!$D$4),0)</f>
        <v>0</v>
      </c>
      <c r="F573" s="3">
        <f>I572*'Input sheet(dashboard)'!$E$5</f>
        <v>1.6151587014323507E-11</v>
      </c>
      <c r="G573" s="3">
        <f>IF(C573&lt;='Input sheet(dashboard)'!$D$6,E573*'Input sheet(dashboard)'!$D$7,0)</f>
        <v>0</v>
      </c>
      <c r="H573" s="3">
        <f t="shared" si="73"/>
        <v>-1.6151587014323507E-11</v>
      </c>
      <c r="I573" s="3">
        <f t="shared" si="74"/>
        <v>4.4500039523583157E-9</v>
      </c>
      <c r="J573" s="3">
        <f>IF(B573&lt;='Input sheet(dashboard)'!$D$27*12,'Input sheet(dashboard)'!$D$3*(1+'Input sheet(dashboard)'!$E$24)^B573,0)</f>
        <v>0</v>
      </c>
      <c r="K573" s="3">
        <f>IF(B573&lt;='Input sheet(dashboard)'!$D$27*12,J573*'Input sheet(dashboard)'!$E$8,0)</f>
        <v>0</v>
      </c>
      <c r="L573" s="3">
        <f>IF(B573&lt;='Input sheet(dashboard)'!$D$27*12,'Input sheet(dashboard)'!$D$9*(1+'Input sheet(dashboard)'!$E$22)^B573,0)</f>
        <v>0</v>
      </c>
      <c r="M573" s="3">
        <f>IF(B573=1,'Input sheet(dashboard)'!$D$3*'Input sheet(dashboard)'!$D$10,0)</f>
        <v>0</v>
      </c>
      <c r="N573" s="3">
        <f>IF(B573='Input sheet(dashboard)'!$D$27*12,J573*'Input sheet(dashboard)'!$D$11,0)</f>
        <v>0</v>
      </c>
      <c r="O573" s="3">
        <f>IF(SUM(F573:F584)&gt;=150000,150000/12*'Input sheet(dashboard)'!$D$28,SUM(F573:F584)/12*'Input sheet(dashboard)'!$D$28)</f>
        <v>2.4718726936792896E-12</v>
      </c>
      <c r="P573" s="3">
        <f t="shared" si="78"/>
        <v>0</v>
      </c>
      <c r="Q573" s="3">
        <f>IF(B573&lt;='Input sheet(dashboard)'!$D$27*12,'Input sheet(dashboard)'!$D$12/12,0)</f>
        <v>0</v>
      </c>
      <c r="R573" s="3">
        <f>IF(B573&lt;='Input sheet(dashboard)'!$D$27*12,('Input sheet(dashboard)'!$D$15/12)*(1+'Input sheet(dashboard)'!$E$22)^Calculations!B573,0)</f>
        <v>0</v>
      </c>
      <c r="S573" s="3">
        <f>IF(B573&lt;='Input sheet(dashboard)'!$D$27*12,(E573+G573+K573+L573-O573+M573+Q573+R573),0)</f>
        <v>0</v>
      </c>
      <c r="T573" s="3">
        <f>IF(B573&lt;='Input sheet(dashboard)'!$D$27*12,IF(D573=12,SUM(S562:S573),0),0)</f>
        <v>0</v>
      </c>
      <c r="U573" s="3">
        <f>IF(B573&lt;='Input sheet(dashboard)'!$D$27*12,IF(S573&lt;AD573,AD573-S573,0),0)</f>
        <v>0</v>
      </c>
      <c r="V573" s="3">
        <f>IF(B573&lt;='Input sheet(dashboard)'!$D$27*12,V572*(1+'Input sheet(dashboard)'!$E$25)+U573,0)</f>
        <v>0</v>
      </c>
      <c r="W573" s="17">
        <f>IF(B573&lt;='Input sheet(dashboard)'!$D$27*12,J573-I573+V573-N573,0)</f>
        <v>0</v>
      </c>
      <c r="X573" s="3">
        <f>IF(B573&lt;='Input sheet(dashboard)'!$D$27*12,'Input sheet(dashboard)'!$D$17*(1+'Input sheet(dashboard)'!$E$23)^(B573-1),0)</f>
        <v>0</v>
      </c>
      <c r="Y573" s="3"/>
      <c r="Z573" s="18"/>
      <c r="AA573" s="18"/>
      <c r="AB573" s="3">
        <f>IF(B573=1,'Input sheet(dashboard)'!$D$18*Calculations!X573,IF(Calculations!B573=12*'Input sheet(dashboard)'!$D$27,'Input sheet(dashboard)'!$D$18*-Calculations!X573,0))</f>
        <v>0</v>
      </c>
      <c r="AC573" s="3">
        <f>IF(B573&lt;='Input sheet(dashboard)'!$D$27*12,IF(MOD(B572,'Input sheet(dashboard)'!$D$19*12),0,'Input sheet(dashboard)'!$D$20*(1+'Input sheet(dashboard)'!$E$22)^Calculations!B573),0)</f>
        <v>0</v>
      </c>
      <c r="AD573" s="17">
        <f t="shared" si="75"/>
        <v>0</v>
      </c>
      <c r="AE573" s="17">
        <f>IF(B573&lt;='Input sheet(dashboard)'!$D$27*12,IF(D573=12,SUM(AD562:AD573),0),0)</f>
        <v>0</v>
      </c>
      <c r="AF573" s="17">
        <f t="shared" si="76"/>
        <v>0</v>
      </c>
      <c r="AG573" s="17">
        <f t="shared" si="77"/>
        <v>0</v>
      </c>
      <c r="AH573" s="3" t="str">
        <f>IF(B573&lt;='Input sheet(dashboard)'!$D$27*12,AH572*(1+'Input sheet(dashboard)'!$E$25)+AG573," ")</f>
        <v xml:space="preserve"> </v>
      </c>
    </row>
    <row r="574" spans="2:34">
      <c r="B574">
        <f t="shared" si="72"/>
        <v>571</v>
      </c>
      <c r="C574">
        <f t="shared" si="79"/>
        <v>48</v>
      </c>
      <c r="D574">
        <f t="shared" si="80"/>
        <v>7</v>
      </c>
      <c r="E574" s="15">
        <f>IF(C574&lt;='Input sheet(dashboard)'!$D$6, -PMT('Input sheet(dashboard)'!$E$5,'Input sheet(dashboard)'!$D$6*12,'Input sheet(dashboard)'!$D$3*'Input sheet(dashboard)'!$D$4),0)</f>
        <v>0</v>
      </c>
      <c r="F574" s="3">
        <f>I573*'Input sheet(dashboard)'!$E$5</f>
        <v>1.6210423831967756E-11</v>
      </c>
      <c r="G574" s="3">
        <f>IF(C574&lt;='Input sheet(dashboard)'!$D$6,E574*'Input sheet(dashboard)'!$D$7,0)</f>
        <v>0</v>
      </c>
      <c r="H574" s="3">
        <f t="shared" si="73"/>
        <v>-1.6210423831967756E-11</v>
      </c>
      <c r="I574" s="3">
        <f t="shared" si="74"/>
        <v>4.4662143761902833E-9</v>
      </c>
      <c r="J574" s="3">
        <f>IF(B574&lt;='Input sheet(dashboard)'!$D$27*12,'Input sheet(dashboard)'!$D$3*(1+'Input sheet(dashboard)'!$E$24)^B574,0)</f>
        <v>0</v>
      </c>
      <c r="K574" s="3">
        <f>IF(B574&lt;='Input sheet(dashboard)'!$D$27*12,J574*'Input sheet(dashboard)'!$E$8,0)</f>
        <v>0</v>
      </c>
      <c r="L574" s="3">
        <f>IF(B574&lt;='Input sheet(dashboard)'!$D$27*12,'Input sheet(dashboard)'!$D$9*(1+'Input sheet(dashboard)'!$E$22)^B574,0)</f>
        <v>0</v>
      </c>
      <c r="M574" s="3">
        <f>IF(B574=1,'Input sheet(dashboard)'!$D$3*'Input sheet(dashboard)'!$D$10,0)</f>
        <v>0</v>
      </c>
      <c r="N574" s="3">
        <f>IF(B574='Input sheet(dashboard)'!$D$27*12,J574*'Input sheet(dashboard)'!$D$11,0)</f>
        <v>0</v>
      </c>
      <c r="O574" s="3">
        <f>IF(SUM(F574:F585)&gt;=150000,150000/12*'Input sheet(dashboard)'!$D$28,SUM(F574:F585)/12*'Input sheet(dashboard)'!$D$28)</f>
        <v>2.4808772034397751E-12</v>
      </c>
      <c r="P574" s="3">
        <f t="shared" si="78"/>
        <v>0</v>
      </c>
      <c r="Q574" s="3">
        <f>IF(B574&lt;='Input sheet(dashboard)'!$D$27*12,'Input sheet(dashboard)'!$D$12/12,0)</f>
        <v>0</v>
      </c>
      <c r="R574" s="3">
        <f>IF(B574&lt;='Input sheet(dashboard)'!$D$27*12,('Input sheet(dashboard)'!$D$15/12)*(1+'Input sheet(dashboard)'!$E$22)^Calculations!B574,0)</f>
        <v>0</v>
      </c>
      <c r="S574" s="3">
        <f>IF(B574&lt;='Input sheet(dashboard)'!$D$27*12,(E574+G574+K574+L574-O574+M574+Q574+R574),0)</f>
        <v>0</v>
      </c>
      <c r="T574" s="3">
        <f>IF(B574&lt;='Input sheet(dashboard)'!$D$27*12,IF(D574=12,SUM(S563:S574),0),0)</f>
        <v>0</v>
      </c>
      <c r="U574" s="3">
        <f>IF(B574&lt;='Input sheet(dashboard)'!$D$27*12,IF(S574&lt;AD574,AD574-S574,0),0)</f>
        <v>0</v>
      </c>
      <c r="V574" s="3">
        <f>IF(B574&lt;='Input sheet(dashboard)'!$D$27*12,V573*(1+'Input sheet(dashboard)'!$E$25)+U574,0)</f>
        <v>0</v>
      </c>
      <c r="W574" s="17">
        <f>IF(B574&lt;='Input sheet(dashboard)'!$D$27*12,J574-I574+V574-N574,0)</f>
        <v>0</v>
      </c>
      <c r="X574" s="3">
        <f>IF(B574&lt;='Input sheet(dashboard)'!$D$27*12,'Input sheet(dashboard)'!$D$17*(1+'Input sheet(dashboard)'!$E$23)^(B574-1),0)</f>
        <v>0</v>
      </c>
      <c r="Y574" s="3"/>
      <c r="Z574" s="18"/>
      <c r="AA574" s="18"/>
      <c r="AB574" s="3">
        <f>IF(B574=1,'Input sheet(dashboard)'!$D$18*Calculations!X574,IF(Calculations!B574=12*'Input sheet(dashboard)'!$D$27,'Input sheet(dashboard)'!$D$18*-Calculations!X574,0))</f>
        <v>0</v>
      </c>
      <c r="AC574" s="3">
        <f>IF(B574&lt;='Input sheet(dashboard)'!$D$27*12,IF(MOD(B573,'Input sheet(dashboard)'!$D$19*12),0,'Input sheet(dashboard)'!$D$20*(1+'Input sheet(dashboard)'!$E$22)^Calculations!B574),0)</f>
        <v>0</v>
      </c>
      <c r="AD574" s="17">
        <f t="shared" si="75"/>
        <v>0</v>
      </c>
      <c r="AE574" s="17">
        <f>IF(B574&lt;='Input sheet(dashboard)'!$D$27*12,IF(D574=12,SUM(AD563:AD574),0),0)</f>
        <v>0</v>
      </c>
      <c r="AF574" s="17">
        <f t="shared" si="76"/>
        <v>0</v>
      </c>
      <c r="AG574" s="17">
        <f t="shared" si="77"/>
        <v>0</v>
      </c>
      <c r="AH574" s="3" t="str">
        <f>IF(B574&lt;='Input sheet(dashboard)'!$D$27*12,AH573*(1+'Input sheet(dashboard)'!$E$25)+AG574," ")</f>
        <v xml:space="preserve"> </v>
      </c>
    </row>
    <row r="575" spans="2:34">
      <c r="B575">
        <f t="shared" si="72"/>
        <v>572</v>
      </c>
      <c r="C575">
        <f t="shared" si="79"/>
        <v>48</v>
      </c>
      <c r="D575">
        <f t="shared" si="80"/>
        <v>8</v>
      </c>
      <c r="E575" s="15">
        <f>IF(C575&lt;='Input sheet(dashboard)'!$D$6, -PMT('Input sheet(dashboard)'!$E$5,'Input sheet(dashboard)'!$D$6*12,'Input sheet(dashboard)'!$D$3*'Input sheet(dashboard)'!$D$4),0)</f>
        <v>0</v>
      </c>
      <c r="F575" s="3">
        <f>I574*'Input sheet(dashboard)'!$E$5</f>
        <v>1.6269474979702752E-11</v>
      </c>
      <c r="G575" s="3">
        <f>IF(C575&lt;='Input sheet(dashboard)'!$D$6,E575*'Input sheet(dashboard)'!$D$7,0)</f>
        <v>0</v>
      </c>
      <c r="H575" s="3">
        <f t="shared" si="73"/>
        <v>-1.6269474979702752E-11</v>
      </c>
      <c r="I575" s="3">
        <f t="shared" si="74"/>
        <v>4.4824838511699862E-9</v>
      </c>
      <c r="J575" s="3">
        <f>IF(B575&lt;='Input sheet(dashboard)'!$D$27*12,'Input sheet(dashboard)'!$D$3*(1+'Input sheet(dashboard)'!$E$24)^B575,0)</f>
        <v>0</v>
      </c>
      <c r="K575" s="3">
        <f>IF(B575&lt;='Input sheet(dashboard)'!$D$27*12,J575*'Input sheet(dashboard)'!$E$8,0)</f>
        <v>0</v>
      </c>
      <c r="L575" s="3">
        <f>IF(B575&lt;='Input sheet(dashboard)'!$D$27*12,'Input sheet(dashboard)'!$D$9*(1+'Input sheet(dashboard)'!$E$22)^B575,0)</f>
        <v>0</v>
      </c>
      <c r="M575" s="3">
        <f>IF(B575=1,'Input sheet(dashboard)'!$D$3*'Input sheet(dashboard)'!$D$10,0)</f>
        <v>0</v>
      </c>
      <c r="N575" s="3">
        <f>IF(B575='Input sheet(dashboard)'!$D$27*12,J575*'Input sheet(dashboard)'!$D$11,0)</f>
        <v>0</v>
      </c>
      <c r="O575" s="3">
        <f>IF(SUM(F575:F586)&gt;=150000,150000/12*'Input sheet(dashboard)'!$D$28,SUM(F575:F586)/12*'Input sheet(dashboard)'!$D$28)</f>
        <v>2.4899145147260973E-12</v>
      </c>
      <c r="P575" s="3">
        <f t="shared" si="78"/>
        <v>0</v>
      </c>
      <c r="Q575" s="3">
        <f>IF(B575&lt;='Input sheet(dashboard)'!$D$27*12,'Input sheet(dashboard)'!$D$12/12,0)</f>
        <v>0</v>
      </c>
      <c r="R575" s="3">
        <f>IF(B575&lt;='Input sheet(dashboard)'!$D$27*12,('Input sheet(dashboard)'!$D$15/12)*(1+'Input sheet(dashboard)'!$E$22)^Calculations!B575,0)</f>
        <v>0</v>
      </c>
      <c r="S575" s="3">
        <f>IF(B575&lt;='Input sheet(dashboard)'!$D$27*12,(E575+G575+K575+L575-O575+M575+Q575+R575),0)</f>
        <v>0</v>
      </c>
      <c r="T575" s="3">
        <f>IF(B575&lt;='Input sheet(dashboard)'!$D$27*12,IF(D575=12,SUM(S564:S575),0),0)</f>
        <v>0</v>
      </c>
      <c r="U575" s="3">
        <f>IF(B575&lt;='Input sheet(dashboard)'!$D$27*12,IF(S575&lt;AD575,AD575-S575,0),0)</f>
        <v>0</v>
      </c>
      <c r="V575" s="3">
        <f>IF(B575&lt;='Input sheet(dashboard)'!$D$27*12,V574*(1+'Input sheet(dashboard)'!$E$25)+U575,0)</f>
        <v>0</v>
      </c>
      <c r="W575" s="17">
        <f>IF(B575&lt;='Input sheet(dashboard)'!$D$27*12,J575-I575+V575-N575,0)</f>
        <v>0</v>
      </c>
      <c r="X575" s="3">
        <f>IF(B575&lt;='Input sheet(dashboard)'!$D$27*12,'Input sheet(dashboard)'!$D$17*(1+'Input sheet(dashboard)'!$E$23)^(B575-1),0)</f>
        <v>0</v>
      </c>
      <c r="Y575" s="3"/>
      <c r="Z575" s="18"/>
      <c r="AA575" s="18"/>
      <c r="AB575" s="3">
        <f>IF(B575=1,'Input sheet(dashboard)'!$D$18*Calculations!X575,IF(Calculations!B575=12*'Input sheet(dashboard)'!$D$27,'Input sheet(dashboard)'!$D$18*-Calculations!X575,0))</f>
        <v>0</v>
      </c>
      <c r="AC575" s="3">
        <f>IF(B575&lt;='Input sheet(dashboard)'!$D$27*12,IF(MOD(B574,'Input sheet(dashboard)'!$D$19*12),0,'Input sheet(dashboard)'!$D$20*(1+'Input sheet(dashboard)'!$E$22)^Calculations!B575),0)</f>
        <v>0</v>
      </c>
      <c r="AD575" s="17">
        <f t="shared" si="75"/>
        <v>0</v>
      </c>
      <c r="AE575" s="17">
        <f>IF(B575&lt;='Input sheet(dashboard)'!$D$27*12,IF(D575=12,SUM(AD564:AD575),0),0)</f>
        <v>0</v>
      </c>
      <c r="AF575" s="17">
        <f t="shared" si="76"/>
        <v>0</v>
      </c>
      <c r="AG575" s="17">
        <f t="shared" si="77"/>
        <v>0</v>
      </c>
      <c r="AH575" s="3" t="str">
        <f>IF(B575&lt;='Input sheet(dashboard)'!$D$27*12,AH574*(1+'Input sheet(dashboard)'!$E$25)+AG575," ")</f>
        <v xml:space="preserve"> </v>
      </c>
    </row>
    <row r="576" spans="2:34">
      <c r="B576">
        <f t="shared" si="72"/>
        <v>573</v>
      </c>
      <c r="C576">
        <f t="shared" si="79"/>
        <v>48</v>
      </c>
      <c r="D576">
        <f t="shared" si="80"/>
        <v>9</v>
      </c>
      <c r="E576" s="15">
        <f>IF(C576&lt;='Input sheet(dashboard)'!$D$6, -PMT('Input sheet(dashboard)'!$E$5,'Input sheet(dashboard)'!$D$6*12,'Input sheet(dashboard)'!$D$3*'Input sheet(dashboard)'!$D$4),0)</f>
        <v>0</v>
      </c>
      <c r="F576" s="3">
        <f>I575*'Input sheet(dashboard)'!$E$5</f>
        <v>1.6328741238287716E-11</v>
      </c>
      <c r="G576" s="3">
        <f>IF(C576&lt;='Input sheet(dashboard)'!$D$6,E576*'Input sheet(dashboard)'!$D$7,0)</f>
        <v>0</v>
      </c>
      <c r="H576" s="3">
        <f t="shared" si="73"/>
        <v>-1.6328741238287716E-11</v>
      </c>
      <c r="I576" s="3">
        <f t="shared" si="74"/>
        <v>4.4988125924082738E-9</v>
      </c>
      <c r="J576" s="3">
        <f>IF(B576&lt;='Input sheet(dashboard)'!$D$27*12,'Input sheet(dashboard)'!$D$3*(1+'Input sheet(dashboard)'!$E$24)^B576,0)</f>
        <v>0</v>
      </c>
      <c r="K576" s="3">
        <f>IF(B576&lt;='Input sheet(dashboard)'!$D$27*12,J576*'Input sheet(dashboard)'!$E$8,0)</f>
        <v>0</v>
      </c>
      <c r="L576" s="3">
        <f>IF(B576&lt;='Input sheet(dashboard)'!$D$27*12,'Input sheet(dashboard)'!$D$9*(1+'Input sheet(dashboard)'!$E$22)^B576,0)</f>
        <v>0</v>
      </c>
      <c r="M576" s="3">
        <f>IF(B576=1,'Input sheet(dashboard)'!$D$3*'Input sheet(dashboard)'!$D$10,0)</f>
        <v>0</v>
      </c>
      <c r="N576" s="3">
        <f>IF(B576='Input sheet(dashboard)'!$D$27*12,J576*'Input sheet(dashboard)'!$D$11,0)</f>
        <v>0</v>
      </c>
      <c r="O576" s="3">
        <f>IF(SUM(F576:F587)&gt;=150000,150000/12*'Input sheet(dashboard)'!$D$28,SUM(F576:F587)/12*'Input sheet(dashboard)'!$D$28)</f>
        <v>2.4989847470272815E-12</v>
      </c>
      <c r="P576" s="3">
        <f t="shared" si="78"/>
        <v>0</v>
      </c>
      <c r="Q576" s="3">
        <f>IF(B576&lt;='Input sheet(dashboard)'!$D$27*12,'Input sheet(dashboard)'!$D$12/12,0)</f>
        <v>0</v>
      </c>
      <c r="R576" s="3">
        <f>IF(B576&lt;='Input sheet(dashboard)'!$D$27*12,('Input sheet(dashboard)'!$D$15/12)*(1+'Input sheet(dashboard)'!$E$22)^Calculations!B576,0)</f>
        <v>0</v>
      </c>
      <c r="S576" s="3">
        <f>IF(B576&lt;='Input sheet(dashboard)'!$D$27*12,(E576+G576+K576+L576-O576+M576+Q576+R576),0)</f>
        <v>0</v>
      </c>
      <c r="T576" s="3">
        <f>IF(B576&lt;='Input sheet(dashboard)'!$D$27*12,IF(D576=12,SUM(S565:S576),0),0)</f>
        <v>0</v>
      </c>
      <c r="U576" s="3">
        <f>IF(B576&lt;='Input sheet(dashboard)'!$D$27*12,IF(S576&lt;AD576,AD576-S576,0),0)</f>
        <v>0</v>
      </c>
      <c r="V576" s="3">
        <f>IF(B576&lt;='Input sheet(dashboard)'!$D$27*12,V575*(1+'Input sheet(dashboard)'!$E$25)+U576,0)</f>
        <v>0</v>
      </c>
      <c r="W576" s="17">
        <f>IF(B576&lt;='Input sheet(dashboard)'!$D$27*12,J576-I576+V576-N576,0)</f>
        <v>0</v>
      </c>
      <c r="X576" s="3">
        <f>IF(B576&lt;='Input sheet(dashboard)'!$D$27*12,'Input sheet(dashboard)'!$D$17*(1+'Input sheet(dashboard)'!$E$23)^(B576-1),0)</f>
        <v>0</v>
      </c>
      <c r="Y576" s="3"/>
      <c r="Z576" s="18"/>
      <c r="AA576" s="18"/>
      <c r="AB576" s="3">
        <f>IF(B576=1,'Input sheet(dashboard)'!$D$18*Calculations!X576,IF(Calculations!B576=12*'Input sheet(dashboard)'!$D$27,'Input sheet(dashboard)'!$D$18*-Calculations!X576,0))</f>
        <v>0</v>
      </c>
      <c r="AC576" s="3">
        <f>IF(B576&lt;='Input sheet(dashboard)'!$D$27*12,IF(MOD(B575,'Input sheet(dashboard)'!$D$19*12),0,'Input sheet(dashboard)'!$D$20*(1+'Input sheet(dashboard)'!$E$22)^Calculations!B576),0)</f>
        <v>0</v>
      </c>
      <c r="AD576" s="17">
        <f t="shared" si="75"/>
        <v>0</v>
      </c>
      <c r="AE576" s="17">
        <f>IF(B576&lt;='Input sheet(dashboard)'!$D$27*12,IF(D576=12,SUM(AD565:AD576),0),0)</f>
        <v>0</v>
      </c>
      <c r="AF576" s="17">
        <f t="shared" si="76"/>
        <v>0</v>
      </c>
      <c r="AG576" s="17">
        <f t="shared" si="77"/>
        <v>0</v>
      </c>
      <c r="AH576" s="3" t="str">
        <f>IF(B576&lt;='Input sheet(dashboard)'!$D$27*12,AH575*(1+'Input sheet(dashboard)'!$E$25)+AG576," ")</f>
        <v xml:space="preserve"> </v>
      </c>
    </row>
    <row r="577" spans="2:34">
      <c r="B577">
        <f t="shared" si="72"/>
        <v>574</v>
      </c>
      <c r="C577">
        <f t="shared" si="79"/>
        <v>48</v>
      </c>
      <c r="D577">
        <f t="shared" si="80"/>
        <v>10</v>
      </c>
      <c r="E577" s="15">
        <f>IF(C577&lt;='Input sheet(dashboard)'!$D$6, -PMT('Input sheet(dashboard)'!$E$5,'Input sheet(dashboard)'!$D$6*12,'Input sheet(dashboard)'!$D$3*'Input sheet(dashboard)'!$D$4),0)</f>
        <v>0</v>
      </c>
      <c r="F577" s="3">
        <f>I576*'Input sheet(dashboard)'!$E$5</f>
        <v>1.6388223391326006E-11</v>
      </c>
      <c r="G577" s="3">
        <f>IF(C577&lt;='Input sheet(dashboard)'!$D$6,E577*'Input sheet(dashboard)'!$D$7,0)</f>
        <v>0</v>
      </c>
      <c r="H577" s="3">
        <f t="shared" si="73"/>
        <v>-1.6388223391326006E-11</v>
      </c>
      <c r="I577" s="3">
        <f t="shared" si="74"/>
        <v>4.5152008157995994E-9</v>
      </c>
      <c r="J577" s="3">
        <f>IF(B577&lt;='Input sheet(dashboard)'!$D$27*12,'Input sheet(dashboard)'!$D$3*(1+'Input sheet(dashboard)'!$E$24)^B577,0)</f>
        <v>0</v>
      </c>
      <c r="K577" s="3">
        <f>IF(B577&lt;='Input sheet(dashboard)'!$D$27*12,J577*'Input sheet(dashboard)'!$E$8,0)</f>
        <v>0</v>
      </c>
      <c r="L577" s="3">
        <f>IF(B577&lt;='Input sheet(dashboard)'!$D$27*12,'Input sheet(dashboard)'!$D$9*(1+'Input sheet(dashboard)'!$E$22)^B577,0)</f>
        <v>0</v>
      </c>
      <c r="M577" s="3">
        <f>IF(B577=1,'Input sheet(dashboard)'!$D$3*'Input sheet(dashboard)'!$D$10,0)</f>
        <v>0</v>
      </c>
      <c r="N577" s="3">
        <f>IF(B577='Input sheet(dashboard)'!$D$27*12,J577*'Input sheet(dashboard)'!$D$11,0)</f>
        <v>0</v>
      </c>
      <c r="O577" s="3">
        <f>IF(SUM(F577:F588)&gt;=150000,150000/12*'Input sheet(dashboard)'!$D$28,SUM(F577:F588)/12*'Input sheet(dashboard)'!$D$28)</f>
        <v>2.5080880202676268E-12</v>
      </c>
      <c r="P577" s="3">
        <f t="shared" si="78"/>
        <v>0</v>
      </c>
      <c r="Q577" s="3">
        <f>IF(B577&lt;='Input sheet(dashboard)'!$D$27*12,'Input sheet(dashboard)'!$D$12/12,0)</f>
        <v>0</v>
      </c>
      <c r="R577" s="3">
        <f>IF(B577&lt;='Input sheet(dashboard)'!$D$27*12,('Input sheet(dashboard)'!$D$15/12)*(1+'Input sheet(dashboard)'!$E$22)^Calculations!B577,0)</f>
        <v>0</v>
      </c>
      <c r="S577" s="3">
        <f>IF(B577&lt;='Input sheet(dashboard)'!$D$27*12,(E577+G577+K577+L577-O577+M577+Q577+R577),0)</f>
        <v>0</v>
      </c>
      <c r="T577" s="3">
        <f>IF(B577&lt;='Input sheet(dashboard)'!$D$27*12,IF(D577=12,SUM(S566:S577),0),0)</f>
        <v>0</v>
      </c>
      <c r="U577" s="3">
        <f>IF(B577&lt;='Input sheet(dashboard)'!$D$27*12,IF(S577&lt;AD577,AD577-S577,0),0)</f>
        <v>0</v>
      </c>
      <c r="V577" s="3">
        <f>IF(B577&lt;='Input sheet(dashboard)'!$D$27*12,V576*(1+'Input sheet(dashboard)'!$E$25)+U577,0)</f>
        <v>0</v>
      </c>
      <c r="W577" s="17">
        <f>IF(B577&lt;='Input sheet(dashboard)'!$D$27*12,J577-I577+V577-N577,0)</f>
        <v>0</v>
      </c>
      <c r="X577" s="3">
        <f>IF(B577&lt;='Input sheet(dashboard)'!$D$27*12,'Input sheet(dashboard)'!$D$17*(1+'Input sheet(dashboard)'!$E$23)^(B577-1),0)</f>
        <v>0</v>
      </c>
      <c r="Y577" s="3"/>
      <c r="Z577" s="18"/>
      <c r="AA577" s="18"/>
      <c r="AB577" s="3">
        <f>IF(B577=1,'Input sheet(dashboard)'!$D$18*Calculations!X577,IF(Calculations!B577=12*'Input sheet(dashboard)'!$D$27,'Input sheet(dashboard)'!$D$18*-Calculations!X577,0))</f>
        <v>0</v>
      </c>
      <c r="AC577" s="3">
        <f>IF(B577&lt;='Input sheet(dashboard)'!$D$27*12,IF(MOD(B576,'Input sheet(dashboard)'!$D$19*12),0,'Input sheet(dashboard)'!$D$20*(1+'Input sheet(dashboard)'!$E$22)^Calculations!B577),0)</f>
        <v>0</v>
      </c>
      <c r="AD577" s="17">
        <f t="shared" si="75"/>
        <v>0</v>
      </c>
      <c r="AE577" s="17">
        <f>IF(B577&lt;='Input sheet(dashboard)'!$D$27*12,IF(D577=12,SUM(AD566:AD577),0),0)</f>
        <v>0</v>
      </c>
      <c r="AF577" s="17">
        <f t="shared" si="76"/>
        <v>0</v>
      </c>
      <c r="AG577" s="17">
        <f t="shared" si="77"/>
        <v>0</v>
      </c>
      <c r="AH577" s="3" t="str">
        <f>IF(B577&lt;='Input sheet(dashboard)'!$D$27*12,AH576*(1+'Input sheet(dashboard)'!$E$25)+AG577," ")</f>
        <v xml:space="preserve"> </v>
      </c>
    </row>
    <row r="578" spans="2:34">
      <c r="B578">
        <f t="shared" si="72"/>
        <v>575</v>
      </c>
      <c r="C578">
        <f t="shared" si="79"/>
        <v>48</v>
      </c>
      <c r="D578">
        <f t="shared" si="80"/>
        <v>11</v>
      </c>
      <c r="E578" s="15">
        <f>IF(C578&lt;='Input sheet(dashboard)'!$D$6, -PMT('Input sheet(dashboard)'!$E$5,'Input sheet(dashboard)'!$D$6*12,'Input sheet(dashboard)'!$D$3*'Input sheet(dashboard)'!$D$4),0)</f>
        <v>0</v>
      </c>
      <c r="F578" s="3">
        <f>I577*'Input sheet(dashboard)'!$E$5</f>
        <v>1.6447922225275484E-11</v>
      </c>
      <c r="G578" s="3">
        <f>IF(C578&lt;='Input sheet(dashboard)'!$D$6,E578*'Input sheet(dashboard)'!$D$7,0)</f>
        <v>0</v>
      </c>
      <c r="H578" s="3">
        <f t="shared" si="73"/>
        <v>-1.6447922225275484E-11</v>
      </c>
      <c r="I578" s="3">
        <f t="shared" si="74"/>
        <v>4.531648738024875E-9</v>
      </c>
      <c r="J578" s="3">
        <f>IF(B578&lt;='Input sheet(dashboard)'!$D$27*12,'Input sheet(dashboard)'!$D$3*(1+'Input sheet(dashboard)'!$E$24)^B578,0)</f>
        <v>0</v>
      </c>
      <c r="K578" s="3">
        <f>IF(B578&lt;='Input sheet(dashboard)'!$D$27*12,J578*'Input sheet(dashboard)'!$E$8,0)</f>
        <v>0</v>
      </c>
      <c r="L578" s="3">
        <f>IF(B578&lt;='Input sheet(dashboard)'!$D$27*12,'Input sheet(dashboard)'!$D$9*(1+'Input sheet(dashboard)'!$E$22)^B578,0)</f>
        <v>0</v>
      </c>
      <c r="M578" s="3">
        <f>IF(B578=1,'Input sheet(dashboard)'!$D$3*'Input sheet(dashboard)'!$D$10,0)</f>
        <v>0</v>
      </c>
      <c r="N578" s="3">
        <f>IF(B578='Input sheet(dashboard)'!$D$27*12,J578*'Input sheet(dashboard)'!$D$11,0)</f>
        <v>0</v>
      </c>
      <c r="O578" s="3">
        <f>IF(SUM(F578:F589)&gt;=150000,150000/12*'Input sheet(dashboard)'!$D$28,SUM(F578:F589)/12*'Input sheet(dashboard)'!$D$28)</f>
        <v>2.5172244548082908E-12</v>
      </c>
      <c r="P578" s="3">
        <f t="shared" si="78"/>
        <v>0</v>
      </c>
      <c r="Q578" s="3">
        <f>IF(B578&lt;='Input sheet(dashboard)'!$D$27*12,'Input sheet(dashboard)'!$D$12/12,0)</f>
        <v>0</v>
      </c>
      <c r="R578" s="3">
        <f>IF(B578&lt;='Input sheet(dashboard)'!$D$27*12,('Input sheet(dashboard)'!$D$15/12)*(1+'Input sheet(dashboard)'!$E$22)^Calculations!B578,0)</f>
        <v>0</v>
      </c>
      <c r="S578" s="3">
        <f>IF(B578&lt;='Input sheet(dashboard)'!$D$27*12,(E578+G578+K578+L578-O578+M578+Q578+R578),0)</f>
        <v>0</v>
      </c>
      <c r="T578" s="3">
        <f>IF(B578&lt;='Input sheet(dashboard)'!$D$27*12,IF(D578=12,SUM(S567:S578),0),0)</f>
        <v>0</v>
      </c>
      <c r="U578" s="3">
        <f>IF(B578&lt;='Input sheet(dashboard)'!$D$27*12,IF(S578&lt;AD578,AD578-S578,0),0)</f>
        <v>0</v>
      </c>
      <c r="V578" s="3">
        <f>IF(B578&lt;='Input sheet(dashboard)'!$D$27*12,V577*(1+'Input sheet(dashboard)'!$E$25)+U578,0)</f>
        <v>0</v>
      </c>
      <c r="W578" s="17">
        <f>IF(B578&lt;='Input sheet(dashboard)'!$D$27*12,J578-I578+V578-N578,0)</f>
        <v>0</v>
      </c>
      <c r="X578" s="3">
        <f>IF(B578&lt;='Input sheet(dashboard)'!$D$27*12,'Input sheet(dashboard)'!$D$17*(1+'Input sheet(dashboard)'!$E$23)^(B578-1),0)</f>
        <v>0</v>
      </c>
      <c r="Y578" s="3"/>
      <c r="Z578" s="18"/>
      <c r="AA578" s="18"/>
      <c r="AB578" s="3">
        <f>IF(B578=1,'Input sheet(dashboard)'!$D$18*Calculations!X578,IF(Calculations!B578=12*'Input sheet(dashboard)'!$D$27,'Input sheet(dashboard)'!$D$18*-Calculations!X578,0))</f>
        <v>0</v>
      </c>
      <c r="AC578" s="3">
        <f>IF(B578&lt;='Input sheet(dashboard)'!$D$27*12,IF(MOD(B577,'Input sheet(dashboard)'!$D$19*12),0,'Input sheet(dashboard)'!$D$20*(1+'Input sheet(dashboard)'!$E$22)^Calculations!B578),0)</f>
        <v>0</v>
      </c>
      <c r="AD578" s="17">
        <f t="shared" si="75"/>
        <v>0</v>
      </c>
      <c r="AE578" s="17">
        <f>IF(B578&lt;='Input sheet(dashboard)'!$D$27*12,IF(D578=12,SUM(AD567:AD578),0),0)</f>
        <v>0</v>
      </c>
      <c r="AF578" s="17">
        <f t="shared" si="76"/>
        <v>0</v>
      </c>
      <c r="AG578" s="17">
        <f t="shared" si="77"/>
        <v>0</v>
      </c>
      <c r="AH578" s="3" t="str">
        <f>IF(B578&lt;='Input sheet(dashboard)'!$D$27*12,AH577*(1+'Input sheet(dashboard)'!$E$25)+AG578," ")</f>
        <v xml:space="preserve"> </v>
      </c>
    </row>
    <row r="579" spans="2:34">
      <c r="B579">
        <f t="shared" si="72"/>
        <v>576</v>
      </c>
      <c r="C579">
        <f t="shared" si="79"/>
        <v>48</v>
      </c>
      <c r="D579">
        <f t="shared" si="80"/>
        <v>12</v>
      </c>
      <c r="E579" s="15">
        <f>IF(C579&lt;='Input sheet(dashboard)'!$D$6, -PMT('Input sheet(dashboard)'!$E$5,'Input sheet(dashboard)'!$D$6*12,'Input sheet(dashboard)'!$D$3*'Input sheet(dashboard)'!$D$4),0)</f>
        <v>0</v>
      </c>
      <c r="F579" s="3">
        <f>I578*'Input sheet(dashboard)'!$E$5</f>
        <v>1.6507838529458912E-11</v>
      </c>
      <c r="G579" s="3">
        <f>IF(C579&lt;='Input sheet(dashboard)'!$D$6,E579*'Input sheet(dashboard)'!$D$7,0)</f>
        <v>0</v>
      </c>
      <c r="H579" s="3">
        <f t="shared" si="73"/>
        <v>-1.6507838529458912E-11</v>
      </c>
      <c r="I579" s="3">
        <f t="shared" si="74"/>
        <v>4.5481565765543339E-9</v>
      </c>
      <c r="J579" s="3">
        <f>IF(B579&lt;='Input sheet(dashboard)'!$D$27*12,'Input sheet(dashboard)'!$D$3*(1+'Input sheet(dashboard)'!$E$24)^B579,0)</f>
        <v>0</v>
      </c>
      <c r="K579" s="3">
        <f>IF(B579&lt;='Input sheet(dashboard)'!$D$27*12,J579*'Input sheet(dashboard)'!$E$8,0)</f>
        <v>0</v>
      </c>
      <c r="L579" s="3">
        <f>IF(B579&lt;='Input sheet(dashboard)'!$D$27*12,'Input sheet(dashboard)'!$D$9*(1+'Input sheet(dashboard)'!$E$22)^B579,0)</f>
        <v>0</v>
      </c>
      <c r="M579" s="3">
        <f>IF(B579=1,'Input sheet(dashboard)'!$D$3*'Input sheet(dashboard)'!$D$10,0)</f>
        <v>0</v>
      </c>
      <c r="N579" s="3">
        <f>IF(B579='Input sheet(dashboard)'!$D$27*12,J579*'Input sheet(dashboard)'!$D$11,0)</f>
        <v>0</v>
      </c>
      <c r="O579" s="3">
        <f>IF(SUM(F579:F590)&gt;=150000,150000/12*'Input sheet(dashboard)'!$D$28,SUM(F579:F590)/12*'Input sheet(dashboard)'!$D$28)</f>
        <v>2.5263941714488818E-12</v>
      </c>
      <c r="P579" s="3">
        <f t="shared" si="78"/>
        <v>3.1613252155439934E-11</v>
      </c>
      <c r="Q579" s="3">
        <f>IF(B579&lt;='Input sheet(dashboard)'!$D$27*12,'Input sheet(dashboard)'!$D$12/12,0)</f>
        <v>0</v>
      </c>
      <c r="R579" s="3">
        <f>IF(B579&lt;='Input sheet(dashboard)'!$D$27*12,('Input sheet(dashboard)'!$D$15/12)*(1+'Input sheet(dashboard)'!$E$22)^Calculations!B579,0)</f>
        <v>0</v>
      </c>
      <c r="S579" s="3">
        <f>IF(B579&lt;='Input sheet(dashboard)'!$D$27*12,(E579+G579+K579+L579-O579+M579+Q579+R579),0)</f>
        <v>0</v>
      </c>
      <c r="T579" s="3">
        <f>IF(B579&lt;='Input sheet(dashboard)'!$D$27*12,IF(D579=12,SUM(S568:S579),0),0)</f>
        <v>0</v>
      </c>
      <c r="U579" s="3">
        <f>IF(B579&lt;='Input sheet(dashboard)'!$D$27*12,IF(S579&lt;AD579,AD579-S579,0),0)</f>
        <v>0</v>
      </c>
      <c r="V579" s="3">
        <f>IF(B579&lt;='Input sheet(dashboard)'!$D$27*12,V578*(1+'Input sheet(dashboard)'!$E$25)+U579,0)</f>
        <v>0</v>
      </c>
      <c r="W579" s="17">
        <f>IF(B579&lt;='Input sheet(dashboard)'!$D$27*12,J579-I579+V579-N579,0)</f>
        <v>0</v>
      </c>
      <c r="X579" s="3">
        <f>IF(B579&lt;='Input sheet(dashboard)'!$D$27*12,'Input sheet(dashboard)'!$D$17*(1+'Input sheet(dashboard)'!$E$23)^(B579-1),0)</f>
        <v>0</v>
      </c>
      <c r="Y579" s="3"/>
      <c r="Z579" s="18"/>
      <c r="AA579" s="18"/>
      <c r="AB579" s="3">
        <f>IF(B579=1,'Input sheet(dashboard)'!$D$18*Calculations!X579,IF(Calculations!B579=12*'Input sheet(dashboard)'!$D$27,'Input sheet(dashboard)'!$D$18*-Calculations!X579,0))</f>
        <v>0</v>
      </c>
      <c r="AC579" s="3">
        <f>IF(B579&lt;='Input sheet(dashboard)'!$D$27*12,IF(MOD(B578,'Input sheet(dashboard)'!$D$19*12),0,'Input sheet(dashboard)'!$D$20*(1+'Input sheet(dashboard)'!$E$22)^Calculations!B579),0)</f>
        <v>0</v>
      </c>
      <c r="AD579" s="17">
        <f t="shared" si="75"/>
        <v>0</v>
      </c>
      <c r="AE579" s="17">
        <f>IF(B579&lt;='Input sheet(dashboard)'!$D$27*12,IF(D579=12,SUM(AD568:AD579),0),0)</f>
        <v>0</v>
      </c>
      <c r="AF579" s="17">
        <f t="shared" si="76"/>
        <v>0</v>
      </c>
      <c r="AG579" s="17">
        <f t="shared" si="77"/>
        <v>0</v>
      </c>
      <c r="AH579" s="3" t="str">
        <f>IF(B579&lt;='Input sheet(dashboard)'!$D$27*12,AH578*(1+'Input sheet(dashboard)'!$E$25)+AG579," ")</f>
        <v xml:space="preserve"> </v>
      </c>
    </row>
    <row r="580" spans="2:34">
      <c r="B580">
        <f t="shared" ref="B580:B643" si="81">B579+1</f>
        <v>577</v>
      </c>
      <c r="C580">
        <f t="shared" si="79"/>
        <v>49</v>
      </c>
      <c r="D580">
        <f t="shared" si="80"/>
        <v>1</v>
      </c>
      <c r="E580" s="15">
        <f>IF(C580&lt;='Input sheet(dashboard)'!$D$6, -PMT('Input sheet(dashboard)'!$E$5,'Input sheet(dashboard)'!$D$6*12,'Input sheet(dashboard)'!$D$3*'Input sheet(dashboard)'!$D$4),0)</f>
        <v>0</v>
      </c>
      <c r="F580" s="3">
        <f>I579*'Input sheet(dashboard)'!$E$5</f>
        <v>1.6567973096074385E-11</v>
      </c>
      <c r="G580" s="3">
        <f>IF(C580&lt;='Input sheet(dashboard)'!$D$6,E580*'Input sheet(dashboard)'!$D$7,0)</f>
        <v>0</v>
      </c>
      <c r="H580" s="3">
        <f t="shared" ref="H580:H643" si="82">E580-F580</f>
        <v>-1.6567973096074385E-11</v>
      </c>
      <c r="I580" s="3">
        <f t="shared" ref="I580:I643" si="83">I579-H580</f>
        <v>4.5647245496504084E-9</v>
      </c>
      <c r="J580" s="3">
        <f>IF(B580&lt;='Input sheet(dashboard)'!$D$27*12,'Input sheet(dashboard)'!$D$3*(1+'Input sheet(dashboard)'!$E$24)^B580,0)</f>
        <v>0</v>
      </c>
      <c r="K580" s="3">
        <f>IF(B580&lt;='Input sheet(dashboard)'!$D$27*12,J580*'Input sheet(dashboard)'!$E$8,0)</f>
        <v>0</v>
      </c>
      <c r="L580" s="3">
        <f>IF(B580&lt;='Input sheet(dashboard)'!$D$27*12,'Input sheet(dashboard)'!$D$9*(1+'Input sheet(dashboard)'!$E$22)^B580,0)</f>
        <v>0</v>
      </c>
      <c r="M580" s="3">
        <f>IF(B580=1,'Input sheet(dashboard)'!$D$3*'Input sheet(dashboard)'!$D$10,0)</f>
        <v>0</v>
      </c>
      <c r="N580" s="3">
        <f>IF(B580='Input sheet(dashboard)'!$D$27*12,J580*'Input sheet(dashboard)'!$D$11,0)</f>
        <v>0</v>
      </c>
      <c r="O580" s="3">
        <f>IF(SUM(F580:F591)&gt;=150000,150000/12*'Input sheet(dashboard)'!$D$28,SUM(F580:F591)/12*'Input sheet(dashboard)'!$D$28)</f>
        <v>2.5355972914290553E-12</v>
      </c>
      <c r="P580" s="3">
        <f t="shared" si="78"/>
        <v>0</v>
      </c>
      <c r="Q580" s="3">
        <f>IF(B580&lt;='Input sheet(dashboard)'!$D$27*12,'Input sheet(dashboard)'!$D$12/12,0)</f>
        <v>0</v>
      </c>
      <c r="R580" s="3">
        <f>IF(B580&lt;='Input sheet(dashboard)'!$D$27*12,('Input sheet(dashboard)'!$D$15/12)*(1+'Input sheet(dashboard)'!$E$22)^Calculations!B580,0)</f>
        <v>0</v>
      </c>
      <c r="S580" s="3">
        <f>IF(B580&lt;='Input sheet(dashboard)'!$D$27*12,(E580+G580+K580+L580-O580+M580+Q580+R580),0)</f>
        <v>0</v>
      </c>
      <c r="T580" s="3">
        <f>IF(B580&lt;='Input sheet(dashboard)'!$D$27*12,IF(D580=12,SUM(S569:S580),0),0)</f>
        <v>0</v>
      </c>
      <c r="U580" s="3">
        <f>IF(B580&lt;='Input sheet(dashboard)'!$D$27*12,IF(S580&lt;AD580,AD580-S580,0),0)</f>
        <v>0</v>
      </c>
      <c r="V580" s="3">
        <f>IF(B580&lt;='Input sheet(dashboard)'!$D$27*12,V579*(1+'Input sheet(dashboard)'!$E$25)+U580,0)</f>
        <v>0</v>
      </c>
      <c r="W580" s="17">
        <f>IF(B580&lt;='Input sheet(dashboard)'!$D$27*12,J580-I580+V580-N580,0)</f>
        <v>0</v>
      </c>
      <c r="X580" s="3">
        <f>IF(B580&lt;='Input sheet(dashboard)'!$D$27*12,'Input sheet(dashboard)'!$D$17*(1+'Input sheet(dashboard)'!$E$23)^(B580-1),0)</f>
        <v>0</v>
      </c>
      <c r="Y580" s="3"/>
      <c r="Z580" s="18"/>
      <c r="AA580" s="18"/>
      <c r="AB580" s="3">
        <f>IF(B580=1,'Input sheet(dashboard)'!$D$18*Calculations!X580,IF(Calculations!B580=12*'Input sheet(dashboard)'!$D$27,'Input sheet(dashboard)'!$D$18*-Calculations!X580,0))</f>
        <v>0</v>
      </c>
      <c r="AC580" s="3">
        <f>IF(B580&lt;='Input sheet(dashboard)'!$D$27*12,IF(MOD(B579,'Input sheet(dashboard)'!$D$19*12),0,'Input sheet(dashboard)'!$D$20*(1+'Input sheet(dashboard)'!$E$22)^Calculations!B580),0)</f>
        <v>0</v>
      </c>
      <c r="AD580" s="17">
        <f t="shared" ref="AD580:AD643" si="84">X580+Y580+AB580+AC580</f>
        <v>0</v>
      </c>
      <c r="AE580" s="17">
        <f>IF(B580&lt;='Input sheet(dashboard)'!$D$27*12,IF(D580=12,SUM(AD569:AD580),0),0)</f>
        <v>0</v>
      </c>
      <c r="AF580" s="17">
        <f t="shared" ref="AF580:AF643" si="85">S580-AD580</f>
        <v>0</v>
      </c>
      <c r="AG580" s="17">
        <f t="shared" ref="AG580:AG643" si="86">IF(AF580&gt;0,AF580,0)</f>
        <v>0</v>
      </c>
      <c r="AH580" s="3" t="str">
        <f>IF(B580&lt;='Input sheet(dashboard)'!$D$27*12,AH579*(1+'Input sheet(dashboard)'!$E$25)+AG580," ")</f>
        <v xml:space="preserve"> </v>
      </c>
    </row>
    <row r="581" spans="2:34">
      <c r="B581">
        <f t="shared" si="81"/>
        <v>578</v>
      </c>
      <c r="C581">
        <f t="shared" si="79"/>
        <v>49</v>
      </c>
      <c r="D581">
        <f t="shared" si="80"/>
        <v>2</v>
      </c>
      <c r="E581" s="15">
        <f>IF(C581&lt;='Input sheet(dashboard)'!$D$6, -PMT('Input sheet(dashboard)'!$E$5,'Input sheet(dashboard)'!$D$6*12,'Input sheet(dashboard)'!$D$3*'Input sheet(dashboard)'!$D$4),0)</f>
        <v>0</v>
      </c>
      <c r="F581" s="3">
        <f>I580*'Input sheet(dashboard)'!$E$5</f>
        <v>1.6628326720205814E-11</v>
      </c>
      <c r="G581" s="3">
        <f>IF(C581&lt;='Input sheet(dashboard)'!$D$6,E581*'Input sheet(dashboard)'!$D$7,0)</f>
        <v>0</v>
      </c>
      <c r="H581" s="3">
        <f t="shared" si="82"/>
        <v>-1.6628326720205814E-11</v>
      </c>
      <c r="I581" s="3">
        <f t="shared" si="83"/>
        <v>4.5813528763706145E-9</v>
      </c>
      <c r="J581" s="3">
        <f>IF(B581&lt;='Input sheet(dashboard)'!$D$27*12,'Input sheet(dashboard)'!$D$3*(1+'Input sheet(dashboard)'!$E$24)^B581,0)</f>
        <v>0</v>
      </c>
      <c r="K581" s="3">
        <f>IF(B581&lt;='Input sheet(dashboard)'!$D$27*12,J581*'Input sheet(dashboard)'!$E$8,0)</f>
        <v>0</v>
      </c>
      <c r="L581" s="3">
        <f>IF(B581&lt;='Input sheet(dashboard)'!$D$27*12,'Input sheet(dashboard)'!$D$9*(1+'Input sheet(dashboard)'!$E$22)^B581,0)</f>
        <v>0</v>
      </c>
      <c r="M581" s="3">
        <f>IF(B581=1,'Input sheet(dashboard)'!$D$3*'Input sheet(dashboard)'!$D$10,0)</f>
        <v>0</v>
      </c>
      <c r="N581" s="3">
        <f>IF(B581='Input sheet(dashboard)'!$D$27*12,J581*'Input sheet(dashboard)'!$D$11,0)</f>
        <v>0</v>
      </c>
      <c r="O581" s="3">
        <f>IF(SUM(F581:F592)&gt;=150000,150000/12*'Input sheet(dashboard)'!$D$28,SUM(F581:F592)/12*'Input sheet(dashboard)'!$D$28)</f>
        <v>2.5448339364301166E-12</v>
      </c>
      <c r="P581" s="3">
        <f t="shared" si="78"/>
        <v>0</v>
      </c>
      <c r="Q581" s="3">
        <f>IF(B581&lt;='Input sheet(dashboard)'!$D$27*12,'Input sheet(dashboard)'!$D$12/12,0)</f>
        <v>0</v>
      </c>
      <c r="R581" s="3">
        <f>IF(B581&lt;='Input sheet(dashboard)'!$D$27*12,('Input sheet(dashboard)'!$D$15/12)*(1+'Input sheet(dashboard)'!$E$22)^Calculations!B581,0)</f>
        <v>0</v>
      </c>
      <c r="S581" s="3">
        <f>IF(B581&lt;='Input sheet(dashboard)'!$D$27*12,(E581+G581+K581+L581-O581+M581+Q581+R581),0)</f>
        <v>0</v>
      </c>
      <c r="T581" s="3">
        <f>IF(B581&lt;='Input sheet(dashboard)'!$D$27*12,IF(D581=12,SUM(S570:S581),0),0)</f>
        <v>0</v>
      </c>
      <c r="U581" s="3">
        <f>IF(B581&lt;='Input sheet(dashboard)'!$D$27*12,IF(S581&lt;AD581,AD581-S581,0),0)</f>
        <v>0</v>
      </c>
      <c r="V581" s="3">
        <f>IF(B581&lt;='Input sheet(dashboard)'!$D$27*12,V580*(1+'Input sheet(dashboard)'!$E$25)+U581,0)</f>
        <v>0</v>
      </c>
      <c r="W581" s="17">
        <f>IF(B581&lt;='Input sheet(dashboard)'!$D$27*12,J581-I581+V581-N581,0)</f>
        <v>0</v>
      </c>
      <c r="X581" s="3">
        <f>IF(B581&lt;='Input sheet(dashboard)'!$D$27*12,'Input sheet(dashboard)'!$D$17*(1+'Input sheet(dashboard)'!$E$23)^(B581-1),0)</f>
        <v>0</v>
      </c>
      <c r="Y581" s="3"/>
      <c r="Z581" s="18"/>
      <c r="AA581" s="18"/>
      <c r="AB581" s="3">
        <f>IF(B581=1,'Input sheet(dashboard)'!$D$18*Calculations!X581,IF(Calculations!B581=12*'Input sheet(dashboard)'!$D$27,'Input sheet(dashboard)'!$D$18*-Calculations!X581,0))</f>
        <v>0</v>
      </c>
      <c r="AC581" s="3">
        <f>IF(B581&lt;='Input sheet(dashboard)'!$D$27*12,IF(MOD(B580,'Input sheet(dashboard)'!$D$19*12),0,'Input sheet(dashboard)'!$D$20*(1+'Input sheet(dashboard)'!$E$22)^Calculations!B581),0)</f>
        <v>0</v>
      </c>
      <c r="AD581" s="17">
        <f t="shared" si="84"/>
        <v>0</v>
      </c>
      <c r="AE581" s="17">
        <f>IF(B581&lt;='Input sheet(dashboard)'!$D$27*12,IF(D581=12,SUM(AD570:AD581),0),0)</f>
        <v>0</v>
      </c>
      <c r="AF581" s="17">
        <f t="shared" si="85"/>
        <v>0</v>
      </c>
      <c r="AG581" s="17">
        <f t="shared" si="86"/>
        <v>0</v>
      </c>
      <c r="AH581" s="3" t="str">
        <f>IF(B581&lt;='Input sheet(dashboard)'!$D$27*12,AH580*(1+'Input sheet(dashboard)'!$E$25)+AG581," ")</f>
        <v xml:space="preserve"> </v>
      </c>
    </row>
    <row r="582" spans="2:34">
      <c r="B582">
        <f t="shared" si="81"/>
        <v>579</v>
      </c>
      <c r="C582">
        <f t="shared" si="79"/>
        <v>49</v>
      </c>
      <c r="D582">
        <f t="shared" si="80"/>
        <v>3</v>
      </c>
      <c r="E582" s="15">
        <f>IF(C582&lt;='Input sheet(dashboard)'!$D$6, -PMT('Input sheet(dashboard)'!$E$5,'Input sheet(dashboard)'!$D$6*12,'Input sheet(dashboard)'!$D$3*'Input sheet(dashboard)'!$D$4),0)</f>
        <v>0</v>
      </c>
      <c r="F582" s="3">
        <f>I581*'Input sheet(dashboard)'!$E$5</f>
        <v>1.6688900199833428E-11</v>
      </c>
      <c r="G582" s="3">
        <f>IF(C582&lt;='Input sheet(dashboard)'!$D$6,E582*'Input sheet(dashboard)'!$D$7,0)</f>
        <v>0</v>
      </c>
      <c r="H582" s="3">
        <f t="shared" si="82"/>
        <v>-1.6688900199833428E-11</v>
      </c>
      <c r="I582" s="3">
        <f t="shared" si="83"/>
        <v>4.5980417765704476E-9</v>
      </c>
      <c r="J582" s="3">
        <f>IF(B582&lt;='Input sheet(dashboard)'!$D$27*12,'Input sheet(dashboard)'!$D$3*(1+'Input sheet(dashboard)'!$E$24)^B582,0)</f>
        <v>0</v>
      </c>
      <c r="K582" s="3">
        <f>IF(B582&lt;='Input sheet(dashboard)'!$D$27*12,J582*'Input sheet(dashboard)'!$E$8,0)</f>
        <v>0</v>
      </c>
      <c r="L582" s="3">
        <f>IF(B582&lt;='Input sheet(dashboard)'!$D$27*12,'Input sheet(dashboard)'!$D$9*(1+'Input sheet(dashboard)'!$E$22)^B582,0)</f>
        <v>0</v>
      </c>
      <c r="M582" s="3">
        <f>IF(B582=1,'Input sheet(dashboard)'!$D$3*'Input sheet(dashboard)'!$D$10,0)</f>
        <v>0</v>
      </c>
      <c r="N582" s="3">
        <f>IF(B582='Input sheet(dashboard)'!$D$27*12,J582*'Input sheet(dashboard)'!$D$11,0)</f>
        <v>0</v>
      </c>
      <c r="O582" s="3">
        <f>IF(SUM(F582:F593)&gt;=150000,150000/12*'Input sheet(dashboard)'!$D$28,SUM(F582:F593)/12*'Input sheet(dashboard)'!$D$28)</f>
        <v>2.5541042285766318E-12</v>
      </c>
      <c r="P582" s="3">
        <f t="shared" si="78"/>
        <v>0</v>
      </c>
      <c r="Q582" s="3">
        <f>IF(B582&lt;='Input sheet(dashboard)'!$D$27*12,'Input sheet(dashboard)'!$D$12/12,0)</f>
        <v>0</v>
      </c>
      <c r="R582" s="3">
        <f>IF(B582&lt;='Input sheet(dashboard)'!$D$27*12,('Input sheet(dashboard)'!$D$15/12)*(1+'Input sheet(dashboard)'!$E$22)^Calculations!B582,0)</f>
        <v>0</v>
      </c>
      <c r="S582" s="3">
        <f>IF(B582&lt;='Input sheet(dashboard)'!$D$27*12,(E582+G582+K582+L582-O582+M582+Q582+R582),0)</f>
        <v>0</v>
      </c>
      <c r="T582" s="3">
        <f>IF(B582&lt;='Input sheet(dashboard)'!$D$27*12,IF(D582=12,SUM(S571:S582),0),0)</f>
        <v>0</v>
      </c>
      <c r="U582" s="3">
        <f>IF(B582&lt;='Input sheet(dashboard)'!$D$27*12,IF(S582&lt;AD582,AD582-S582,0),0)</f>
        <v>0</v>
      </c>
      <c r="V582" s="3">
        <f>IF(B582&lt;='Input sheet(dashboard)'!$D$27*12,V581*(1+'Input sheet(dashboard)'!$E$25)+U582,0)</f>
        <v>0</v>
      </c>
      <c r="W582" s="17">
        <f>IF(B582&lt;='Input sheet(dashboard)'!$D$27*12,J582-I582+V582-N582,0)</f>
        <v>0</v>
      </c>
      <c r="X582" s="3">
        <f>IF(B582&lt;='Input sheet(dashboard)'!$D$27*12,'Input sheet(dashboard)'!$D$17*(1+'Input sheet(dashboard)'!$E$23)^(B582-1),0)</f>
        <v>0</v>
      </c>
      <c r="Y582" s="3"/>
      <c r="Z582" s="18"/>
      <c r="AA582" s="18"/>
      <c r="AB582" s="3">
        <f>IF(B582=1,'Input sheet(dashboard)'!$D$18*Calculations!X582,IF(Calculations!B582=12*'Input sheet(dashboard)'!$D$27,'Input sheet(dashboard)'!$D$18*-Calculations!X582,0))</f>
        <v>0</v>
      </c>
      <c r="AC582" s="3">
        <f>IF(B582&lt;='Input sheet(dashboard)'!$D$27*12,IF(MOD(B581,'Input sheet(dashboard)'!$D$19*12),0,'Input sheet(dashboard)'!$D$20*(1+'Input sheet(dashboard)'!$E$22)^Calculations!B582),0)</f>
        <v>0</v>
      </c>
      <c r="AD582" s="17">
        <f t="shared" si="84"/>
        <v>0</v>
      </c>
      <c r="AE582" s="17">
        <f>IF(B582&lt;='Input sheet(dashboard)'!$D$27*12,IF(D582=12,SUM(AD571:AD582),0),0)</f>
        <v>0</v>
      </c>
      <c r="AF582" s="17">
        <f t="shared" si="85"/>
        <v>0</v>
      </c>
      <c r="AG582" s="17">
        <f t="shared" si="86"/>
        <v>0</v>
      </c>
      <c r="AH582" s="3" t="str">
        <f>IF(B582&lt;='Input sheet(dashboard)'!$D$27*12,AH581*(1+'Input sheet(dashboard)'!$E$25)+AG582," ")</f>
        <v xml:space="preserve"> </v>
      </c>
    </row>
    <row r="583" spans="2:34">
      <c r="B583">
        <f t="shared" si="81"/>
        <v>580</v>
      </c>
      <c r="C583">
        <f t="shared" si="79"/>
        <v>49</v>
      </c>
      <c r="D583">
        <f t="shared" si="80"/>
        <v>4</v>
      </c>
      <c r="E583" s="15">
        <f>IF(C583&lt;='Input sheet(dashboard)'!$D$6, -PMT('Input sheet(dashboard)'!$E$5,'Input sheet(dashboard)'!$D$6*12,'Input sheet(dashboard)'!$D$3*'Input sheet(dashboard)'!$D$4),0)</f>
        <v>0</v>
      </c>
      <c r="F583" s="3">
        <f>I582*'Input sheet(dashboard)'!$E$5</f>
        <v>1.6749694335844326E-11</v>
      </c>
      <c r="G583" s="3">
        <f>IF(C583&lt;='Input sheet(dashboard)'!$D$6,E583*'Input sheet(dashboard)'!$D$7,0)</f>
        <v>0</v>
      </c>
      <c r="H583" s="3">
        <f t="shared" si="82"/>
        <v>-1.6749694335844326E-11</v>
      </c>
      <c r="I583" s="3">
        <f t="shared" si="83"/>
        <v>4.6147914709062918E-9</v>
      </c>
      <c r="J583" s="3">
        <f>IF(B583&lt;='Input sheet(dashboard)'!$D$27*12,'Input sheet(dashboard)'!$D$3*(1+'Input sheet(dashboard)'!$E$24)^B583,0)</f>
        <v>0</v>
      </c>
      <c r="K583" s="3">
        <f>IF(B583&lt;='Input sheet(dashboard)'!$D$27*12,J583*'Input sheet(dashboard)'!$E$8,0)</f>
        <v>0</v>
      </c>
      <c r="L583" s="3">
        <f>IF(B583&lt;='Input sheet(dashboard)'!$D$27*12,'Input sheet(dashboard)'!$D$9*(1+'Input sheet(dashboard)'!$E$22)^B583,0)</f>
        <v>0</v>
      </c>
      <c r="M583" s="3">
        <f>IF(B583=1,'Input sheet(dashboard)'!$D$3*'Input sheet(dashboard)'!$D$10,0)</f>
        <v>0</v>
      </c>
      <c r="N583" s="3">
        <f>IF(B583='Input sheet(dashboard)'!$D$27*12,J583*'Input sheet(dashboard)'!$D$11,0)</f>
        <v>0</v>
      </c>
      <c r="O583" s="3">
        <f>IF(SUM(F583:F594)&gt;=150000,150000/12*'Input sheet(dashboard)'!$D$28,SUM(F583:F594)/12*'Input sheet(dashboard)'!$D$28)</f>
        <v>2.563408290438039E-12</v>
      </c>
      <c r="P583" s="3">
        <f t="shared" si="78"/>
        <v>0</v>
      </c>
      <c r="Q583" s="3">
        <f>IF(B583&lt;='Input sheet(dashboard)'!$D$27*12,'Input sheet(dashboard)'!$D$12/12,0)</f>
        <v>0</v>
      </c>
      <c r="R583" s="3">
        <f>IF(B583&lt;='Input sheet(dashboard)'!$D$27*12,('Input sheet(dashboard)'!$D$15/12)*(1+'Input sheet(dashboard)'!$E$22)^Calculations!B583,0)</f>
        <v>0</v>
      </c>
      <c r="S583" s="3">
        <f>IF(B583&lt;='Input sheet(dashboard)'!$D$27*12,(E583+G583+K583+L583-O583+M583+Q583+R583),0)</f>
        <v>0</v>
      </c>
      <c r="T583" s="3">
        <f>IF(B583&lt;='Input sheet(dashboard)'!$D$27*12,IF(D583=12,SUM(S572:S583),0),0)</f>
        <v>0</v>
      </c>
      <c r="U583" s="3">
        <f>IF(B583&lt;='Input sheet(dashboard)'!$D$27*12,IF(S583&lt;AD583,AD583-S583,0),0)</f>
        <v>0</v>
      </c>
      <c r="V583" s="3">
        <f>IF(B583&lt;='Input sheet(dashboard)'!$D$27*12,V582*(1+'Input sheet(dashboard)'!$E$25)+U583,0)</f>
        <v>0</v>
      </c>
      <c r="W583" s="17">
        <f>IF(B583&lt;='Input sheet(dashboard)'!$D$27*12,J583-I583+V583-N583,0)</f>
        <v>0</v>
      </c>
      <c r="X583" s="3">
        <f>IF(B583&lt;='Input sheet(dashboard)'!$D$27*12,'Input sheet(dashboard)'!$D$17*(1+'Input sheet(dashboard)'!$E$23)^(B583-1),0)</f>
        <v>0</v>
      </c>
      <c r="Y583" s="3"/>
      <c r="Z583" s="18"/>
      <c r="AA583" s="18"/>
      <c r="AB583" s="3">
        <f>IF(B583=1,'Input sheet(dashboard)'!$D$18*Calculations!X583,IF(Calculations!B583=12*'Input sheet(dashboard)'!$D$27,'Input sheet(dashboard)'!$D$18*-Calculations!X583,0))</f>
        <v>0</v>
      </c>
      <c r="AC583" s="3">
        <f>IF(B583&lt;='Input sheet(dashboard)'!$D$27*12,IF(MOD(B582,'Input sheet(dashboard)'!$D$19*12),0,'Input sheet(dashboard)'!$D$20*(1+'Input sheet(dashboard)'!$E$22)^Calculations!B583),0)</f>
        <v>0</v>
      </c>
      <c r="AD583" s="17">
        <f t="shared" si="84"/>
        <v>0</v>
      </c>
      <c r="AE583" s="17">
        <f>IF(B583&lt;='Input sheet(dashboard)'!$D$27*12,IF(D583=12,SUM(AD572:AD583),0),0)</f>
        <v>0</v>
      </c>
      <c r="AF583" s="17">
        <f t="shared" si="85"/>
        <v>0</v>
      </c>
      <c r="AG583" s="17">
        <f t="shared" si="86"/>
        <v>0</v>
      </c>
      <c r="AH583" s="3" t="str">
        <f>IF(B583&lt;='Input sheet(dashboard)'!$D$27*12,AH582*(1+'Input sheet(dashboard)'!$E$25)+AG583," ")</f>
        <v xml:space="preserve"> </v>
      </c>
    </row>
    <row r="584" spans="2:34">
      <c r="B584">
        <f t="shared" si="81"/>
        <v>581</v>
      </c>
      <c r="C584">
        <f t="shared" si="79"/>
        <v>49</v>
      </c>
      <c r="D584">
        <f t="shared" si="80"/>
        <v>5</v>
      </c>
      <c r="E584" s="15">
        <f>IF(C584&lt;='Input sheet(dashboard)'!$D$6, -PMT('Input sheet(dashboard)'!$E$5,'Input sheet(dashboard)'!$D$6*12,'Input sheet(dashboard)'!$D$3*'Input sheet(dashboard)'!$D$4),0)</f>
        <v>0</v>
      </c>
      <c r="F584" s="3">
        <f>I583*'Input sheet(dashboard)'!$E$5</f>
        <v>1.6810709932043078E-11</v>
      </c>
      <c r="G584" s="3">
        <f>IF(C584&lt;='Input sheet(dashboard)'!$D$6,E584*'Input sheet(dashboard)'!$D$7,0)</f>
        <v>0</v>
      </c>
      <c r="H584" s="3">
        <f t="shared" si="82"/>
        <v>-1.6810709932043078E-11</v>
      </c>
      <c r="I584" s="3">
        <f t="shared" si="83"/>
        <v>4.6316021808383349E-9</v>
      </c>
      <c r="J584" s="3">
        <f>IF(B584&lt;='Input sheet(dashboard)'!$D$27*12,'Input sheet(dashboard)'!$D$3*(1+'Input sheet(dashboard)'!$E$24)^B584,0)</f>
        <v>0</v>
      </c>
      <c r="K584" s="3">
        <f>IF(B584&lt;='Input sheet(dashboard)'!$D$27*12,J584*'Input sheet(dashboard)'!$E$8,0)</f>
        <v>0</v>
      </c>
      <c r="L584" s="3">
        <f>IF(B584&lt;='Input sheet(dashboard)'!$D$27*12,'Input sheet(dashboard)'!$D$9*(1+'Input sheet(dashboard)'!$E$22)^B584,0)</f>
        <v>0</v>
      </c>
      <c r="M584" s="3">
        <f>IF(B584=1,'Input sheet(dashboard)'!$D$3*'Input sheet(dashboard)'!$D$10,0)</f>
        <v>0</v>
      </c>
      <c r="N584" s="3">
        <f>IF(B584='Input sheet(dashboard)'!$D$27*12,J584*'Input sheet(dashboard)'!$D$11,0)</f>
        <v>0</v>
      </c>
      <c r="O584" s="3">
        <f>IF(SUM(F584:F595)&gt;=150000,150000/12*'Input sheet(dashboard)'!$D$28,SUM(F584:F595)/12*'Input sheet(dashboard)'!$D$28)</f>
        <v>2.572746245030272E-12</v>
      </c>
      <c r="P584" s="3">
        <f t="shared" si="78"/>
        <v>0</v>
      </c>
      <c r="Q584" s="3">
        <f>IF(B584&lt;='Input sheet(dashboard)'!$D$27*12,'Input sheet(dashboard)'!$D$12/12,0)</f>
        <v>0</v>
      </c>
      <c r="R584" s="3">
        <f>IF(B584&lt;='Input sheet(dashboard)'!$D$27*12,('Input sheet(dashboard)'!$D$15/12)*(1+'Input sheet(dashboard)'!$E$22)^Calculations!B584,0)</f>
        <v>0</v>
      </c>
      <c r="S584" s="3">
        <f>IF(B584&lt;='Input sheet(dashboard)'!$D$27*12,(E584+G584+K584+L584-O584+M584+Q584+R584),0)</f>
        <v>0</v>
      </c>
      <c r="T584" s="3">
        <f>IF(B584&lt;='Input sheet(dashboard)'!$D$27*12,IF(D584=12,SUM(S573:S584),0),0)</f>
        <v>0</v>
      </c>
      <c r="U584" s="3">
        <f>IF(B584&lt;='Input sheet(dashboard)'!$D$27*12,IF(S584&lt;AD584,AD584-S584,0),0)</f>
        <v>0</v>
      </c>
      <c r="V584" s="3">
        <f>IF(B584&lt;='Input sheet(dashboard)'!$D$27*12,V583*(1+'Input sheet(dashboard)'!$E$25)+U584,0)</f>
        <v>0</v>
      </c>
      <c r="W584" s="17">
        <f>IF(B584&lt;='Input sheet(dashboard)'!$D$27*12,J584-I584+V584-N584,0)</f>
        <v>0</v>
      </c>
      <c r="X584" s="3">
        <f>IF(B584&lt;='Input sheet(dashboard)'!$D$27*12,'Input sheet(dashboard)'!$D$17*(1+'Input sheet(dashboard)'!$E$23)^(B584-1),0)</f>
        <v>0</v>
      </c>
      <c r="Y584" s="3"/>
      <c r="Z584" s="18"/>
      <c r="AA584" s="18"/>
      <c r="AB584" s="3">
        <f>IF(B584=1,'Input sheet(dashboard)'!$D$18*Calculations!X584,IF(Calculations!B584=12*'Input sheet(dashboard)'!$D$27,'Input sheet(dashboard)'!$D$18*-Calculations!X584,0))</f>
        <v>0</v>
      </c>
      <c r="AC584" s="3">
        <f>IF(B584&lt;='Input sheet(dashboard)'!$D$27*12,IF(MOD(B583,'Input sheet(dashboard)'!$D$19*12),0,'Input sheet(dashboard)'!$D$20*(1+'Input sheet(dashboard)'!$E$22)^Calculations!B584),0)</f>
        <v>0</v>
      </c>
      <c r="AD584" s="17">
        <f t="shared" si="84"/>
        <v>0</v>
      </c>
      <c r="AE584" s="17">
        <f>IF(B584&lt;='Input sheet(dashboard)'!$D$27*12,IF(D584=12,SUM(AD573:AD584),0),0)</f>
        <v>0</v>
      </c>
      <c r="AF584" s="17">
        <f t="shared" si="85"/>
        <v>0</v>
      </c>
      <c r="AG584" s="17">
        <f t="shared" si="86"/>
        <v>0</v>
      </c>
      <c r="AH584" s="3" t="str">
        <f>IF(B584&lt;='Input sheet(dashboard)'!$D$27*12,AH583*(1+'Input sheet(dashboard)'!$E$25)+AG584," ")</f>
        <v xml:space="preserve"> </v>
      </c>
    </row>
    <row r="585" spans="2:34">
      <c r="B585">
        <f t="shared" si="81"/>
        <v>582</v>
      </c>
      <c r="C585">
        <f t="shared" si="79"/>
        <v>49</v>
      </c>
      <c r="D585">
        <f t="shared" si="80"/>
        <v>6</v>
      </c>
      <c r="E585" s="15">
        <f>IF(C585&lt;='Input sheet(dashboard)'!$D$6, -PMT('Input sheet(dashboard)'!$E$5,'Input sheet(dashboard)'!$D$6*12,'Input sheet(dashboard)'!$D$3*'Input sheet(dashboard)'!$D$4),0)</f>
        <v>0</v>
      </c>
      <c r="F585" s="3">
        <f>I584*'Input sheet(dashboard)'!$E$5</f>
        <v>1.687194779516234E-11</v>
      </c>
      <c r="G585" s="3">
        <f>IF(C585&lt;='Input sheet(dashboard)'!$D$6,E585*'Input sheet(dashboard)'!$D$7,0)</f>
        <v>0</v>
      </c>
      <c r="H585" s="3">
        <f t="shared" si="82"/>
        <v>-1.687194779516234E-11</v>
      </c>
      <c r="I585" s="3">
        <f t="shared" si="83"/>
        <v>4.6484741286334974E-9</v>
      </c>
      <c r="J585" s="3">
        <f>IF(B585&lt;='Input sheet(dashboard)'!$D$27*12,'Input sheet(dashboard)'!$D$3*(1+'Input sheet(dashboard)'!$E$24)^B585,0)</f>
        <v>0</v>
      </c>
      <c r="K585" s="3">
        <f>IF(B585&lt;='Input sheet(dashboard)'!$D$27*12,J585*'Input sheet(dashboard)'!$E$8,0)</f>
        <v>0</v>
      </c>
      <c r="L585" s="3">
        <f>IF(B585&lt;='Input sheet(dashboard)'!$D$27*12,'Input sheet(dashboard)'!$D$9*(1+'Input sheet(dashboard)'!$E$22)^B585,0)</f>
        <v>0</v>
      </c>
      <c r="M585" s="3">
        <f>IF(B585=1,'Input sheet(dashboard)'!$D$3*'Input sheet(dashboard)'!$D$10,0)</f>
        <v>0</v>
      </c>
      <c r="N585" s="3">
        <f>IF(B585='Input sheet(dashboard)'!$D$27*12,J585*'Input sheet(dashboard)'!$D$11,0)</f>
        <v>0</v>
      </c>
      <c r="O585" s="3">
        <f>IF(SUM(F585:F596)&gt;=150000,150000/12*'Input sheet(dashboard)'!$D$28,SUM(F585:F596)/12*'Input sheet(dashboard)'!$D$28)</f>
        <v>2.5821182158173861E-12</v>
      </c>
      <c r="P585" s="3">
        <f t="shared" si="78"/>
        <v>0</v>
      </c>
      <c r="Q585" s="3">
        <f>IF(B585&lt;='Input sheet(dashboard)'!$D$27*12,'Input sheet(dashboard)'!$D$12/12,0)</f>
        <v>0</v>
      </c>
      <c r="R585" s="3">
        <f>IF(B585&lt;='Input sheet(dashboard)'!$D$27*12,('Input sheet(dashboard)'!$D$15/12)*(1+'Input sheet(dashboard)'!$E$22)^Calculations!B585,0)</f>
        <v>0</v>
      </c>
      <c r="S585" s="3">
        <f>IF(B585&lt;='Input sheet(dashboard)'!$D$27*12,(E585+G585+K585+L585-O585+M585+Q585+R585),0)</f>
        <v>0</v>
      </c>
      <c r="T585" s="3">
        <f>IF(B585&lt;='Input sheet(dashboard)'!$D$27*12,IF(D585=12,SUM(S574:S585),0),0)</f>
        <v>0</v>
      </c>
      <c r="U585" s="3">
        <f>IF(B585&lt;='Input sheet(dashboard)'!$D$27*12,IF(S585&lt;AD585,AD585-S585,0),0)</f>
        <v>0</v>
      </c>
      <c r="V585" s="3">
        <f>IF(B585&lt;='Input sheet(dashboard)'!$D$27*12,V584*(1+'Input sheet(dashboard)'!$E$25)+U585,0)</f>
        <v>0</v>
      </c>
      <c r="W585" s="17">
        <f>IF(B585&lt;='Input sheet(dashboard)'!$D$27*12,J585-I585+V585-N585,0)</f>
        <v>0</v>
      </c>
      <c r="X585" s="3">
        <f>IF(B585&lt;='Input sheet(dashboard)'!$D$27*12,'Input sheet(dashboard)'!$D$17*(1+'Input sheet(dashboard)'!$E$23)^(B585-1),0)</f>
        <v>0</v>
      </c>
      <c r="Y585" s="3"/>
      <c r="Z585" s="18"/>
      <c r="AA585" s="18"/>
      <c r="AB585" s="3">
        <f>IF(B585=1,'Input sheet(dashboard)'!$D$18*Calculations!X585,IF(Calculations!B585=12*'Input sheet(dashboard)'!$D$27,'Input sheet(dashboard)'!$D$18*-Calculations!X585,0))</f>
        <v>0</v>
      </c>
      <c r="AC585" s="3">
        <f>IF(B585&lt;='Input sheet(dashboard)'!$D$27*12,IF(MOD(B584,'Input sheet(dashboard)'!$D$19*12),0,'Input sheet(dashboard)'!$D$20*(1+'Input sheet(dashboard)'!$E$22)^Calculations!B585),0)</f>
        <v>0</v>
      </c>
      <c r="AD585" s="17">
        <f t="shared" si="84"/>
        <v>0</v>
      </c>
      <c r="AE585" s="17">
        <f>IF(B585&lt;='Input sheet(dashboard)'!$D$27*12,IF(D585=12,SUM(AD574:AD585),0),0)</f>
        <v>0</v>
      </c>
      <c r="AF585" s="17">
        <f t="shared" si="85"/>
        <v>0</v>
      </c>
      <c r="AG585" s="17">
        <f t="shared" si="86"/>
        <v>0</v>
      </c>
      <c r="AH585" s="3" t="str">
        <f>IF(B585&lt;='Input sheet(dashboard)'!$D$27*12,AH584*(1+'Input sheet(dashboard)'!$E$25)+AG585," ")</f>
        <v xml:space="preserve"> </v>
      </c>
    </row>
    <row r="586" spans="2:34">
      <c r="B586">
        <f t="shared" si="81"/>
        <v>583</v>
      </c>
      <c r="C586">
        <f t="shared" si="79"/>
        <v>49</v>
      </c>
      <c r="D586">
        <f t="shared" si="80"/>
        <v>7</v>
      </c>
      <c r="E586" s="15">
        <f>IF(C586&lt;='Input sheet(dashboard)'!$D$6, -PMT('Input sheet(dashboard)'!$E$5,'Input sheet(dashboard)'!$D$6*12,'Input sheet(dashboard)'!$D$3*'Input sheet(dashboard)'!$D$4),0)</f>
        <v>0</v>
      </c>
      <c r="F586" s="3">
        <f>I585*'Input sheet(dashboard)'!$E$5</f>
        <v>1.6933408734873521E-11</v>
      </c>
      <c r="G586" s="3">
        <f>IF(C586&lt;='Input sheet(dashboard)'!$D$6,E586*'Input sheet(dashboard)'!$D$7,0)</f>
        <v>0</v>
      </c>
      <c r="H586" s="3">
        <f t="shared" si="82"/>
        <v>-1.6933408734873521E-11</v>
      </c>
      <c r="I586" s="3">
        <f t="shared" si="83"/>
        <v>4.6654075373683705E-9</v>
      </c>
      <c r="J586" s="3">
        <f>IF(B586&lt;='Input sheet(dashboard)'!$D$27*12,'Input sheet(dashboard)'!$D$3*(1+'Input sheet(dashboard)'!$E$24)^B586,0)</f>
        <v>0</v>
      </c>
      <c r="K586" s="3">
        <f>IF(B586&lt;='Input sheet(dashboard)'!$D$27*12,J586*'Input sheet(dashboard)'!$E$8,0)</f>
        <v>0</v>
      </c>
      <c r="L586" s="3">
        <f>IF(B586&lt;='Input sheet(dashboard)'!$D$27*12,'Input sheet(dashboard)'!$D$9*(1+'Input sheet(dashboard)'!$E$22)^B586,0)</f>
        <v>0</v>
      </c>
      <c r="M586" s="3">
        <f>IF(B586=1,'Input sheet(dashboard)'!$D$3*'Input sheet(dashboard)'!$D$10,0)</f>
        <v>0</v>
      </c>
      <c r="N586" s="3">
        <f>IF(B586='Input sheet(dashboard)'!$D$27*12,J586*'Input sheet(dashboard)'!$D$11,0)</f>
        <v>0</v>
      </c>
      <c r="O586" s="3">
        <f>IF(SUM(F586:F597)&gt;=150000,150000/12*'Input sheet(dashboard)'!$D$28,SUM(F586:F597)/12*'Input sheet(dashboard)'!$D$28)</f>
        <v>2.5915243267131887E-12</v>
      </c>
      <c r="P586" s="3">
        <f t="shared" si="78"/>
        <v>0</v>
      </c>
      <c r="Q586" s="3">
        <f>IF(B586&lt;='Input sheet(dashboard)'!$D$27*12,'Input sheet(dashboard)'!$D$12/12,0)</f>
        <v>0</v>
      </c>
      <c r="R586" s="3">
        <f>IF(B586&lt;='Input sheet(dashboard)'!$D$27*12,('Input sheet(dashboard)'!$D$15/12)*(1+'Input sheet(dashboard)'!$E$22)^Calculations!B586,0)</f>
        <v>0</v>
      </c>
      <c r="S586" s="3">
        <f>IF(B586&lt;='Input sheet(dashboard)'!$D$27*12,(E586+G586+K586+L586-O586+M586+Q586+R586),0)</f>
        <v>0</v>
      </c>
      <c r="T586" s="3">
        <f>IF(B586&lt;='Input sheet(dashboard)'!$D$27*12,IF(D586=12,SUM(S575:S586),0),0)</f>
        <v>0</v>
      </c>
      <c r="U586" s="3">
        <f>IF(B586&lt;='Input sheet(dashboard)'!$D$27*12,IF(S586&lt;AD586,AD586-S586,0),0)</f>
        <v>0</v>
      </c>
      <c r="V586" s="3">
        <f>IF(B586&lt;='Input sheet(dashboard)'!$D$27*12,V585*(1+'Input sheet(dashboard)'!$E$25)+U586,0)</f>
        <v>0</v>
      </c>
      <c r="W586" s="17">
        <f>IF(B586&lt;='Input sheet(dashboard)'!$D$27*12,J586-I586+V586-N586,0)</f>
        <v>0</v>
      </c>
      <c r="X586" s="3">
        <f>IF(B586&lt;='Input sheet(dashboard)'!$D$27*12,'Input sheet(dashboard)'!$D$17*(1+'Input sheet(dashboard)'!$E$23)^(B586-1),0)</f>
        <v>0</v>
      </c>
      <c r="Y586" s="3"/>
      <c r="Z586" s="18"/>
      <c r="AA586" s="18"/>
      <c r="AB586" s="3">
        <f>IF(B586=1,'Input sheet(dashboard)'!$D$18*Calculations!X586,IF(Calculations!B586=12*'Input sheet(dashboard)'!$D$27,'Input sheet(dashboard)'!$D$18*-Calculations!X586,0))</f>
        <v>0</v>
      </c>
      <c r="AC586" s="3">
        <f>IF(B586&lt;='Input sheet(dashboard)'!$D$27*12,IF(MOD(B585,'Input sheet(dashboard)'!$D$19*12),0,'Input sheet(dashboard)'!$D$20*(1+'Input sheet(dashboard)'!$E$22)^Calculations!B586),0)</f>
        <v>0</v>
      </c>
      <c r="AD586" s="17">
        <f t="shared" si="84"/>
        <v>0</v>
      </c>
      <c r="AE586" s="17">
        <f>IF(B586&lt;='Input sheet(dashboard)'!$D$27*12,IF(D586=12,SUM(AD575:AD586),0),0)</f>
        <v>0</v>
      </c>
      <c r="AF586" s="17">
        <f t="shared" si="85"/>
        <v>0</v>
      </c>
      <c r="AG586" s="17">
        <f t="shared" si="86"/>
        <v>0</v>
      </c>
      <c r="AH586" s="3" t="str">
        <f>IF(B586&lt;='Input sheet(dashboard)'!$D$27*12,AH585*(1+'Input sheet(dashboard)'!$E$25)+AG586," ")</f>
        <v xml:space="preserve"> </v>
      </c>
    </row>
    <row r="587" spans="2:34">
      <c r="B587">
        <f t="shared" si="81"/>
        <v>584</v>
      </c>
      <c r="C587">
        <f t="shared" si="79"/>
        <v>49</v>
      </c>
      <c r="D587">
        <f t="shared" si="80"/>
        <v>8</v>
      </c>
      <c r="E587" s="15">
        <f>IF(C587&lt;='Input sheet(dashboard)'!$D$6, -PMT('Input sheet(dashboard)'!$E$5,'Input sheet(dashboard)'!$D$6*12,'Input sheet(dashboard)'!$D$3*'Input sheet(dashboard)'!$D$4),0)</f>
        <v>0</v>
      </c>
      <c r="F587" s="3">
        <f>I586*'Input sheet(dashboard)'!$E$5</f>
        <v>1.6995093563797498E-11</v>
      </c>
      <c r="G587" s="3">
        <f>IF(C587&lt;='Input sheet(dashboard)'!$D$6,E587*'Input sheet(dashboard)'!$D$7,0)</f>
        <v>0</v>
      </c>
      <c r="H587" s="3">
        <f t="shared" si="82"/>
        <v>-1.6995093563797498E-11</v>
      </c>
      <c r="I587" s="3">
        <f t="shared" si="83"/>
        <v>4.6824026309321678E-9</v>
      </c>
      <c r="J587" s="3">
        <f>IF(B587&lt;='Input sheet(dashboard)'!$D$27*12,'Input sheet(dashboard)'!$D$3*(1+'Input sheet(dashboard)'!$E$24)^B587,0)</f>
        <v>0</v>
      </c>
      <c r="K587" s="3">
        <f>IF(B587&lt;='Input sheet(dashboard)'!$D$27*12,J587*'Input sheet(dashboard)'!$E$8,0)</f>
        <v>0</v>
      </c>
      <c r="L587" s="3">
        <f>IF(B587&lt;='Input sheet(dashboard)'!$D$27*12,'Input sheet(dashboard)'!$D$9*(1+'Input sheet(dashboard)'!$E$22)^B587,0)</f>
        <v>0</v>
      </c>
      <c r="M587" s="3">
        <f>IF(B587=1,'Input sheet(dashboard)'!$D$3*'Input sheet(dashboard)'!$D$10,0)</f>
        <v>0</v>
      </c>
      <c r="N587" s="3">
        <f>IF(B587='Input sheet(dashboard)'!$D$27*12,J587*'Input sheet(dashboard)'!$D$11,0)</f>
        <v>0</v>
      </c>
      <c r="O587" s="3">
        <f>IF(SUM(F587:F598)&gt;=150000,150000/12*'Input sheet(dashboard)'!$D$28,SUM(F587:F598)/12*'Input sheet(dashboard)'!$D$28)</f>
        <v>2.6009647020828809E-12</v>
      </c>
      <c r="P587" s="3">
        <f t="shared" si="78"/>
        <v>0</v>
      </c>
      <c r="Q587" s="3">
        <f>IF(B587&lt;='Input sheet(dashboard)'!$D$27*12,'Input sheet(dashboard)'!$D$12/12,0)</f>
        <v>0</v>
      </c>
      <c r="R587" s="3">
        <f>IF(B587&lt;='Input sheet(dashboard)'!$D$27*12,('Input sheet(dashboard)'!$D$15/12)*(1+'Input sheet(dashboard)'!$E$22)^Calculations!B587,0)</f>
        <v>0</v>
      </c>
      <c r="S587" s="3">
        <f>IF(B587&lt;='Input sheet(dashboard)'!$D$27*12,(E587+G587+K587+L587-O587+M587+Q587+R587),0)</f>
        <v>0</v>
      </c>
      <c r="T587" s="3">
        <f>IF(B587&lt;='Input sheet(dashboard)'!$D$27*12,IF(D587=12,SUM(S576:S587),0),0)</f>
        <v>0</v>
      </c>
      <c r="U587" s="3">
        <f>IF(B587&lt;='Input sheet(dashboard)'!$D$27*12,IF(S587&lt;AD587,AD587-S587,0),0)</f>
        <v>0</v>
      </c>
      <c r="V587" s="3">
        <f>IF(B587&lt;='Input sheet(dashboard)'!$D$27*12,V586*(1+'Input sheet(dashboard)'!$E$25)+U587,0)</f>
        <v>0</v>
      </c>
      <c r="W587" s="17">
        <f>IF(B587&lt;='Input sheet(dashboard)'!$D$27*12,J587-I587+V587-N587,0)</f>
        <v>0</v>
      </c>
      <c r="X587" s="3">
        <f>IF(B587&lt;='Input sheet(dashboard)'!$D$27*12,'Input sheet(dashboard)'!$D$17*(1+'Input sheet(dashboard)'!$E$23)^(B587-1),0)</f>
        <v>0</v>
      </c>
      <c r="Y587" s="3"/>
      <c r="Z587" s="18"/>
      <c r="AA587" s="18"/>
      <c r="AB587" s="3">
        <f>IF(B587=1,'Input sheet(dashboard)'!$D$18*Calculations!X587,IF(Calculations!B587=12*'Input sheet(dashboard)'!$D$27,'Input sheet(dashboard)'!$D$18*-Calculations!X587,0))</f>
        <v>0</v>
      </c>
      <c r="AC587" s="3">
        <f>IF(B587&lt;='Input sheet(dashboard)'!$D$27*12,IF(MOD(B586,'Input sheet(dashboard)'!$D$19*12),0,'Input sheet(dashboard)'!$D$20*(1+'Input sheet(dashboard)'!$E$22)^Calculations!B587),0)</f>
        <v>0</v>
      </c>
      <c r="AD587" s="17">
        <f t="shared" si="84"/>
        <v>0</v>
      </c>
      <c r="AE587" s="17">
        <f>IF(B587&lt;='Input sheet(dashboard)'!$D$27*12,IF(D587=12,SUM(AD576:AD587),0),0)</f>
        <v>0</v>
      </c>
      <c r="AF587" s="17">
        <f t="shared" si="85"/>
        <v>0</v>
      </c>
      <c r="AG587" s="17">
        <f t="shared" si="86"/>
        <v>0</v>
      </c>
      <c r="AH587" s="3" t="str">
        <f>IF(B587&lt;='Input sheet(dashboard)'!$D$27*12,AH586*(1+'Input sheet(dashboard)'!$E$25)+AG587," ")</f>
        <v xml:space="preserve"> </v>
      </c>
    </row>
    <row r="588" spans="2:34">
      <c r="B588">
        <f t="shared" si="81"/>
        <v>585</v>
      </c>
      <c r="C588">
        <f t="shared" si="79"/>
        <v>49</v>
      </c>
      <c r="D588">
        <f t="shared" si="80"/>
        <v>9</v>
      </c>
      <c r="E588" s="15">
        <f>IF(C588&lt;='Input sheet(dashboard)'!$D$6, -PMT('Input sheet(dashboard)'!$E$5,'Input sheet(dashboard)'!$D$6*12,'Input sheet(dashboard)'!$D$3*'Input sheet(dashboard)'!$D$4),0)</f>
        <v>0</v>
      </c>
      <c r="F588" s="3">
        <f>I587*'Input sheet(dashboard)'!$E$5</f>
        <v>1.7057003097515349E-11</v>
      </c>
      <c r="G588" s="3">
        <f>IF(C588&lt;='Input sheet(dashboard)'!$D$6,E588*'Input sheet(dashboard)'!$D$7,0)</f>
        <v>0</v>
      </c>
      <c r="H588" s="3">
        <f t="shared" si="82"/>
        <v>-1.7057003097515349E-11</v>
      </c>
      <c r="I588" s="3">
        <f t="shared" si="83"/>
        <v>4.6994596340296832E-9</v>
      </c>
      <c r="J588" s="3">
        <f>IF(B588&lt;='Input sheet(dashboard)'!$D$27*12,'Input sheet(dashboard)'!$D$3*(1+'Input sheet(dashboard)'!$E$24)^B588,0)</f>
        <v>0</v>
      </c>
      <c r="K588" s="3">
        <f>IF(B588&lt;='Input sheet(dashboard)'!$D$27*12,J588*'Input sheet(dashboard)'!$E$8,0)</f>
        <v>0</v>
      </c>
      <c r="L588" s="3">
        <f>IF(B588&lt;='Input sheet(dashboard)'!$D$27*12,'Input sheet(dashboard)'!$D$9*(1+'Input sheet(dashboard)'!$E$22)^B588,0)</f>
        <v>0</v>
      </c>
      <c r="M588" s="3">
        <f>IF(B588=1,'Input sheet(dashboard)'!$D$3*'Input sheet(dashboard)'!$D$10,0)</f>
        <v>0</v>
      </c>
      <c r="N588" s="3">
        <f>IF(B588='Input sheet(dashboard)'!$D$27*12,J588*'Input sheet(dashboard)'!$D$11,0)</f>
        <v>0</v>
      </c>
      <c r="O588" s="3">
        <f>IF(SUM(F588:F599)&gt;=150000,150000/12*'Input sheet(dashboard)'!$D$28,SUM(F588:F599)/12*'Input sheet(dashboard)'!$D$28)</f>
        <v>2.6104394667446979E-12</v>
      </c>
      <c r="P588" s="3">
        <f t="shared" si="78"/>
        <v>0</v>
      </c>
      <c r="Q588" s="3">
        <f>IF(B588&lt;='Input sheet(dashboard)'!$D$27*12,'Input sheet(dashboard)'!$D$12/12,0)</f>
        <v>0</v>
      </c>
      <c r="R588" s="3">
        <f>IF(B588&lt;='Input sheet(dashboard)'!$D$27*12,('Input sheet(dashboard)'!$D$15/12)*(1+'Input sheet(dashboard)'!$E$22)^Calculations!B588,0)</f>
        <v>0</v>
      </c>
      <c r="S588" s="3">
        <f>IF(B588&lt;='Input sheet(dashboard)'!$D$27*12,(E588+G588+K588+L588-O588+M588+Q588+R588),0)</f>
        <v>0</v>
      </c>
      <c r="T588" s="3">
        <f>IF(B588&lt;='Input sheet(dashboard)'!$D$27*12,IF(D588=12,SUM(S577:S588),0),0)</f>
        <v>0</v>
      </c>
      <c r="U588" s="3">
        <f>IF(B588&lt;='Input sheet(dashboard)'!$D$27*12,IF(S588&lt;AD588,AD588-S588,0),0)</f>
        <v>0</v>
      </c>
      <c r="V588" s="3">
        <f>IF(B588&lt;='Input sheet(dashboard)'!$D$27*12,V587*(1+'Input sheet(dashboard)'!$E$25)+U588,0)</f>
        <v>0</v>
      </c>
      <c r="W588" s="17">
        <f>IF(B588&lt;='Input sheet(dashboard)'!$D$27*12,J588-I588+V588-N588,0)</f>
        <v>0</v>
      </c>
      <c r="X588" s="3">
        <f>IF(B588&lt;='Input sheet(dashboard)'!$D$27*12,'Input sheet(dashboard)'!$D$17*(1+'Input sheet(dashboard)'!$E$23)^(B588-1),0)</f>
        <v>0</v>
      </c>
      <c r="Y588" s="3"/>
      <c r="Z588" s="18"/>
      <c r="AA588" s="18"/>
      <c r="AB588" s="3">
        <f>IF(B588=1,'Input sheet(dashboard)'!$D$18*Calculations!X588,IF(Calculations!B588=12*'Input sheet(dashboard)'!$D$27,'Input sheet(dashboard)'!$D$18*-Calculations!X588,0))</f>
        <v>0</v>
      </c>
      <c r="AC588" s="3">
        <f>IF(B588&lt;='Input sheet(dashboard)'!$D$27*12,IF(MOD(B587,'Input sheet(dashboard)'!$D$19*12),0,'Input sheet(dashboard)'!$D$20*(1+'Input sheet(dashboard)'!$E$22)^Calculations!B588),0)</f>
        <v>0</v>
      </c>
      <c r="AD588" s="17">
        <f t="shared" si="84"/>
        <v>0</v>
      </c>
      <c r="AE588" s="17">
        <f>IF(B588&lt;='Input sheet(dashboard)'!$D$27*12,IF(D588=12,SUM(AD577:AD588),0),0)</f>
        <v>0</v>
      </c>
      <c r="AF588" s="17">
        <f t="shared" si="85"/>
        <v>0</v>
      </c>
      <c r="AG588" s="17">
        <f t="shared" si="86"/>
        <v>0</v>
      </c>
      <c r="AH588" s="3" t="str">
        <f>IF(B588&lt;='Input sheet(dashboard)'!$D$27*12,AH587*(1+'Input sheet(dashboard)'!$E$25)+AG588," ")</f>
        <v xml:space="preserve"> </v>
      </c>
    </row>
    <row r="589" spans="2:34">
      <c r="B589">
        <f t="shared" si="81"/>
        <v>586</v>
      </c>
      <c r="C589">
        <f t="shared" si="79"/>
        <v>49</v>
      </c>
      <c r="D589">
        <f t="shared" si="80"/>
        <v>10</v>
      </c>
      <c r="E589" s="15">
        <f>IF(C589&lt;='Input sheet(dashboard)'!$D$6, -PMT('Input sheet(dashboard)'!$E$5,'Input sheet(dashboard)'!$D$6*12,'Input sheet(dashboard)'!$D$3*'Input sheet(dashboard)'!$D$4),0)</f>
        <v>0</v>
      </c>
      <c r="F589" s="3">
        <f>I588*'Input sheet(dashboard)'!$E$5</f>
        <v>1.7119138154579146E-11</v>
      </c>
      <c r="G589" s="3">
        <f>IF(C589&lt;='Input sheet(dashboard)'!$D$6,E589*'Input sheet(dashboard)'!$D$7,0)</f>
        <v>0</v>
      </c>
      <c r="H589" s="3">
        <f t="shared" si="82"/>
        <v>-1.7119138154579146E-11</v>
      </c>
      <c r="I589" s="3">
        <f t="shared" si="83"/>
        <v>4.7165787721842626E-9</v>
      </c>
      <c r="J589" s="3">
        <f>IF(B589&lt;='Input sheet(dashboard)'!$D$27*12,'Input sheet(dashboard)'!$D$3*(1+'Input sheet(dashboard)'!$E$24)^B589,0)</f>
        <v>0</v>
      </c>
      <c r="K589" s="3">
        <f>IF(B589&lt;='Input sheet(dashboard)'!$D$27*12,J589*'Input sheet(dashboard)'!$E$8,0)</f>
        <v>0</v>
      </c>
      <c r="L589" s="3">
        <f>IF(B589&lt;='Input sheet(dashboard)'!$D$27*12,'Input sheet(dashboard)'!$D$9*(1+'Input sheet(dashboard)'!$E$22)^B589,0)</f>
        <v>0</v>
      </c>
      <c r="M589" s="3">
        <f>IF(B589=1,'Input sheet(dashboard)'!$D$3*'Input sheet(dashboard)'!$D$10,0)</f>
        <v>0</v>
      </c>
      <c r="N589" s="3">
        <f>IF(B589='Input sheet(dashboard)'!$D$27*12,J589*'Input sheet(dashboard)'!$D$11,0)</f>
        <v>0</v>
      </c>
      <c r="O589" s="3">
        <f>IF(SUM(F589:F600)&gt;=150000,150000/12*'Input sheet(dashboard)'!$D$28,SUM(F589:F600)/12*'Input sheet(dashboard)'!$D$28)</f>
        <v>2.619948745971563E-12</v>
      </c>
      <c r="P589" s="3">
        <f t="shared" si="78"/>
        <v>0</v>
      </c>
      <c r="Q589" s="3">
        <f>IF(B589&lt;='Input sheet(dashboard)'!$D$27*12,'Input sheet(dashboard)'!$D$12/12,0)</f>
        <v>0</v>
      </c>
      <c r="R589" s="3">
        <f>IF(B589&lt;='Input sheet(dashboard)'!$D$27*12,('Input sheet(dashboard)'!$D$15/12)*(1+'Input sheet(dashboard)'!$E$22)^Calculations!B589,0)</f>
        <v>0</v>
      </c>
      <c r="S589" s="3">
        <f>IF(B589&lt;='Input sheet(dashboard)'!$D$27*12,(E589+G589+K589+L589-O589+M589+Q589+R589),0)</f>
        <v>0</v>
      </c>
      <c r="T589" s="3">
        <f>IF(B589&lt;='Input sheet(dashboard)'!$D$27*12,IF(D589=12,SUM(S578:S589),0),0)</f>
        <v>0</v>
      </c>
      <c r="U589" s="3">
        <f>IF(B589&lt;='Input sheet(dashboard)'!$D$27*12,IF(S589&lt;AD589,AD589-S589,0),0)</f>
        <v>0</v>
      </c>
      <c r="V589" s="3">
        <f>IF(B589&lt;='Input sheet(dashboard)'!$D$27*12,V588*(1+'Input sheet(dashboard)'!$E$25)+U589,0)</f>
        <v>0</v>
      </c>
      <c r="W589" s="17">
        <f>IF(B589&lt;='Input sheet(dashboard)'!$D$27*12,J589-I589+V589-N589,0)</f>
        <v>0</v>
      </c>
      <c r="X589" s="3">
        <f>IF(B589&lt;='Input sheet(dashboard)'!$D$27*12,'Input sheet(dashboard)'!$D$17*(1+'Input sheet(dashboard)'!$E$23)^(B589-1),0)</f>
        <v>0</v>
      </c>
      <c r="Y589" s="3"/>
      <c r="Z589" s="18"/>
      <c r="AA589" s="18"/>
      <c r="AB589" s="3">
        <f>IF(B589=1,'Input sheet(dashboard)'!$D$18*Calculations!X589,IF(Calculations!B589=12*'Input sheet(dashboard)'!$D$27,'Input sheet(dashboard)'!$D$18*-Calculations!X589,0))</f>
        <v>0</v>
      </c>
      <c r="AC589" s="3">
        <f>IF(B589&lt;='Input sheet(dashboard)'!$D$27*12,IF(MOD(B588,'Input sheet(dashboard)'!$D$19*12),0,'Input sheet(dashboard)'!$D$20*(1+'Input sheet(dashboard)'!$E$22)^Calculations!B589),0)</f>
        <v>0</v>
      </c>
      <c r="AD589" s="17">
        <f t="shared" si="84"/>
        <v>0</v>
      </c>
      <c r="AE589" s="17">
        <f>IF(B589&lt;='Input sheet(dashboard)'!$D$27*12,IF(D589=12,SUM(AD578:AD589),0),0)</f>
        <v>0</v>
      </c>
      <c r="AF589" s="17">
        <f t="shared" si="85"/>
        <v>0</v>
      </c>
      <c r="AG589" s="17">
        <f t="shared" si="86"/>
        <v>0</v>
      </c>
      <c r="AH589" s="3" t="str">
        <f>IF(B589&lt;='Input sheet(dashboard)'!$D$27*12,AH588*(1+'Input sheet(dashboard)'!$E$25)+AG589," ")</f>
        <v xml:space="preserve"> </v>
      </c>
    </row>
    <row r="590" spans="2:34">
      <c r="B590">
        <f t="shared" si="81"/>
        <v>587</v>
      </c>
      <c r="C590">
        <f t="shared" si="79"/>
        <v>49</v>
      </c>
      <c r="D590">
        <f t="shared" si="80"/>
        <v>11</v>
      </c>
      <c r="E590" s="15">
        <f>IF(C590&lt;='Input sheet(dashboard)'!$D$6, -PMT('Input sheet(dashboard)'!$E$5,'Input sheet(dashboard)'!$D$6*12,'Input sheet(dashboard)'!$D$3*'Input sheet(dashboard)'!$D$4),0)</f>
        <v>0</v>
      </c>
      <c r="F590" s="3">
        <f>I589*'Input sheet(dashboard)'!$E$5</f>
        <v>1.7181499556522772E-11</v>
      </c>
      <c r="G590" s="3">
        <f>IF(C590&lt;='Input sheet(dashboard)'!$D$6,E590*'Input sheet(dashboard)'!$D$7,0)</f>
        <v>0</v>
      </c>
      <c r="H590" s="3">
        <f t="shared" si="82"/>
        <v>-1.7181499556522772E-11</v>
      </c>
      <c r="I590" s="3">
        <f t="shared" si="83"/>
        <v>4.7337602717407856E-9</v>
      </c>
      <c r="J590" s="3">
        <f>IF(B590&lt;='Input sheet(dashboard)'!$D$27*12,'Input sheet(dashboard)'!$D$3*(1+'Input sheet(dashboard)'!$E$24)^B590,0)</f>
        <v>0</v>
      </c>
      <c r="K590" s="3">
        <f>IF(B590&lt;='Input sheet(dashboard)'!$D$27*12,J590*'Input sheet(dashboard)'!$E$8,0)</f>
        <v>0</v>
      </c>
      <c r="L590" s="3">
        <f>IF(B590&lt;='Input sheet(dashboard)'!$D$27*12,'Input sheet(dashboard)'!$D$9*(1+'Input sheet(dashboard)'!$E$22)^B590,0)</f>
        <v>0</v>
      </c>
      <c r="M590" s="3">
        <f>IF(B590=1,'Input sheet(dashboard)'!$D$3*'Input sheet(dashboard)'!$D$10,0)</f>
        <v>0</v>
      </c>
      <c r="N590" s="3">
        <f>IF(B590='Input sheet(dashboard)'!$D$27*12,J590*'Input sheet(dashboard)'!$D$11,0)</f>
        <v>0</v>
      </c>
      <c r="O590" s="3">
        <f>IF(SUM(F590:F601)&gt;=150000,150000/12*'Input sheet(dashboard)'!$D$28,SUM(F590:F601)/12*'Input sheet(dashboard)'!$D$28)</f>
        <v>2.6294926654927405E-12</v>
      </c>
      <c r="P590" s="3">
        <f t="shared" si="78"/>
        <v>0</v>
      </c>
      <c r="Q590" s="3">
        <f>IF(B590&lt;='Input sheet(dashboard)'!$D$27*12,'Input sheet(dashboard)'!$D$12/12,0)</f>
        <v>0</v>
      </c>
      <c r="R590" s="3">
        <f>IF(B590&lt;='Input sheet(dashboard)'!$D$27*12,('Input sheet(dashboard)'!$D$15/12)*(1+'Input sheet(dashboard)'!$E$22)^Calculations!B590,0)</f>
        <v>0</v>
      </c>
      <c r="S590" s="3">
        <f>IF(B590&lt;='Input sheet(dashboard)'!$D$27*12,(E590+G590+K590+L590-O590+M590+Q590+R590),0)</f>
        <v>0</v>
      </c>
      <c r="T590" s="3">
        <f>IF(B590&lt;='Input sheet(dashboard)'!$D$27*12,IF(D590=12,SUM(S579:S590),0),0)</f>
        <v>0</v>
      </c>
      <c r="U590" s="3">
        <f>IF(B590&lt;='Input sheet(dashboard)'!$D$27*12,IF(S590&lt;AD590,AD590-S590,0),0)</f>
        <v>0</v>
      </c>
      <c r="V590" s="3">
        <f>IF(B590&lt;='Input sheet(dashboard)'!$D$27*12,V589*(1+'Input sheet(dashboard)'!$E$25)+U590,0)</f>
        <v>0</v>
      </c>
      <c r="W590" s="17">
        <f>IF(B590&lt;='Input sheet(dashboard)'!$D$27*12,J590-I590+V590-N590,0)</f>
        <v>0</v>
      </c>
      <c r="X590" s="3">
        <f>IF(B590&lt;='Input sheet(dashboard)'!$D$27*12,'Input sheet(dashboard)'!$D$17*(1+'Input sheet(dashboard)'!$E$23)^(B590-1),0)</f>
        <v>0</v>
      </c>
      <c r="Y590" s="3"/>
      <c r="Z590" s="18"/>
      <c r="AA590" s="18"/>
      <c r="AB590" s="3">
        <f>IF(B590=1,'Input sheet(dashboard)'!$D$18*Calculations!X590,IF(Calculations!B590=12*'Input sheet(dashboard)'!$D$27,'Input sheet(dashboard)'!$D$18*-Calculations!X590,0))</f>
        <v>0</v>
      </c>
      <c r="AC590" s="3">
        <f>IF(B590&lt;='Input sheet(dashboard)'!$D$27*12,IF(MOD(B589,'Input sheet(dashboard)'!$D$19*12),0,'Input sheet(dashboard)'!$D$20*(1+'Input sheet(dashboard)'!$E$22)^Calculations!B590),0)</f>
        <v>0</v>
      </c>
      <c r="AD590" s="17">
        <f t="shared" si="84"/>
        <v>0</v>
      </c>
      <c r="AE590" s="17">
        <f>IF(B590&lt;='Input sheet(dashboard)'!$D$27*12,IF(D590=12,SUM(AD579:AD590),0),0)</f>
        <v>0</v>
      </c>
      <c r="AF590" s="17">
        <f t="shared" si="85"/>
        <v>0</v>
      </c>
      <c r="AG590" s="17">
        <f t="shared" si="86"/>
        <v>0</v>
      </c>
      <c r="AH590" s="3" t="str">
        <f>IF(B590&lt;='Input sheet(dashboard)'!$D$27*12,AH589*(1+'Input sheet(dashboard)'!$E$25)+AG590," ")</f>
        <v xml:space="preserve"> </v>
      </c>
    </row>
    <row r="591" spans="2:34">
      <c r="B591">
        <f t="shared" si="81"/>
        <v>588</v>
      </c>
      <c r="C591">
        <f t="shared" si="79"/>
        <v>49</v>
      </c>
      <c r="D591">
        <f t="shared" si="80"/>
        <v>12</v>
      </c>
      <c r="E591" s="15">
        <f>IF(C591&lt;='Input sheet(dashboard)'!$D$6, -PMT('Input sheet(dashboard)'!$E$5,'Input sheet(dashboard)'!$D$6*12,'Input sheet(dashboard)'!$D$3*'Input sheet(dashboard)'!$D$4),0)</f>
        <v>0</v>
      </c>
      <c r="F591" s="3">
        <f>I590*'Input sheet(dashboard)'!$E$5</f>
        <v>1.7244088127872783E-11</v>
      </c>
      <c r="G591" s="3">
        <f>IF(C591&lt;='Input sheet(dashboard)'!$D$6,E591*'Input sheet(dashboard)'!$D$7,0)</f>
        <v>0</v>
      </c>
      <c r="H591" s="3">
        <f t="shared" si="82"/>
        <v>-1.7244088127872783E-11</v>
      </c>
      <c r="I591" s="3">
        <f t="shared" si="83"/>
        <v>4.751004359868658E-9</v>
      </c>
      <c r="J591" s="3">
        <f>IF(B591&lt;='Input sheet(dashboard)'!$D$27*12,'Input sheet(dashboard)'!$D$3*(1+'Input sheet(dashboard)'!$E$24)^B591,0)</f>
        <v>0</v>
      </c>
      <c r="K591" s="3">
        <f>IF(B591&lt;='Input sheet(dashboard)'!$D$27*12,J591*'Input sheet(dashboard)'!$E$8,0)</f>
        <v>0</v>
      </c>
      <c r="L591" s="3">
        <f>IF(B591&lt;='Input sheet(dashboard)'!$D$27*12,'Input sheet(dashboard)'!$D$9*(1+'Input sheet(dashboard)'!$E$22)^B591,0)</f>
        <v>0</v>
      </c>
      <c r="M591" s="3">
        <f>IF(B591=1,'Input sheet(dashboard)'!$D$3*'Input sheet(dashboard)'!$D$10,0)</f>
        <v>0</v>
      </c>
      <c r="N591" s="3">
        <f>IF(B591='Input sheet(dashboard)'!$D$27*12,J591*'Input sheet(dashboard)'!$D$11,0)</f>
        <v>0</v>
      </c>
      <c r="O591" s="3">
        <f>IF(SUM(F591:F602)&gt;=150000,150000/12*'Input sheet(dashboard)'!$D$28,SUM(F591:F602)/12*'Input sheet(dashboard)'!$D$28)</f>
        <v>2.6390713514955025E-12</v>
      </c>
      <c r="P591" s="3">
        <f t="shared" ref="P591:P654" si="87">IF(D591=12,IF(SUM(F580:F592)&gt;=150000,150000*0.15,SUM(F580:F592)*0.15),0)</f>
        <v>3.3023203201572555E-11</v>
      </c>
      <c r="Q591" s="3">
        <f>IF(B591&lt;='Input sheet(dashboard)'!$D$27*12,'Input sheet(dashboard)'!$D$12/12,0)</f>
        <v>0</v>
      </c>
      <c r="R591" s="3">
        <f>IF(B591&lt;='Input sheet(dashboard)'!$D$27*12,('Input sheet(dashboard)'!$D$15/12)*(1+'Input sheet(dashboard)'!$E$22)^Calculations!B591,0)</f>
        <v>0</v>
      </c>
      <c r="S591" s="3">
        <f>IF(B591&lt;='Input sheet(dashboard)'!$D$27*12,(E591+G591+K591+L591-O591+M591+Q591+R591),0)</f>
        <v>0</v>
      </c>
      <c r="T591" s="3">
        <f>IF(B591&lt;='Input sheet(dashboard)'!$D$27*12,IF(D591=12,SUM(S580:S591),0),0)</f>
        <v>0</v>
      </c>
      <c r="U591" s="3">
        <f>IF(B591&lt;='Input sheet(dashboard)'!$D$27*12,IF(S591&lt;AD591,AD591-S591,0),0)</f>
        <v>0</v>
      </c>
      <c r="V591" s="3">
        <f>IF(B591&lt;='Input sheet(dashboard)'!$D$27*12,V590*(1+'Input sheet(dashboard)'!$E$25)+U591,0)</f>
        <v>0</v>
      </c>
      <c r="W591" s="17">
        <f>IF(B591&lt;='Input sheet(dashboard)'!$D$27*12,J591-I591+V591-N591,0)</f>
        <v>0</v>
      </c>
      <c r="X591" s="3">
        <f>IF(B591&lt;='Input sheet(dashboard)'!$D$27*12,'Input sheet(dashboard)'!$D$17*(1+'Input sheet(dashboard)'!$E$23)^(B591-1),0)</f>
        <v>0</v>
      </c>
      <c r="Y591" s="3"/>
      <c r="Z591" s="18"/>
      <c r="AA591" s="18"/>
      <c r="AB591" s="3">
        <f>IF(B591=1,'Input sheet(dashboard)'!$D$18*Calculations!X591,IF(Calculations!B591=12*'Input sheet(dashboard)'!$D$27,'Input sheet(dashboard)'!$D$18*-Calculations!X591,0))</f>
        <v>0</v>
      </c>
      <c r="AC591" s="3">
        <f>IF(B591&lt;='Input sheet(dashboard)'!$D$27*12,IF(MOD(B590,'Input sheet(dashboard)'!$D$19*12),0,'Input sheet(dashboard)'!$D$20*(1+'Input sheet(dashboard)'!$E$22)^Calculations!B591),0)</f>
        <v>0</v>
      </c>
      <c r="AD591" s="17">
        <f t="shared" si="84"/>
        <v>0</v>
      </c>
      <c r="AE591" s="17">
        <f>IF(B591&lt;='Input sheet(dashboard)'!$D$27*12,IF(D591=12,SUM(AD580:AD591),0),0)</f>
        <v>0</v>
      </c>
      <c r="AF591" s="17">
        <f t="shared" si="85"/>
        <v>0</v>
      </c>
      <c r="AG591" s="17">
        <f t="shared" si="86"/>
        <v>0</v>
      </c>
      <c r="AH591" s="3" t="str">
        <f>IF(B591&lt;='Input sheet(dashboard)'!$D$27*12,AH590*(1+'Input sheet(dashboard)'!$E$25)+AG591," ")</f>
        <v xml:space="preserve"> </v>
      </c>
    </row>
    <row r="592" spans="2:34">
      <c r="B592">
        <f t="shared" si="81"/>
        <v>589</v>
      </c>
      <c r="C592">
        <f t="shared" ref="C592:C655" si="88">C580+1</f>
        <v>50</v>
      </c>
      <c r="D592">
        <f t="shared" ref="D592:D655" si="89">D580</f>
        <v>1</v>
      </c>
      <c r="E592" s="15">
        <f>IF(C592&lt;='Input sheet(dashboard)'!$D$6, -PMT('Input sheet(dashboard)'!$E$5,'Input sheet(dashboard)'!$D$6*12,'Input sheet(dashboard)'!$D$3*'Input sheet(dashboard)'!$D$4),0)</f>
        <v>0</v>
      </c>
      <c r="F592" s="3">
        <f>I591*'Input sheet(dashboard)'!$E$5</f>
        <v>1.7306904696159306E-11</v>
      </c>
      <c r="G592" s="3">
        <f>IF(C592&lt;='Input sheet(dashboard)'!$D$6,E592*'Input sheet(dashboard)'!$D$7,0)</f>
        <v>0</v>
      </c>
      <c r="H592" s="3">
        <f t="shared" si="82"/>
        <v>-1.7306904696159306E-11</v>
      </c>
      <c r="I592" s="3">
        <f t="shared" si="83"/>
        <v>4.7683112645648176E-9</v>
      </c>
      <c r="J592" s="3">
        <f>IF(B592&lt;='Input sheet(dashboard)'!$D$27*12,'Input sheet(dashboard)'!$D$3*(1+'Input sheet(dashboard)'!$E$24)^B592,0)</f>
        <v>0</v>
      </c>
      <c r="K592" s="3">
        <f>IF(B592&lt;='Input sheet(dashboard)'!$D$27*12,J592*'Input sheet(dashboard)'!$E$8,0)</f>
        <v>0</v>
      </c>
      <c r="L592" s="3">
        <f>IF(B592&lt;='Input sheet(dashboard)'!$D$27*12,'Input sheet(dashboard)'!$D$9*(1+'Input sheet(dashboard)'!$E$22)^B592,0)</f>
        <v>0</v>
      </c>
      <c r="M592" s="3">
        <f>IF(B592=1,'Input sheet(dashboard)'!$D$3*'Input sheet(dashboard)'!$D$10,0)</f>
        <v>0</v>
      </c>
      <c r="N592" s="3">
        <f>IF(B592='Input sheet(dashboard)'!$D$27*12,J592*'Input sheet(dashboard)'!$D$11,0)</f>
        <v>0</v>
      </c>
      <c r="O592" s="3">
        <f>IF(SUM(F592:F603)&gt;=150000,150000/12*'Input sheet(dashboard)'!$D$28,SUM(F592:F603)/12*'Input sheet(dashboard)'!$D$28)</f>
        <v>2.6486849306267919E-12</v>
      </c>
      <c r="P592" s="3">
        <f t="shared" si="87"/>
        <v>0</v>
      </c>
      <c r="Q592" s="3">
        <f>IF(B592&lt;='Input sheet(dashboard)'!$D$27*12,'Input sheet(dashboard)'!$D$12/12,0)</f>
        <v>0</v>
      </c>
      <c r="R592" s="3">
        <f>IF(B592&lt;='Input sheet(dashboard)'!$D$27*12,('Input sheet(dashboard)'!$D$15/12)*(1+'Input sheet(dashboard)'!$E$22)^Calculations!B592,0)</f>
        <v>0</v>
      </c>
      <c r="S592" s="3">
        <f>IF(B592&lt;='Input sheet(dashboard)'!$D$27*12,(E592+G592+K592+L592-O592+M592+Q592+R592),0)</f>
        <v>0</v>
      </c>
      <c r="T592" s="3">
        <f>IF(B592&lt;='Input sheet(dashboard)'!$D$27*12,IF(D592=12,SUM(S581:S592),0),0)</f>
        <v>0</v>
      </c>
      <c r="U592" s="3">
        <f>IF(B592&lt;='Input sheet(dashboard)'!$D$27*12,IF(S592&lt;AD592,AD592-S592,0),0)</f>
        <v>0</v>
      </c>
      <c r="V592" s="3">
        <f>IF(B592&lt;='Input sheet(dashboard)'!$D$27*12,V591*(1+'Input sheet(dashboard)'!$E$25)+U592,0)</f>
        <v>0</v>
      </c>
      <c r="W592" s="17">
        <f>IF(B592&lt;='Input sheet(dashboard)'!$D$27*12,J592-I592+V592-N592,0)</f>
        <v>0</v>
      </c>
      <c r="X592" s="3">
        <f>IF(B592&lt;='Input sheet(dashboard)'!$D$27*12,'Input sheet(dashboard)'!$D$17*(1+'Input sheet(dashboard)'!$E$23)^(B592-1),0)</f>
        <v>0</v>
      </c>
      <c r="Y592" s="3"/>
      <c r="Z592" s="18"/>
      <c r="AA592" s="18"/>
      <c r="AB592" s="3">
        <f>IF(B592=1,'Input sheet(dashboard)'!$D$18*Calculations!X592,IF(Calculations!B592=12*'Input sheet(dashboard)'!$D$27,'Input sheet(dashboard)'!$D$18*-Calculations!X592,0))</f>
        <v>0</v>
      </c>
      <c r="AC592" s="3">
        <f>IF(B592&lt;='Input sheet(dashboard)'!$D$27*12,IF(MOD(B591,'Input sheet(dashboard)'!$D$19*12),0,'Input sheet(dashboard)'!$D$20*(1+'Input sheet(dashboard)'!$E$22)^Calculations!B592),0)</f>
        <v>0</v>
      </c>
      <c r="AD592" s="17">
        <f t="shared" si="84"/>
        <v>0</v>
      </c>
      <c r="AE592" s="17">
        <f>IF(B592&lt;='Input sheet(dashboard)'!$D$27*12,IF(D592=12,SUM(AD581:AD592),0),0)</f>
        <v>0</v>
      </c>
      <c r="AF592" s="17">
        <f t="shared" si="85"/>
        <v>0</v>
      </c>
      <c r="AG592" s="17">
        <f t="shared" si="86"/>
        <v>0</v>
      </c>
      <c r="AH592" s="3" t="str">
        <f>IF(B592&lt;='Input sheet(dashboard)'!$D$27*12,AH591*(1+'Input sheet(dashboard)'!$E$25)+AG592," ")</f>
        <v xml:space="preserve"> </v>
      </c>
    </row>
    <row r="593" spans="2:34">
      <c r="B593">
        <f t="shared" si="81"/>
        <v>590</v>
      </c>
      <c r="C593">
        <f t="shared" si="88"/>
        <v>50</v>
      </c>
      <c r="D593">
        <f t="shared" si="89"/>
        <v>2</v>
      </c>
      <c r="E593" s="15">
        <f>IF(C593&lt;='Input sheet(dashboard)'!$D$6, -PMT('Input sheet(dashboard)'!$E$5,'Input sheet(dashboard)'!$D$6*12,'Input sheet(dashboard)'!$D$3*'Input sheet(dashboard)'!$D$4),0)</f>
        <v>0</v>
      </c>
      <c r="F593" s="3">
        <f>I592*'Input sheet(dashboard)'!$E$5</f>
        <v>1.7369950091926996E-11</v>
      </c>
      <c r="G593" s="3">
        <f>IF(C593&lt;='Input sheet(dashboard)'!$D$6,E593*'Input sheet(dashboard)'!$D$7,0)</f>
        <v>0</v>
      </c>
      <c r="H593" s="3">
        <f t="shared" si="82"/>
        <v>-1.7369950091926996E-11</v>
      </c>
      <c r="I593" s="3">
        <f t="shared" si="83"/>
        <v>4.7856812146567445E-9</v>
      </c>
      <c r="J593" s="3">
        <f>IF(B593&lt;='Input sheet(dashboard)'!$D$27*12,'Input sheet(dashboard)'!$D$3*(1+'Input sheet(dashboard)'!$E$24)^B593,0)</f>
        <v>0</v>
      </c>
      <c r="K593" s="3">
        <f>IF(B593&lt;='Input sheet(dashboard)'!$D$27*12,J593*'Input sheet(dashboard)'!$E$8,0)</f>
        <v>0</v>
      </c>
      <c r="L593" s="3">
        <f>IF(B593&lt;='Input sheet(dashboard)'!$D$27*12,'Input sheet(dashboard)'!$D$9*(1+'Input sheet(dashboard)'!$E$22)^B593,0)</f>
        <v>0</v>
      </c>
      <c r="M593" s="3">
        <f>IF(B593=1,'Input sheet(dashboard)'!$D$3*'Input sheet(dashboard)'!$D$10,0)</f>
        <v>0</v>
      </c>
      <c r="N593" s="3">
        <f>IF(B593='Input sheet(dashboard)'!$D$27*12,J593*'Input sheet(dashboard)'!$D$11,0)</f>
        <v>0</v>
      </c>
      <c r="O593" s="3">
        <f>IF(SUM(F593:F604)&gt;=150000,150000/12*'Input sheet(dashboard)'!$D$28,SUM(F593:F604)/12*'Input sheet(dashboard)'!$D$28)</f>
        <v>2.6583335299949003E-12</v>
      </c>
      <c r="P593" s="3">
        <f t="shared" si="87"/>
        <v>0</v>
      </c>
      <c r="Q593" s="3">
        <f>IF(B593&lt;='Input sheet(dashboard)'!$D$27*12,'Input sheet(dashboard)'!$D$12/12,0)</f>
        <v>0</v>
      </c>
      <c r="R593" s="3">
        <f>IF(B593&lt;='Input sheet(dashboard)'!$D$27*12,('Input sheet(dashboard)'!$D$15/12)*(1+'Input sheet(dashboard)'!$E$22)^Calculations!B593,0)</f>
        <v>0</v>
      </c>
      <c r="S593" s="3">
        <f>IF(B593&lt;='Input sheet(dashboard)'!$D$27*12,(E593+G593+K593+L593-O593+M593+Q593+R593),0)</f>
        <v>0</v>
      </c>
      <c r="T593" s="3">
        <f>IF(B593&lt;='Input sheet(dashboard)'!$D$27*12,IF(D593=12,SUM(S582:S593),0),0)</f>
        <v>0</v>
      </c>
      <c r="U593" s="3">
        <f>IF(B593&lt;='Input sheet(dashboard)'!$D$27*12,IF(S593&lt;AD593,AD593-S593,0),0)</f>
        <v>0</v>
      </c>
      <c r="V593" s="3">
        <f>IF(B593&lt;='Input sheet(dashboard)'!$D$27*12,V592*(1+'Input sheet(dashboard)'!$E$25)+U593,0)</f>
        <v>0</v>
      </c>
      <c r="W593" s="17">
        <f>IF(B593&lt;='Input sheet(dashboard)'!$D$27*12,J593-I593+V593-N593,0)</f>
        <v>0</v>
      </c>
      <c r="X593" s="3">
        <f>IF(B593&lt;='Input sheet(dashboard)'!$D$27*12,'Input sheet(dashboard)'!$D$17*(1+'Input sheet(dashboard)'!$E$23)^(B593-1),0)</f>
        <v>0</v>
      </c>
      <c r="Y593" s="3"/>
      <c r="Z593" s="18"/>
      <c r="AA593" s="18"/>
      <c r="AB593" s="3">
        <f>IF(B593=1,'Input sheet(dashboard)'!$D$18*Calculations!X593,IF(Calculations!B593=12*'Input sheet(dashboard)'!$D$27,'Input sheet(dashboard)'!$D$18*-Calculations!X593,0))</f>
        <v>0</v>
      </c>
      <c r="AC593" s="3">
        <f>IF(B593&lt;='Input sheet(dashboard)'!$D$27*12,IF(MOD(B592,'Input sheet(dashboard)'!$D$19*12),0,'Input sheet(dashboard)'!$D$20*(1+'Input sheet(dashboard)'!$E$22)^Calculations!B593),0)</f>
        <v>0</v>
      </c>
      <c r="AD593" s="17">
        <f t="shared" si="84"/>
        <v>0</v>
      </c>
      <c r="AE593" s="17">
        <f>IF(B593&lt;='Input sheet(dashboard)'!$D$27*12,IF(D593=12,SUM(AD582:AD593),0),0)</f>
        <v>0</v>
      </c>
      <c r="AF593" s="17">
        <f t="shared" si="85"/>
        <v>0</v>
      </c>
      <c r="AG593" s="17">
        <f t="shared" si="86"/>
        <v>0</v>
      </c>
      <c r="AH593" s="3" t="str">
        <f>IF(B593&lt;='Input sheet(dashboard)'!$D$27*12,AH592*(1+'Input sheet(dashboard)'!$E$25)+AG593," ")</f>
        <v xml:space="preserve"> </v>
      </c>
    </row>
    <row r="594" spans="2:34">
      <c r="B594">
        <f t="shared" si="81"/>
        <v>591</v>
      </c>
      <c r="C594">
        <f t="shared" si="88"/>
        <v>50</v>
      </c>
      <c r="D594">
        <f t="shared" si="89"/>
        <v>3</v>
      </c>
      <c r="E594" s="15">
        <f>IF(C594&lt;='Input sheet(dashboard)'!$D$6, -PMT('Input sheet(dashboard)'!$E$5,'Input sheet(dashboard)'!$D$6*12,'Input sheet(dashboard)'!$D$3*'Input sheet(dashboard)'!$D$4),0)</f>
        <v>0</v>
      </c>
      <c r="F594" s="3">
        <f>I593*'Input sheet(dashboard)'!$E$5</f>
        <v>1.7433225148746001E-11</v>
      </c>
      <c r="G594" s="3">
        <f>IF(C594&lt;='Input sheet(dashboard)'!$D$6,E594*'Input sheet(dashboard)'!$D$7,0)</f>
        <v>0</v>
      </c>
      <c r="H594" s="3">
        <f t="shared" si="82"/>
        <v>-1.7433225148746001E-11</v>
      </c>
      <c r="I594" s="3">
        <f t="shared" si="83"/>
        <v>4.8031144398054904E-9</v>
      </c>
      <c r="J594" s="3">
        <f>IF(B594&lt;='Input sheet(dashboard)'!$D$27*12,'Input sheet(dashboard)'!$D$3*(1+'Input sheet(dashboard)'!$E$24)^B594,0)</f>
        <v>0</v>
      </c>
      <c r="K594" s="3">
        <f>IF(B594&lt;='Input sheet(dashboard)'!$D$27*12,J594*'Input sheet(dashboard)'!$E$8,0)</f>
        <v>0</v>
      </c>
      <c r="L594" s="3">
        <f>IF(B594&lt;='Input sheet(dashboard)'!$D$27*12,'Input sheet(dashboard)'!$D$9*(1+'Input sheet(dashboard)'!$E$22)^B594,0)</f>
        <v>0</v>
      </c>
      <c r="M594" s="3">
        <f>IF(B594=1,'Input sheet(dashboard)'!$D$3*'Input sheet(dashboard)'!$D$10,0)</f>
        <v>0</v>
      </c>
      <c r="N594" s="3">
        <f>IF(B594='Input sheet(dashboard)'!$D$27*12,J594*'Input sheet(dashboard)'!$D$11,0)</f>
        <v>0</v>
      </c>
      <c r="O594" s="3">
        <f>IF(SUM(F594:F605)&gt;=150000,150000/12*'Input sheet(dashboard)'!$D$28,SUM(F594:F605)/12*'Input sheet(dashboard)'!$D$28)</f>
        <v>2.6680172771711498E-12</v>
      </c>
      <c r="P594" s="3">
        <f t="shared" si="87"/>
        <v>0</v>
      </c>
      <c r="Q594" s="3">
        <f>IF(B594&lt;='Input sheet(dashboard)'!$D$27*12,'Input sheet(dashboard)'!$D$12/12,0)</f>
        <v>0</v>
      </c>
      <c r="R594" s="3">
        <f>IF(B594&lt;='Input sheet(dashboard)'!$D$27*12,('Input sheet(dashboard)'!$D$15/12)*(1+'Input sheet(dashboard)'!$E$22)^Calculations!B594,0)</f>
        <v>0</v>
      </c>
      <c r="S594" s="3">
        <f>IF(B594&lt;='Input sheet(dashboard)'!$D$27*12,(E594+G594+K594+L594-O594+M594+Q594+R594),0)</f>
        <v>0</v>
      </c>
      <c r="T594" s="3">
        <f>IF(B594&lt;='Input sheet(dashboard)'!$D$27*12,IF(D594=12,SUM(S583:S594),0),0)</f>
        <v>0</v>
      </c>
      <c r="U594" s="3">
        <f>IF(B594&lt;='Input sheet(dashboard)'!$D$27*12,IF(S594&lt;AD594,AD594-S594,0),0)</f>
        <v>0</v>
      </c>
      <c r="V594" s="3">
        <f>IF(B594&lt;='Input sheet(dashboard)'!$D$27*12,V593*(1+'Input sheet(dashboard)'!$E$25)+U594,0)</f>
        <v>0</v>
      </c>
      <c r="W594" s="17">
        <f>IF(B594&lt;='Input sheet(dashboard)'!$D$27*12,J594-I594+V594-N594,0)</f>
        <v>0</v>
      </c>
      <c r="X594" s="3">
        <f>IF(B594&lt;='Input sheet(dashboard)'!$D$27*12,'Input sheet(dashboard)'!$D$17*(1+'Input sheet(dashboard)'!$E$23)^(B594-1),0)</f>
        <v>0</v>
      </c>
      <c r="Y594" s="3"/>
      <c r="Z594" s="18"/>
      <c r="AA594" s="18"/>
      <c r="AB594" s="3">
        <f>IF(B594=1,'Input sheet(dashboard)'!$D$18*Calculations!X594,IF(Calculations!B594=12*'Input sheet(dashboard)'!$D$27,'Input sheet(dashboard)'!$D$18*-Calculations!X594,0))</f>
        <v>0</v>
      </c>
      <c r="AC594" s="3">
        <f>IF(B594&lt;='Input sheet(dashboard)'!$D$27*12,IF(MOD(B593,'Input sheet(dashboard)'!$D$19*12),0,'Input sheet(dashboard)'!$D$20*(1+'Input sheet(dashboard)'!$E$22)^Calculations!B594),0)</f>
        <v>0</v>
      </c>
      <c r="AD594" s="17">
        <f t="shared" si="84"/>
        <v>0</v>
      </c>
      <c r="AE594" s="17">
        <f>IF(B594&lt;='Input sheet(dashboard)'!$D$27*12,IF(D594=12,SUM(AD583:AD594),0),0)</f>
        <v>0</v>
      </c>
      <c r="AF594" s="17">
        <f t="shared" si="85"/>
        <v>0</v>
      </c>
      <c r="AG594" s="17">
        <f t="shared" si="86"/>
        <v>0</v>
      </c>
      <c r="AH594" s="3" t="str">
        <f>IF(B594&lt;='Input sheet(dashboard)'!$D$27*12,AH593*(1+'Input sheet(dashboard)'!$E$25)+AG594," ")</f>
        <v xml:space="preserve"> </v>
      </c>
    </row>
    <row r="595" spans="2:34">
      <c r="B595">
        <f t="shared" si="81"/>
        <v>592</v>
      </c>
      <c r="C595">
        <f t="shared" si="88"/>
        <v>50</v>
      </c>
      <c r="D595">
        <f t="shared" si="89"/>
        <v>4</v>
      </c>
      <c r="E595" s="15">
        <f>IF(C595&lt;='Input sheet(dashboard)'!$D$6, -PMT('Input sheet(dashboard)'!$E$5,'Input sheet(dashboard)'!$D$6*12,'Input sheet(dashboard)'!$D$3*'Input sheet(dashboard)'!$D$4),0)</f>
        <v>0</v>
      </c>
      <c r="F595" s="3">
        <f>I594*'Input sheet(dashboard)'!$E$5</f>
        <v>1.7496730703222987E-11</v>
      </c>
      <c r="G595" s="3">
        <f>IF(C595&lt;='Input sheet(dashboard)'!$D$6,E595*'Input sheet(dashboard)'!$D$7,0)</f>
        <v>0</v>
      </c>
      <c r="H595" s="3">
        <f t="shared" si="82"/>
        <v>-1.7496730703222987E-11</v>
      </c>
      <c r="I595" s="3">
        <f t="shared" si="83"/>
        <v>4.8206111705087132E-9</v>
      </c>
      <c r="J595" s="3">
        <f>IF(B595&lt;='Input sheet(dashboard)'!$D$27*12,'Input sheet(dashboard)'!$D$3*(1+'Input sheet(dashboard)'!$E$24)^B595,0)</f>
        <v>0</v>
      </c>
      <c r="K595" s="3">
        <f>IF(B595&lt;='Input sheet(dashboard)'!$D$27*12,J595*'Input sheet(dashboard)'!$E$8,0)</f>
        <v>0</v>
      </c>
      <c r="L595" s="3">
        <f>IF(B595&lt;='Input sheet(dashboard)'!$D$27*12,'Input sheet(dashboard)'!$D$9*(1+'Input sheet(dashboard)'!$E$22)^B595,0)</f>
        <v>0</v>
      </c>
      <c r="M595" s="3">
        <f>IF(B595=1,'Input sheet(dashboard)'!$D$3*'Input sheet(dashboard)'!$D$10,0)</f>
        <v>0</v>
      </c>
      <c r="N595" s="3">
        <f>IF(B595='Input sheet(dashboard)'!$D$27*12,J595*'Input sheet(dashboard)'!$D$11,0)</f>
        <v>0</v>
      </c>
      <c r="O595" s="3">
        <f>IF(SUM(F595:F606)&gt;=150000,150000/12*'Input sheet(dashboard)'!$D$28,SUM(F595:F606)/12*'Input sheet(dashboard)'!$D$28)</f>
        <v>2.6777363001915761E-12</v>
      </c>
      <c r="P595" s="3">
        <f t="shared" si="87"/>
        <v>0</v>
      </c>
      <c r="Q595" s="3">
        <f>IF(B595&lt;='Input sheet(dashboard)'!$D$27*12,'Input sheet(dashboard)'!$D$12/12,0)</f>
        <v>0</v>
      </c>
      <c r="R595" s="3">
        <f>IF(B595&lt;='Input sheet(dashboard)'!$D$27*12,('Input sheet(dashboard)'!$D$15/12)*(1+'Input sheet(dashboard)'!$E$22)^Calculations!B595,0)</f>
        <v>0</v>
      </c>
      <c r="S595" s="3">
        <f>IF(B595&lt;='Input sheet(dashboard)'!$D$27*12,(E595+G595+K595+L595-O595+M595+Q595+R595),0)</f>
        <v>0</v>
      </c>
      <c r="T595" s="3">
        <f>IF(B595&lt;='Input sheet(dashboard)'!$D$27*12,IF(D595=12,SUM(S584:S595),0),0)</f>
        <v>0</v>
      </c>
      <c r="U595" s="3">
        <f>IF(B595&lt;='Input sheet(dashboard)'!$D$27*12,IF(S595&lt;AD595,AD595-S595,0),0)</f>
        <v>0</v>
      </c>
      <c r="V595" s="3">
        <f>IF(B595&lt;='Input sheet(dashboard)'!$D$27*12,V594*(1+'Input sheet(dashboard)'!$E$25)+U595,0)</f>
        <v>0</v>
      </c>
      <c r="W595" s="17">
        <f>IF(B595&lt;='Input sheet(dashboard)'!$D$27*12,J595-I595+V595-N595,0)</f>
        <v>0</v>
      </c>
      <c r="X595" s="3">
        <f>IF(B595&lt;='Input sheet(dashboard)'!$D$27*12,'Input sheet(dashboard)'!$D$17*(1+'Input sheet(dashboard)'!$E$23)^(B595-1),0)</f>
        <v>0</v>
      </c>
      <c r="Y595" s="3"/>
      <c r="Z595" s="18"/>
      <c r="AA595" s="18"/>
      <c r="AB595" s="3">
        <f>IF(B595=1,'Input sheet(dashboard)'!$D$18*Calculations!X595,IF(Calculations!B595=12*'Input sheet(dashboard)'!$D$27,'Input sheet(dashboard)'!$D$18*-Calculations!X595,0))</f>
        <v>0</v>
      </c>
      <c r="AC595" s="3">
        <f>IF(B595&lt;='Input sheet(dashboard)'!$D$27*12,IF(MOD(B594,'Input sheet(dashboard)'!$D$19*12),0,'Input sheet(dashboard)'!$D$20*(1+'Input sheet(dashboard)'!$E$22)^Calculations!B595),0)</f>
        <v>0</v>
      </c>
      <c r="AD595" s="17">
        <f t="shared" si="84"/>
        <v>0</v>
      </c>
      <c r="AE595" s="17">
        <f>IF(B595&lt;='Input sheet(dashboard)'!$D$27*12,IF(D595=12,SUM(AD584:AD595),0),0)</f>
        <v>0</v>
      </c>
      <c r="AF595" s="17">
        <f t="shared" si="85"/>
        <v>0</v>
      </c>
      <c r="AG595" s="17">
        <f t="shared" si="86"/>
        <v>0</v>
      </c>
      <c r="AH595" s="3" t="str">
        <f>IF(B595&lt;='Input sheet(dashboard)'!$D$27*12,AH594*(1+'Input sheet(dashboard)'!$E$25)+AG595," ")</f>
        <v xml:space="preserve"> </v>
      </c>
    </row>
    <row r="596" spans="2:34">
      <c r="B596">
        <f t="shared" si="81"/>
        <v>593</v>
      </c>
      <c r="C596">
        <f t="shared" si="88"/>
        <v>50</v>
      </c>
      <c r="D596">
        <f t="shared" si="89"/>
        <v>5</v>
      </c>
      <c r="E596" s="15">
        <f>IF(C596&lt;='Input sheet(dashboard)'!$D$6, -PMT('Input sheet(dashboard)'!$E$5,'Input sheet(dashboard)'!$D$6*12,'Input sheet(dashboard)'!$D$3*'Input sheet(dashboard)'!$D$4),0)</f>
        <v>0</v>
      </c>
      <c r="F596" s="3">
        <f>I595*'Input sheet(dashboard)'!$E$5</f>
        <v>1.7560467595012201E-11</v>
      </c>
      <c r="G596" s="3">
        <f>IF(C596&lt;='Input sheet(dashboard)'!$D$6,E596*'Input sheet(dashboard)'!$D$7,0)</f>
        <v>0</v>
      </c>
      <c r="H596" s="3">
        <f t="shared" si="82"/>
        <v>-1.7560467595012201E-11</v>
      </c>
      <c r="I596" s="3">
        <f t="shared" si="83"/>
        <v>4.8381716381037252E-9</v>
      </c>
      <c r="J596" s="3">
        <f>IF(B596&lt;='Input sheet(dashboard)'!$D$27*12,'Input sheet(dashboard)'!$D$3*(1+'Input sheet(dashboard)'!$E$24)^B596,0)</f>
        <v>0</v>
      </c>
      <c r="K596" s="3">
        <f>IF(B596&lt;='Input sheet(dashboard)'!$D$27*12,J596*'Input sheet(dashboard)'!$E$8,0)</f>
        <v>0</v>
      </c>
      <c r="L596" s="3">
        <f>IF(B596&lt;='Input sheet(dashboard)'!$D$27*12,'Input sheet(dashboard)'!$D$9*(1+'Input sheet(dashboard)'!$E$22)^B596,0)</f>
        <v>0</v>
      </c>
      <c r="M596" s="3">
        <f>IF(B596=1,'Input sheet(dashboard)'!$D$3*'Input sheet(dashboard)'!$D$10,0)</f>
        <v>0</v>
      </c>
      <c r="N596" s="3">
        <f>IF(B596='Input sheet(dashboard)'!$D$27*12,J596*'Input sheet(dashboard)'!$D$11,0)</f>
        <v>0</v>
      </c>
      <c r="O596" s="3">
        <f>IF(SUM(F596:F607)&gt;=150000,150000/12*'Input sheet(dashboard)'!$D$28,SUM(F596:F607)/12*'Input sheet(dashboard)'!$D$28)</f>
        <v>2.6874907275586226E-12</v>
      </c>
      <c r="P596" s="3">
        <f t="shared" si="87"/>
        <v>0</v>
      </c>
      <c r="Q596" s="3">
        <f>IF(B596&lt;='Input sheet(dashboard)'!$D$27*12,'Input sheet(dashboard)'!$D$12/12,0)</f>
        <v>0</v>
      </c>
      <c r="R596" s="3">
        <f>IF(B596&lt;='Input sheet(dashboard)'!$D$27*12,('Input sheet(dashboard)'!$D$15/12)*(1+'Input sheet(dashboard)'!$E$22)^Calculations!B596,0)</f>
        <v>0</v>
      </c>
      <c r="S596" s="3">
        <f>IF(B596&lt;='Input sheet(dashboard)'!$D$27*12,(E596+G596+K596+L596-O596+M596+Q596+R596),0)</f>
        <v>0</v>
      </c>
      <c r="T596" s="3">
        <f>IF(B596&lt;='Input sheet(dashboard)'!$D$27*12,IF(D596=12,SUM(S585:S596),0),0)</f>
        <v>0</v>
      </c>
      <c r="U596" s="3">
        <f>IF(B596&lt;='Input sheet(dashboard)'!$D$27*12,IF(S596&lt;AD596,AD596-S596,0),0)</f>
        <v>0</v>
      </c>
      <c r="V596" s="3">
        <f>IF(B596&lt;='Input sheet(dashboard)'!$D$27*12,V595*(1+'Input sheet(dashboard)'!$E$25)+U596,0)</f>
        <v>0</v>
      </c>
      <c r="W596" s="17">
        <f>IF(B596&lt;='Input sheet(dashboard)'!$D$27*12,J596-I596+V596-N596,0)</f>
        <v>0</v>
      </c>
      <c r="X596" s="3">
        <f>IF(B596&lt;='Input sheet(dashboard)'!$D$27*12,'Input sheet(dashboard)'!$D$17*(1+'Input sheet(dashboard)'!$E$23)^(B596-1),0)</f>
        <v>0</v>
      </c>
      <c r="Y596" s="3"/>
      <c r="Z596" s="18"/>
      <c r="AA596" s="18"/>
      <c r="AB596" s="3">
        <f>IF(B596=1,'Input sheet(dashboard)'!$D$18*Calculations!X596,IF(Calculations!B596=12*'Input sheet(dashboard)'!$D$27,'Input sheet(dashboard)'!$D$18*-Calculations!X596,0))</f>
        <v>0</v>
      </c>
      <c r="AC596" s="3">
        <f>IF(B596&lt;='Input sheet(dashboard)'!$D$27*12,IF(MOD(B595,'Input sheet(dashboard)'!$D$19*12),0,'Input sheet(dashboard)'!$D$20*(1+'Input sheet(dashboard)'!$E$22)^Calculations!B596),0)</f>
        <v>0</v>
      </c>
      <c r="AD596" s="17">
        <f t="shared" si="84"/>
        <v>0</v>
      </c>
      <c r="AE596" s="17">
        <f>IF(B596&lt;='Input sheet(dashboard)'!$D$27*12,IF(D596=12,SUM(AD585:AD596),0),0)</f>
        <v>0</v>
      </c>
      <c r="AF596" s="17">
        <f t="shared" si="85"/>
        <v>0</v>
      </c>
      <c r="AG596" s="17">
        <f t="shared" si="86"/>
        <v>0</v>
      </c>
      <c r="AH596" s="3" t="str">
        <f>IF(B596&lt;='Input sheet(dashboard)'!$D$27*12,AH595*(1+'Input sheet(dashboard)'!$E$25)+AG596," ")</f>
        <v xml:space="preserve"> </v>
      </c>
    </row>
    <row r="597" spans="2:34">
      <c r="B597">
        <f t="shared" si="81"/>
        <v>594</v>
      </c>
      <c r="C597">
        <f t="shared" si="88"/>
        <v>50</v>
      </c>
      <c r="D597">
        <f t="shared" si="89"/>
        <v>6</v>
      </c>
      <c r="E597" s="15">
        <f>IF(C597&lt;='Input sheet(dashboard)'!$D$6, -PMT('Input sheet(dashboard)'!$E$5,'Input sheet(dashboard)'!$D$6*12,'Input sheet(dashboard)'!$D$3*'Input sheet(dashboard)'!$D$4),0)</f>
        <v>0</v>
      </c>
      <c r="F597" s="3">
        <f>I596*'Input sheet(dashboard)'!$E$5</f>
        <v>1.7624436666826579E-11</v>
      </c>
      <c r="G597" s="3">
        <f>IF(C597&lt;='Input sheet(dashboard)'!$D$6,E597*'Input sheet(dashboard)'!$D$7,0)</f>
        <v>0</v>
      </c>
      <c r="H597" s="3">
        <f t="shared" si="82"/>
        <v>-1.7624436666826579E-11</v>
      </c>
      <c r="I597" s="3">
        <f t="shared" si="83"/>
        <v>4.8557960747705514E-9</v>
      </c>
      <c r="J597" s="3">
        <f>IF(B597&lt;='Input sheet(dashboard)'!$D$27*12,'Input sheet(dashboard)'!$D$3*(1+'Input sheet(dashboard)'!$E$24)^B597,0)</f>
        <v>0</v>
      </c>
      <c r="K597" s="3">
        <f>IF(B597&lt;='Input sheet(dashboard)'!$D$27*12,J597*'Input sheet(dashboard)'!$E$8,0)</f>
        <v>0</v>
      </c>
      <c r="L597" s="3">
        <f>IF(B597&lt;='Input sheet(dashboard)'!$D$27*12,'Input sheet(dashboard)'!$D$9*(1+'Input sheet(dashboard)'!$E$22)^B597,0)</f>
        <v>0</v>
      </c>
      <c r="M597" s="3">
        <f>IF(B597=1,'Input sheet(dashboard)'!$D$3*'Input sheet(dashboard)'!$D$10,0)</f>
        <v>0</v>
      </c>
      <c r="N597" s="3">
        <f>IF(B597='Input sheet(dashboard)'!$D$27*12,J597*'Input sheet(dashboard)'!$D$11,0)</f>
        <v>0</v>
      </c>
      <c r="O597" s="3">
        <f>IF(SUM(F597:F608)&gt;=150000,150000/12*'Input sheet(dashboard)'!$D$28,SUM(F597:F608)/12*'Input sheet(dashboard)'!$D$28)</f>
        <v>2.6972806882428413E-12</v>
      </c>
      <c r="P597" s="3">
        <f t="shared" si="87"/>
        <v>0</v>
      </c>
      <c r="Q597" s="3">
        <f>IF(B597&lt;='Input sheet(dashboard)'!$D$27*12,'Input sheet(dashboard)'!$D$12/12,0)</f>
        <v>0</v>
      </c>
      <c r="R597" s="3">
        <f>IF(B597&lt;='Input sheet(dashboard)'!$D$27*12,('Input sheet(dashboard)'!$D$15/12)*(1+'Input sheet(dashboard)'!$E$22)^Calculations!B597,0)</f>
        <v>0</v>
      </c>
      <c r="S597" s="3">
        <f>IF(B597&lt;='Input sheet(dashboard)'!$D$27*12,(E597+G597+K597+L597-O597+M597+Q597+R597),0)</f>
        <v>0</v>
      </c>
      <c r="T597" s="3">
        <f>IF(B597&lt;='Input sheet(dashboard)'!$D$27*12,IF(D597=12,SUM(S586:S597),0),0)</f>
        <v>0</v>
      </c>
      <c r="U597" s="3">
        <f>IF(B597&lt;='Input sheet(dashboard)'!$D$27*12,IF(S597&lt;AD597,AD597-S597,0),0)</f>
        <v>0</v>
      </c>
      <c r="V597" s="3">
        <f>IF(B597&lt;='Input sheet(dashboard)'!$D$27*12,V596*(1+'Input sheet(dashboard)'!$E$25)+U597,0)</f>
        <v>0</v>
      </c>
      <c r="W597" s="17">
        <f>IF(B597&lt;='Input sheet(dashboard)'!$D$27*12,J597-I597+V597-N597,0)</f>
        <v>0</v>
      </c>
      <c r="X597" s="3">
        <f>IF(B597&lt;='Input sheet(dashboard)'!$D$27*12,'Input sheet(dashboard)'!$D$17*(1+'Input sheet(dashboard)'!$E$23)^(B597-1),0)</f>
        <v>0</v>
      </c>
      <c r="Y597" s="3"/>
      <c r="Z597" s="18"/>
      <c r="AA597" s="18"/>
      <c r="AB597" s="3">
        <f>IF(B597=1,'Input sheet(dashboard)'!$D$18*Calculations!X597,IF(Calculations!B597=12*'Input sheet(dashboard)'!$D$27,'Input sheet(dashboard)'!$D$18*-Calculations!X597,0))</f>
        <v>0</v>
      </c>
      <c r="AC597" s="3">
        <f>IF(B597&lt;='Input sheet(dashboard)'!$D$27*12,IF(MOD(B596,'Input sheet(dashboard)'!$D$19*12),0,'Input sheet(dashboard)'!$D$20*(1+'Input sheet(dashboard)'!$E$22)^Calculations!B597),0)</f>
        <v>0</v>
      </c>
      <c r="AD597" s="17">
        <f t="shared" si="84"/>
        <v>0</v>
      </c>
      <c r="AE597" s="17">
        <f>IF(B597&lt;='Input sheet(dashboard)'!$D$27*12,IF(D597=12,SUM(AD586:AD597),0),0)</f>
        <v>0</v>
      </c>
      <c r="AF597" s="17">
        <f t="shared" si="85"/>
        <v>0</v>
      </c>
      <c r="AG597" s="17">
        <f t="shared" si="86"/>
        <v>0</v>
      </c>
      <c r="AH597" s="3" t="str">
        <f>IF(B597&lt;='Input sheet(dashboard)'!$D$27*12,AH596*(1+'Input sheet(dashboard)'!$E$25)+AG597," ")</f>
        <v xml:space="preserve"> </v>
      </c>
    </row>
    <row r="598" spans="2:34">
      <c r="B598">
        <f t="shared" si="81"/>
        <v>595</v>
      </c>
      <c r="C598">
        <f t="shared" si="88"/>
        <v>50</v>
      </c>
      <c r="D598">
        <f t="shared" si="89"/>
        <v>7</v>
      </c>
      <c r="E598" s="15">
        <f>IF(C598&lt;='Input sheet(dashboard)'!$D$6, -PMT('Input sheet(dashboard)'!$E$5,'Input sheet(dashboard)'!$D$6*12,'Input sheet(dashboard)'!$D$3*'Input sheet(dashboard)'!$D$4),0)</f>
        <v>0</v>
      </c>
      <c r="F598" s="3">
        <f>I597*'Input sheet(dashboard)'!$E$5</f>
        <v>1.7688638764448881E-11</v>
      </c>
      <c r="G598" s="3">
        <f>IF(C598&lt;='Input sheet(dashboard)'!$D$6,E598*'Input sheet(dashboard)'!$D$7,0)</f>
        <v>0</v>
      </c>
      <c r="H598" s="3">
        <f t="shared" si="82"/>
        <v>-1.7688638764448881E-11</v>
      </c>
      <c r="I598" s="3">
        <f t="shared" si="83"/>
        <v>4.8734847135349999E-9</v>
      </c>
      <c r="J598" s="3">
        <f>IF(B598&lt;='Input sheet(dashboard)'!$D$27*12,'Input sheet(dashboard)'!$D$3*(1+'Input sheet(dashboard)'!$E$24)^B598,0)</f>
        <v>0</v>
      </c>
      <c r="K598" s="3">
        <f>IF(B598&lt;='Input sheet(dashboard)'!$D$27*12,J598*'Input sheet(dashboard)'!$E$8,0)</f>
        <v>0</v>
      </c>
      <c r="L598" s="3">
        <f>IF(B598&lt;='Input sheet(dashboard)'!$D$27*12,'Input sheet(dashboard)'!$D$9*(1+'Input sheet(dashboard)'!$E$22)^B598,0)</f>
        <v>0</v>
      </c>
      <c r="M598" s="3">
        <f>IF(B598=1,'Input sheet(dashboard)'!$D$3*'Input sheet(dashboard)'!$D$10,0)</f>
        <v>0</v>
      </c>
      <c r="N598" s="3">
        <f>IF(B598='Input sheet(dashboard)'!$D$27*12,J598*'Input sheet(dashboard)'!$D$11,0)</f>
        <v>0</v>
      </c>
      <c r="O598" s="3">
        <f>IF(SUM(F598:F609)&gt;=150000,150000/12*'Input sheet(dashboard)'!$D$28,SUM(F598:F609)/12*'Input sheet(dashboard)'!$D$28)</f>
        <v>2.7071063116845983E-12</v>
      </c>
      <c r="P598" s="3">
        <f t="shared" si="87"/>
        <v>0</v>
      </c>
      <c r="Q598" s="3">
        <f>IF(B598&lt;='Input sheet(dashboard)'!$D$27*12,'Input sheet(dashboard)'!$D$12/12,0)</f>
        <v>0</v>
      </c>
      <c r="R598" s="3">
        <f>IF(B598&lt;='Input sheet(dashboard)'!$D$27*12,('Input sheet(dashboard)'!$D$15/12)*(1+'Input sheet(dashboard)'!$E$22)^Calculations!B598,0)</f>
        <v>0</v>
      </c>
      <c r="S598" s="3">
        <f>IF(B598&lt;='Input sheet(dashboard)'!$D$27*12,(E598+G598+K598+L598-O598+M598+Q598+R598),0)</f>
        <v>0</v>
      </c>
      <c r="T598" s="3">
        <f>IF(B598&lt;='Input sheet(dashboard)'!$D$27*12,IF(D598=12,SUM(S587:S598),0),0)</f>
        <v>0</v>
      </c>
      <c r="U598" s="3">
        <f>IF(B598&lt;='Input sheet(dashboard)'!$D$27*12,IF(S598&lt;AD598,AD598-S598,0),0)</f>
        <v>0</v>
      </c>
      <c r="V598" s="3">
        <f>IF(B598&lt;='Input sheet(dashboard)'!$D$27*12,V597*(1+'Input sheet(dashboard)'!$E$25)+U598,0)</f>
        <v>0</v>
      </c>
      <c r="W598" s="17">
        <f>IF(B598&lt;='Input sheet(dashboard)'!$D$27*12,J598-I598+V598-N598,0)</f>
        <v>0</v>
      </c>
      <c r="X598" s="3">
        <f>IF(B598&lt;='Input sheet(dashboard)'!$D$27*12,'Input sheet(dashboard)'!$D$17*(1+'Input sheet(dashboard)'!$E$23)^(B598-1),0)</f>
        <v>0</v>
      </c>
      <c r="Y598" s="3"/>
      <c r="Z598" s="18"/>
      <c r="AA598" s="18"/>
      <c r="AB598" s="3">
        <f>IF(B598=1,'Input sheet(dashboard)'!$D$18*Calculations!X598,IF(Calculations!B598=12*'Input sheet(dashboard)'!$D$27,'Input sheet(dashboard)'!$D$18*-Calculations!X598,0))</f>
        <v>0</v>
      </c>
      <c r="AC598" s="3">
        <f>IF(B598&lt;='Input sheet(dashboard)'!$D$27*12,IF(MOD(B597,'Input sheet(dashboard)'!$D$19*12),0,'Input sheet(dashboard)'!$D$20*(1+'Input sheet(dashboard)'!$E$22)^Calculations!B598),0)</f>
        <v>0</v>
      </c>
      <c r="AD598" s="17">
        <f t="shared" si="84"/>
        <v>0</v>
      </c>
      <c r="AE598" s="17">
        <f>IF(B598&lt;='Input sheet(dashboard)'!$D$27*12,IF(D598=12,SUM(AD587:AD598),0),0)</f>
        <v>0</v>
      </c>
      <c r="AF598" s="17">
        <f t="shared" si="85"/>
        <v>0</v>
      </c>
      <c r="AG598" s="17">
        <f t="shared" si="86"/>
        <v>0</v>
      </c>
      <c r="AH598" s="3" t="str">
        <f>IF(B598&lt;='Input sheet(dashboard)'!$D$27*12,AH597*(1+'Input sheet(dashboard)'!$E$25)+AG598," ")</f>
        <v xml:space="preserve"> </v>
      </c>
    </row>
    <row r="599" spans="2:34">
      <c r="B599">
        <f t="shared" si="81"/>
        <v>596</v>
      </c>
      <c r="C599">
        <f t="shared" si="88"/>
        <v>50</v>
      </c>
      <c r="D599">
        <f t="shared" si="89"/>
        <v>8</v>
      </c>
      <c r="E599" s="15">
        <f>IF(C599&lt;='Input sheet(dashboard)'!$D$6, -PMT('Input sheet(dashboard)'!$E$5,'Input sheet(dashboard)'!$D$6*12,'Input sheet(dashboard)'!$D$3*'Input sheet(dashboard)'!$D$4),0)</f>
        <v>0</v>
      </c>
      <c r="F599" s="3">
        <f>I598*'Input sheet(dashboard)'!$E$5</f>
        <v>1.7753074736742866E-11</v>
      </c>
      <c r="G599" s="3">
        <f>IF(C599&lt;='Input sheet(dashboard)'!$D$6,E599*'Input sheet(dashboard)'!$D$7,0)</f>
        <v>0</v>
      </c>
      <c r="H599" s="3">
        <f t="shared" si="82"/>
        <v>-1.7753074736742866E-11</v>
      </c>
      <c r="I599" s="3">
        <f t="shared" si="83"/>
        <v>4.891237788271743E-9</v>
      </c>
      <c r="J599" s="3">
        <f>IF(B599&lt;='Input sheet(dashboard)'!$D$27*12,'Input sheet(dashboard)'!$D$3*(1+'Input sheet(dashboard)'!$E$24)^B599,0)</f>
        <v>0</v>
      </c>
      <c r="K599" s="3">
        <f>IF(B599&lt;='Input sheet(dashboard)'!$D$27*12,J599*'Input sheet(dashboard)'!$E$8,0)</f>
        <v>0</v>
      </c>
      <c r="L599" s="3">
        <f>IF(B599&lt;='Input sheet(dashboard)'!$D$27*12,'Input sheet(dashboard)'!$D$9*(1+'Input sheet(dashboard)'!$E$22)^B599,0)</f>
        <v>0</v>
      </c>
      <c r="M599" s="3">
        <f>IF(B599=1,'Input sheet(dashboard)'!$D$3*'Input sheet(dashboard)'!$D$10,0)</f>
        <v>0</v>
      </c>
      <c r="N599" s="3">
        <f>IF(B599='Input sheet(dashboard)'!$D$27*12,J599*'Input sheet(dashboard)'!$D$11,0)</f>
        <v>0</v>
      </c>
      <c r="O599" s="3">
        <f>IF(SUM(F599:F610)&gt;=150000,150000/12*'Input sheet(dashboard)'!$D$28,SUM(F599:F610)/12*'Input sheet(dashboard)'!$D$28)</f>
        <v>2.7169677277957782E-12</v>
      </c>
      <c r="P599" s="3">
        <f t="shared" si="87"/>
        <v>0</v>
      </c>
      <c r="Q599" s="3">
        <f>IF(B599&lt;='Input sheet(dashboard)'!$D$27*12,'Input sheet(dashboard)'!$D$12/12,0)</f>
        <v>0</v>
      </c>
      <c r="R599" s="3">
        <f>IF(B599&lt;='Input sheet(dashboard)'!$D$27*12,('Input sheet(dashboard)'!$D$15/12)*(1+'Input sheet(dashboard)'!$E$22)^Calculations!B599,0)</f>
        <v>0</v>
      </c>
      <c r="S599" s="3">
        <f>IF(B599&lt;='Input sheet(dashboard)'!$D$27*12,(E599+G599+K599+L599-O599+M599+Q599+R599),0)</f>
        <v>0</v>
      </c>
      <c r="T599" s="3">
        <f>IF(B599&lt;='Input sheet(dashboard)'!$D$27*12,IF(D599=12,SUM(S588:S599),0),0)</f>
        <v>0</v>
      </c>
      <c r="U599" s="3">
        <f>IF(B599&lt;='Input sheet(dashboard)'!$D$27*12,IF(S599&lt;AD599,AD599-S599,0),0)</f>
        <v>0</v>
      </c>
      <c r="V599" s="3">
        <f>IF(B599&lt;='Input sheet(dashboard)'!$D$27*12,V598*(1+'Input sheet(dashboard)'!$E$25)+U599,0)</f>
        <v>0</v>
      </c>
      <c r="W599" s="17">
        <f>IF(B599&lt;='Input sheet(dashboard)'!$D$27*12,J599-I599+V599-N599,0)</f>
        <v>0</v>
      </c>
      <c r="X599" s="3">
        <f>IF(B599&lt;='Input sheet(dashboard)'!$D$27*12,'Input sheet(dashboard)'!$D$17*(1+'Input sheet(dashboard)'!$E$23)^(B599-1),0)</f>
        <v>0</v>
      </c>
      <c r="Y599" s="3"/>
      <c r="Z599" s="18"/>
      <c r="AA599" s="18"/>
      <c r="AB599" s="3">
        <f>IF(B599=1,'Input sheet(dashboard)'!$D$18*Calculations!X599,IF(Calculations!B599=12*'Input sheet(dashboard)'!$D$27,'Input sheet(dashboard)'!$D$18*-Calculations!X599,0))</f>
        <v>0</v>
      </c>
      <c r="AC599" s="3">
        <f>IF(B599&lt;='Input sheet(dashboard)'!$D$27*12,IF(MOD(B598,'Input sheet(dashboard)'!$D$19*12),0,'Input sheet(dashboard)'!$D$20*(1+'Input sheet(dashboard)'!$E$22)^Calculations!B599),0)</f>
        <v>0</v>
      </c>
      <c r="AD599" s="17">
        <f t="shared" si="84"/>
        <v>0</v>
      </c>
      <c r="AE599" s="17">
        <f>IF(B599&lt;='Input sheet(dashboard)'!$D$27*12,IF(D599=12,SUM(AD588:AD599),0),0)</f>
        <v>0</v>
      </c>
      <c r="AF599" s="17">
        <f t="shared" si="85"/>
        <v>0</v>
      </c>
      <c r="AG599" s="17">
        <f t="shared" si="86"/>
        <v>0</v>
      </c>
      <c r="AH599" s="3" t="str">
        <f>IF(B599&lt;='Input sheet(dashboard)'!$D$27*12,AH598*(1+'Input sheet(dashboard)'!$E$25)+AG599," ")</f>
        <v xml:space="preserve"> </v>
      </c>
    </row>
    <row r="600" spans="2:34">
      <c r="B600">
        <f t="shared" si="81"/>
        <v>597</v>
      </c>
      <c r="C600">
        <f t="shared" si="88"/>
        <v>50</v>
      </c>
      <c r="D600">
        <f t="shared" si="89"/>
        <v>9</v>
      </c>
      <c r="E600" s="15">
        <f>IF(C600&lt;='Input sheet(dashboard)'!$D$6, -PMT('Input sheet(dashboard)'!$E$5,'Input sheet(dashboard)'!$D$6*12,'Input sheet(dashboard)'!$D$3*'Input sheet(dashboard)'!$D$4),0)</f>
        <v>0</v>
      </c>
      <c r="F600" s="3">
        <f>I599*'Input sheet(dashboard)'!$E$5</f>
        <v>1.7817745435664535E-11</v>
      </c>
      <c r="G600" s="3">
        <f>IF(C600&lt;='Input sheet(dashboard)'!$D$6,E600*'Input sheet(dashboard)'!$D$7,0)</f>
        <v>0</v>
      </c>
      <c r="H600" s="3">
        <f t="shared" si="82"/>
        <v>-1.7817745435664535E-11</v>
      </c>
      <c r="I600" s="3">
        <f t="shared" si="83"/>
        <v>4.9090555337074079E-9</v>
      </c>
      <c r="J600" s="3">
        <f>IF(B600&lt;='Input sheet(dashboard)'!$D$27*12,'Input sheet(dashboard)'!$D$3*(1+'Input sheet(dashboard)'!$E$24)^B600,0)</f>
        <v>0</v>
      </c>
      <c r="K600" s="3">
        <f>IF(B600&lt;='Input sheet(dashboard)'!$D$27*12,J600*'Input sheet(dashboard)'!$E$8,0)</f>
        <v>0</v>
      </c>
      <c r="L600" s="3">
        <f>IF(B600&lt;='Input sheet(dashboard)'!$D$27*12,'Input sheet(dashboard)'!$D$9*(1+'Input sheet(dashboard)'!$E$22)^B600,0)</f>
        <v>0</v>
      </c>
      <c r="M600" s="3">
        <f>IF(B600=1,'Input sheet(dashboard)'!$D$3*'Input sheet(dashboard)'!$D$10,0)</f>
        <v>0</v>
      </c>
      <c r="N600" s="3">
        <f>IF(B600='Input sheet(dashboard)'!$D$27*12,J600*'Input sheet(dashboard)'!$D$11,0)</f>
        <v>0</v>
      </c>
      <c r="O600" s="3">
        <f>IF(SUM(F600:F611)&gt;=150000,150000/12*'Input sheet(dashboard)'!$D$28,SUM(F600:F611)/12*'Input sheet(dashboard)'!$D$28)</f>
        <v>2.7268650669615122E-12</v>
      </c>
      <c r="P600" s="3">
        <f t="shared" si="87"/>
        <v>0</v>
      </c>
      <c r="Q600" s="3">
        <f>IF(B600&lt;='Input sheet(dashboard)'!$D$27*12,'Input sheet(dashboard)'!$D$12/12,0)</f>
        <v>0</v>
      </c>
      <c r="R600" s="3">
        <f>IF(B600&lt;='Input sheet(dashboard)'!$D$27*12,('Input sheet(dashboard)'!$D$15/12)*(1+'Input sheet(dashboard)'!$E$22)^Calculations!B600,0)</f>
        <v>0</v>
      </c>
      <c r="S600" s="3">
        <f>IF(B600&lt;='Input sheet(dashboard)'!$D$27*12,(E600+G600+K600+L600-O600+M600+Q600+R600),0)</f>
        <v>0</v>
      </c>
      <c r="T600" s="3">
        <f>IF(B600&lt;='Input sheet(dashboard)'!$D$27*12,IF(D600=12,SUM(S589:S600),0),0)</f>
        <v>0</v>
      </c>
      <c r="U600" s="3">
        <f>IF(B600&lt;='Input sheet(dashboard)'!$D$27*12,IF(S600&lt;AD600,AD600-S600,0),0)</f>
        <v>0</v>
      </c>
      <c r="V600" s="3">
        <f>IF(B600&lt;='Input sheet(dashboard)'!$D$27*12,V599*(1+'Input sheet(dashboard)'!$E$25)+U600,0)</f>
        <v>0</v>
      </c>
      <c r="W600" s="17">
        <f>IF(B600&lt;='Input sheet(dashboard)'!$D$27*12,J600-I600+V600-N600,0)</f>
        <v>0</v>
      </c>
      <c r="X600" s="3">
        <f>IF(B600&lt;='Input sheet(dashboard)'!$D$27*12,'Input sheet(dashboard)'!$D$17*(1+'Input sheet(dashboard)'!$E$23)^(B600-1),0)</f>
        <v>0</v>
      </c>
      <c r="Y600" s="3"/>
      <c r="Z600" s="18"/>
      <c r="AA600" s="18"/>
      <c r="AB600" s="3">
        <f>IF(B600=1,'Input sheet(dashboard)'!$D$18*Calculations!X600,IF(Calculations!B600=12*'Input sheet(dashboard)'!$D$27,'Input sheet(dashboard)'!$D$18*-Calculations!X600,0))</f>
        <v>0</v>
      </c>
      <c r="AC600" s="3">
        <f>IF(B600&lt;='Input sheet(dashboard)'!$D$27*12,IF(MOD(B599,'Input sheet(dashboard)'!$D$19*12),0,'Input sheet(dashboard)'!$D$20*(1+'Input sheet(dashboard)'!$E$22)^Calculations!B600),0)</f>
        <v>0</v>
      </c>
      <c r="AD600" s="17">
        <f t="shared" si="84"/>
        <v>0</v>
      </c>
      <c r="AE600" s="17">
        <f>IF(B600&lt;='Input sheet(dashboard)'!$D$27*12,IF(D600=12,SUM(AD589:AD600),0),0)</f>
        <v>0</v>
      </c>
      <c r="AF600" s="17">
        <f t="shared" si="85"/>
        <v>0</v>
      </c>
      <c r="AG600" s="17">
        <f t="shared" si="86"/>
        <v>0</v>
      </c>
      <c r="AH600" s="3" t="str">
        <f>IF(B600&lt;='Input sheet(dashboard)'!$D$27*12,AH599*(1+'Input sheet(dashboard)'!$E$25)+AG600," ")</f>
        <v xml:space="preserve"> </v>
      </c>
    </row>
    <row r="601" spans="2:34">
      <c r="B601">
        <f t="shared" si="81"/>
        <v>598</v>
      </c>
      <c r="C601">
        <f t="shared" si="88"/>
        <v>50</v>
      </c>
      <c r="D601">
        <f t="shared" si="89"/>
        <v>10</v>
      </c>
      <c r="E601" s="15">
        <f>IF(C601&lt;='Input sheet(dashboard)'!$D$6, -PMT('Input sheet(dashboard)'!$E$5,'Input sheet(dashboard)'!$D$6*12,'Input sheet(dashboard)'!$D$3*'Input sheet(dashboard)'!$D$4),0)</f>
        <v>0</v>
      </c>
      <c r="F601" s="3">
        <f>I600*'Input sheet(dashboard)'!$E$5</f>
        <v>1.7882651716273379E-11</v>
      </c>
      <c r="G601" s="3">
        <f>IF(C601&lt;='Input sheet(dashboard)'!$D$6,E601*'Input sheet(dashboard)'!$D$7,0)</f>
        <v>0</v>
      </c>
      <c r="H601" s="3">
        <f t="shared" si="82"/>
        <v>-1.7882651716273379E-11</v>
      </c>
      <c r="I601" s="3">
        <f t="shared" si="83"/>
        <v>4.9269381854236815E-9</v>
      </c>
      <c r="J601" s="3">
        <f>IF(B601&lt;='Input sheet(dashboard)'!$D$27*12,'Input sheet(dashboard)'!$D$3*(1+'Input sheet(dashboard)'!$E$24)^B601,0)</f>
        <v>0</v>
      </c>
      <c r="K601" s="3">
        <f>IF(B601&lt;='Input sheet(dashboard)'!$D$27*12,J601*'Input sheet(dashboard)'!$E$8,0)</f>
        <v>0</v>
      </c>
      <c r="L601" s="3">
        <f>IF(B601&lt;='Input sheet(dashboard)'!$D$27*12,'Input sheet(dashboard)'!$D$9*(1+'Input sheet(dashboard)'!$E$22)^B601,0)</f>
        <v>0</v>
      </c>
      <c r="M601" s="3">
        <f>IF(B601=1,'Input sheet(dashboard)'!$D$3*'Input sheet(dashboard)'!$D$10,0)</f>
        <v>0</v>
      </c>
      <c r="N601" s="3">
        <f>IF(B601='Input sheet(dashboard)'!$D$27*12,J601*'Input sheet(dashboard)'!$D$11,0)</f>
        <v>0</v>
      </c>
      <c r="O601" s="3">
        <f>IF(SUM(F601:F612)&gt;=150000,150000/12*'Input sheet(dashboard)'!$D$28,SUM(F601:F612)/12*'Input sheet(dashboard)'!$D$28)</f>
        <v>2.7367984600418952E-12</v>
      </c>
      <c r="P601" s="3">
        <f t="shared" si="87"/>
        <v>0</v>
      </c>
      <c r="Q601" s="3">
        <f>IF(B601&lt;='Input sheet(dashboard)'!$D$27*12,'Input sheet(dashboard)'!$D$12/12,0)</f>
        <v>0</v>
      </c>
      <c r="R601" s="3">
        <f>IF(B601&lt;='Input sheet(dashboard)'!$D$27*12,('Input sheet(dashboard)'!$D$15/12)*(1+'Input sheet(dashboard)'!$E$22)^Calculations!B601,0)</f>
        <v>0</v>
      </c>
      <c r="S601" s="3">
        <f>IF(B601&lt;='Input sheet(dashboard)'!$D$27*12,(E601+G601+K601+L601-O601+M601+Q601+R601),0)</f>
        <v>0</v>
      </c>
      <c r="T601" s="3">
        <f>IF(B601&lt;='Input sheet(dashboard)'!$D$27*12,IF(D601=12,SUM(S590:S601),0),0)</f>
        <v>0</v>
      </c>
      <c r="U601" s="3">
        <f>IF(B601&lt;='Input sheet(dashboard)'!$D$27*12,IF(S601&lt;AD601,AD601-S601,0),0)</f>
        <v>0</v>
      </c>
      <c r="V601" s="3">
        <f>IF(B601&lt;='Input sheet(dashboard)'!$D$27*12,V600*(1+'Input sheet(dashboard)'!$E$25)+U601,0)</f>
        <v>0</v>
      </c>
      <c r="W601" s="17">
        <f>IF(B601&lt;='Input sheet(dashboard)'!$D$27*12,J601-I601+V601-N601,0)</f>
        <v>0</v>
      </c>
      <c r="X601" s="3">
        <f>IF(B601&lt;='Input sheet(dashboard)'!$D$27*12,'Input sheet(dashboard)'!$D$17*(1+'Input sheet(dashboard)'!$E$23)^(B601-1),0)</f>
        <v>0</v>
      </c>
      <c r="Y601" s="3"/>
      <c r="Z601" s="18"/>
      <c r="AA601" s="18"/>
      <c r="AB601" s="3">
        <f>IF(B601=1,'Input sheet(dashboard)'!$D$18*Calculations!X601,IF(Calculations!B601=12*'Input sheet(dashboard)'!$D$27,'Input sheet(dashboard)'!$D$18*-Calculations!X601,0))</f>
        <v>0</v>
      </c>
      <c r="AC601" s="3">
        <f>IF(B601&lt;='Input sheet(dashboard)'!$D$27*12,IF(MOD(B600,'Input sheet(dashboard)'!$D$19*12),0,'Input sheet(dashboard)'!$D$20*(1+'Input sheet(dashboard)'!$E$22)^Calculations!B601),0)</f>
        <v>0</v>
      </c>
      <c r="AD601" s="17">
        <f t="shared" si="84"/>
        <v>0</v>
      </c>
      <c r="AE601" s="17">
        <f>IF(B601&lt;='Input sheet(dashboard)'!$D$27*12,IF(D601=12,SUM(AD590:AD601),0),0)</f>
        <v>0</v>
      </c>
      <c r="AF601" s="17">
        <f t="shared" si="85"/>
        <v>0</v>
      </c>
      <c r="AG601" s="17">
        <f t="shared" si="86"/>
        <v>0</v>
      </c>
      <c r="AH601" s="3" t="str">
        <f>IF(B601&lt;='Input sheet(dashboard)'!$D$27*12,AH600*(1+'Input sheet(dashboard)'!$E$25)+AG601," ")</f>
        <v xml:space="preserve"> </v>
      </c>
    </row>
    <row r="602" spans="2:34">
      <c r="B602">
        <f t="shared" si="81"/>
        <v>599</v>
      </c>
      <c r="C602">
        <f t="shared" si="88"/>
        <v>50</v>
      </c>
      <c r="D602">
        <f t="shared" si="89"/>
        <v>11</v>
      </c>
      <c r="E602" s="15">
        <f>IF(C602&lt;='Input sheet(dashboard)'!$D$6, -PMT('Input sheet(dashboard)'!$E$5,'Input sheet(dashboard)'!$D$6*12,'Input sheet(dashboard)'!$D$3*'Input sheet(dashboard)'!$D$4),0)</f>
        <v>0</v>
      </c>
      <c r="F602" s="3">
        <f>I601*'Input sheet(dashboard)'!$E$5</f>
        <v>1.7947794436743692E-11</v>
      </c>
      <c r="G602" s="3">
        <f>IF(C602&lt;='Input sheet(dashboard)'!$D$6,E602*'Input sheet(dashboard)'!$D$7,0)</f>
        <v>0</v>
      </c>
      <c r="H602" s="3">
        <f t="shared" si="82"/>
        <v>-1.7947794436743692E-11</v>
      </c>
      <c r="I602" s="3">
        <f t="shared" si="83"/>
        <v>4.944885979860425E-9</v>
      </c>
      <c r="J602" s="3">
        <f>IF(B602&lt;='Input sheet(dashboard)'!$D$27*12,'Input sheet(dashboard)'!$D$3*(1+'Input sheet(dashboard)'!$E$24)^B602,0)</f>
        <v>0</v>
      </c>
      <c r="K602" s="3">
        <f>IF(B602&lt;='Input sheet(dashboard)'!$D$27*12,J602*'Input sheet(dashboard)'!$E$8,0)</f>
        <v>0</v>
      </c>
      <c r="L602" s="3">
        <f>IF(B602&lt;='Input sheet(dashboard)'!$D$27*12,'Input sheet(dashboard)'!$D$9*(1+'Input sheet(dashboard)'!$E$22)^B602,0)</f>
        <v>0</v>
      </c>
      <c r="M602" s="3">
        <f>IF(B602=1,'Input sheet(dashboard)'!$D$3*'Input sheet(dashboard)'!$D$10,0)</f>
        <v>0</v>
      </c>
      <c r="N602" s="3">
        <f>IF(B602='Input sheet(dashboard)'!$D$27*12,J602*'Input sheet(dashboard)'!$D$11,0)</f>
        <v>0</v>
      </c>
      <c r="O602" s="3">
        <f>IF(SUM(F602:F613)&gt;=150000,150000/12*'Input sheet(dashboard)'!$D$28,SUM(F602:F613)/12*'Input sheet(dashboard)'!$D$28)</f>
        <v>2.7467680383737177E-12</v>
      </c>
      <c r="P602" s="3">
        <f t="shared" si="87"/>
        <v>0</v>
      </c>
      <c r="Q602" s="3">
        <f>IF(B602&lt;='Input sheet(dashboard)'!$D$27*12,'Input sheet(dashboard)'!$D$12/12,0)</f>
        <v>0</v>
      </c>
      <c r="R602" s="3">
        <f>IF(B602&lt;='Input sheet(dashboard)'!$D$27*12,('Input sheet(dashboard)'!$D$15/12)*(1+'Input sheet(dashboard)'!$E$22)^Calculations!B602,0)</f>
        <v>0</v>
      </c>
      <c r="S602" s="3">
        <f>IF(B602&lt;='Input sheet(dashboard)'!$D$27*12,(E602+G602+K602+L602-O602+M602+Q602+R602),0)</f>
        <v>0</v>
      </c>
      <c r="T602" s="3">
        <f>IF(B602&lt;='Input sheet(dashboard)'!$D$27*12,IF(D602=12,SUM(S591:S602),0),0)</f>
        <v>0</v>
      </c>
      <c r="U602" s="3">
        <f>IF(B602&lt;='Input sheet(dashboard)'!$D$27*12,IF(S602&lt;AD602,AD602-S602,0),0)</f>
        <v>0</v>
      </c>
      <c r="V602" s="3">
        <f>IF(B602&lt;='Input sheet(dashboard)'!$D$27*12,V601*(1+'Input sheet(dashboard)'!$E$25)+U602,0)</f>
        <v>0</v>
      </c>
      <c r="W602" s="17">
        <f>IF(B602&lt;='Input sheet(dashboard)'!$D$27*12,J602-I602+V602-N602,0)</f>
        <v>0</v>
      </c>
      <c r="X602" s="3">
        <f>IF(B602&lt;='Input sheet(dashboard)'!$D$27*12,'Input sheet(dashboard)'!$D$17*(1+'Input sheet(dashboard)'!$E$23)^(B602-1),0)</f>
        <v>0</v>
      </c>
      <c r="Y602" s="3"/>
      <c r="Z602" s="18"/>
      <c r="AA602" s="18"/>
      <c r="AB602" s="3">
        <f>IF(B602=1,'Input sheet(dashboard)'!$D$18*Calculations!X602,IF(Calculations!B602=12*'Input sheet(dashboard)'!$D$27,'Input sheet(dashboard)'!$D$18*-Calculations!X602,0))</f>
        <v>0</v>
      </c>
      <c r="AC602" s="3">
        <f>IF(B602&lt;='Input sheet(dashboard)'!$D$27*12,IF(MOD(B601,'Input sheet(dashboard)'!$D$19*12),0,'Input sheet(dashboard)'!$D$20*(1+'Input sheet(dashboard)'!$E$22)^Calculations!B602),0)</f>
        <v>0</v>
      </c>
      <c r="AD602" s="17">
        <f t="shared" si="84"/>
        <v>0</v>
      </c>
      <c r="AE602" s="17">
        <f>IF(B602&lt;='Input sheet(dashboard)'!$D$27*12,IF(D602=12,SUM(AD591:AD602),0),0)</f>
        <v>0</v>
      </c>
      <c r="AF602" s="17">
        <f t="shared" si="85"/>
        <v>0</v>
      </c>
      <c r="AG602" s="17">
        <f t="shared" si="86"/>
        <v>0</v>
      </c>
      <c r="AH602" s="3" t="str">
        <f>IF(B602&lt;='Input sheet(dashboard)'!$D$27*12,AH601*(1+'Input sheet(dashboard)'!$E$25)+AG602," ")</f>
        <v xml:space="preserve"> </v>
      </c>
    </row>
    <row r="603" spans="2:34">
      <c r="B603">
        <f t="shared" si="81"/>
        <v>600</v>
      </c>
      <c r="C603">
        <f t="shared" si="88"/>
        <v>50</v>
      </c>
      <c r="D603">
        <f t="shared" si="89"/>
        <v>12</v>
      </c>
      <c r="E603" s="15">
        <f>IF(C603&lt;='Input sheet(dashboard)'!$D$6, -PMT('Input sheet(dashboard)'!$E$5,'Input sheet(dashboard)'!$D$6*12,'Input sheet(dashboard)'!$D$3*'Input sheet(dashboard)'!$D$4),0)</f>
        <v>0</v>
      </c>
      <c r="F603" s="3">
        <f>I602*'Input sheet(dashboard)'!$E$5</f>
        <v>1.8013174458375911E-11</v>
      </c>
      <c r="G603" s="3">
        <f>IF(C603&lt;='Input sheet(dashboard)'!$D$6,E603*'Input sheet(dashboard)'!$D$7,0)</f>
        <v>0</v>
      </c>
      <c r="H603" s="3">
        <f t="shared" si="82"/>
        <v>-1.8013174458375911E-11</v>
      </c>
      <c r="I603" s="3">
        <f t="shared" si="83"/>
        <v>4.9628991543188006E-9</v>
      </c>
      <c r="J603" s="3">
        <f>IF(B603&lt;='Input sheet(dashboard)'!$D$27*12,'Input sheet(dashboard)'!$D$3*(1+'Input sheet(dashboard)'!$E$24)^B603,0)</f>
        <v>0</v>
      </c>
      <c r="K603" s="3">
        <f>IF(B603&lt;='Input sheet(dashboard)'!$D$27*12,J603*'Input sheet(dashboard)'!$E$8,0)</f>
        <v>0</v>
      </c>
      <c r="L603" s="3">
        <f>IF(B603&lt;='Input sheet(dashboard)'!$D$27*12,'Input sheet(dashboard)'!$D$9*(1+'Input sheet(dashboard)'!$E$22)^B603,0)</f>
        <v>0</v>
      </c>
      <c r="M603" s="3">
        <f>IF(B603=1,'Input sheet(dashboard)'!$D$3*'Input sheet(dashboard)'!$D$10,0)</f>
        <v>0</v>
      </c>
      <c r="N603" s="3">
        <f>IF(B603='Input sheet(dashboard)'!$D$27*12,J603*'Input sheet(dashboard)'!$D$11,0)</f>
        <v>0</v>
      </c>
      <c r="O603" s="3">
        <f>IF(SUM(F603:F614)&gt;=150000,150000/12*'Input sheet(dashboard)'!$D$28,SUM(F603:F614)/12*'Input sheet(dashboard)'!$D$28)</f>
        <v>2.7567739337722024E-12</v>
      </c>
      <c r="P603" s="3">
        <f t="shared" si="87"/>
        <v>3.4496038064362701E-11</v>
      </c>
      <c r="Q603" s="3">
        <f>IF(B603&lt;='Input sheet(dashboard)'!$D$27*12,'Input sheet(dashboard)'!$D$12/12,0)</f>
        <v>0</v>
      </c>
      <c r="R603" s="3">
        <f>IF(B603&lt;='Input sheet(dashboard)'!$D$27*12,('Input sheet(dashboard)'!$D$15/12)*(1+'Input sheet(dashboard)'!$E$22)^Calculations!B603,0)</f>
        <v>0</v>
      </c>
      <c r="S603" s="3">
        <f>IF(B603&lt;='Input sheet(dashboard)'!$D$27*12,(E603+G603+K603+L603-O603+M603+Q603+R603),0)</f>
        <v>0</v>
      </c>
      <c r="T603" s="3">
        <f>IF(B603&lt;='Input sheet(dashboard)'!$D$27*12,IF(D603=12,SUM(S592:S603),0),0)</f>
        <v>0</v>
      </c>
      <c r="U603" s="3">
        <f>IF(B603&lt;='Input sheet(dashboard)'!$D$27*12,IF(S603&lt;AD603,AD603-S603,0),0)</f>
        <v>0</v>
      </c>
      <c r="V603" s="3">
        <f>IF(B603&lt;='Input sheet(dashboard)'!$D$27*12,V602*(1+'Input sheet(dashboard)'!$E$25)+U603,0)</f>
        <v>0</v>
      </c>
      <c r="W603" s="17">
        <f>IF(B603&lt;='Input sheet(dashboard)'!$D$27*12,J603-I603+V603-N603,0)</f>
        <v>0</v>
      </c>
      <c r="X603" s="3">
        <f>IF(B603&lt;='Input sheet(dashboard)'!$D$27*12,'Input sheet(dashboard)'!$D$17*(1+'Input sheet(dashboard)'!$E$23)^(B603-1),0)</f>
        <v>0</v>
      </c>
      <c r="Y603" s="3"/>
      <c r="Z603" s="18"/>
      <c r="AA603" s="18"/>
      <c r="AB603" s="3">
        <f>IF(B603=1,'Input sheet(dashboard)'!$D$18*Calculations!X603,IF(Calculations!B603=12*'Input sheet(dashboard)'!$D$27,'Input sheet(dashboard)'!$D$18*-Calculations!X603,0))</f>
        <v>0</v>
      </c>
      <c r="AC603" s="3">
        <f>IF(B603&lt;='Input sheet(dashboard)'!$D$27*12,IF(MOD(B602,'Input sheet(dashboard)'!$D$19*12),0,'Input sheet(dashboard)'!$D$20*(1+'Input sheet(dashboard)'!$E$22)^Calculations!B603),0)</f>
        <v>0</v>
      </c>
      <c r="AD603" s="17">
        <f>X603+Y603+AB603+AC603</f>
        <v>0</v>
      </c>
      <c r="AE603" s="17">
        <f>IF(B603&lt;='Input sheet(dashboard)'!$D$27*12,IF(D603=12,SUM(AD592:AD603),0),0)</f>
        <v>0</v>
      </c>
      <c r="AF603" s="17">
        <f t="shared" si="85"/>
        <v>0</v>
      </c>
      <c r="AG603" s="17">
        <f t="shared" si="86"/>
        <v>0</v>
      </c>
      <c r="AH603" s="3" t="str">
        <f>IF(B603&lt;='Input sheet(dashboard)'!$D$27*12,AH602*(1+'Input sheet(dashboard)'!$E$25)+AG603," ")</f>
        <v xml:space="preserve"> </v>
      </c>
    </row>
    <row r="604" spans="2:34">
      <c r="B604">
        <f t="shared" si="81"/>
        <v>601</v>
      </c>
      <c r="C604">
        <f t="shared" si="88"/>
        <v>51</v>
      </c>
      <c r="D604">
        <f t="shared" si="89"/>
        <v>1</v>
      </c>
      <c r="E604" s="15">
        <f>IF(C604&lt;='Input sheet(dashboard)'!$D$6, -PMT('Input sheet(dashboard)'!$E$5,'Input sheet(dashboard)'!$D$6*12,'Input sheet(dashboard)'!$D$3*'Input sheet(dashboard)'!$D$4),0)</f>
        <v>0</v>
      </c>
      <c r="F604" s="3">
        <f>I603*'Input sheet(dashboard)'!$E$5</f>
        <v>1.8078792645608013E-11</v>
      </c>
      <c r="G604" s="3">
        <f>IF(C604&lt;='Input sheet(dashboard)'!$D$6,E604*'Input sheet(dashboard)'!$D$7,0)</f>
        <v>0</v>
      </c>
      <c r="H604" s="3">
        <f t="shared" si="82"/>
        <v>-1.8078792645608013E-11</v>
      </c>
      <c r="I604" s="3">
        <f t="shared" si="83"/>
        <v>4.9809779469644089E-9</v>
      </c>
      <c r="J604" s="3">
        <f>IF(B604&lt;='Input sheet(dashboard)'!$D$27*12,'Input sheet(dashboard)'!$D$3*(1+'Input sheet(dashboard)'!$E$24)^B604,0)</f>
        <v>0</v>
      </c>
      <c r="K604" s="3">
        <f>IF(B604&lt;='Input sheet(dashboard)'!$D$27*12,J604*'Input sheet(dashboard)'!$E$8,0)</f>
        <v>0</v>
      </c>
      <c r="L604" s="3">
        <f>IF(B604&lt;='Input sheet(dashboard)'!$D$27*12,'Input sheet(dashboard)'!$D$9*(1+'Input sheet(dashboard)'!$E$22)^B604,0)</f>
        <v>0</v>
      </c>
      <c r="M604" s="3">
        <f>IF(B604=1,'Input sheet(dashboard)'!$D$3*'Input sheet(dashboard)'!$D$10,0)</f>
        <v>0</v>
      </c>
      <c r="N604" s="3">
        <f>IF(B604='Input sheet(dashboard)'!$D$27*12,J604*'Input sheet(dashboard)'!$D$11,0)</f>
        <v>0</v>
      </c>
      <c r="O604" s="3">
        <f>IF(SUM(F604:F615)&gt;=150000,150000/12*'Input sheet(dashboard)'!$D$28,SUM(F604:F615)/12*'Input sheet(dashboard)'!$D$28)</f>
        <v>2.766816278532747E-12</v>
      </c>
      <c r="P604" s="3">
        <f t="shared" si="87"/>
        <v>0</v>
      </c>
      <c r="Q604" s="3">
        <f>IF(B604&lt;='Input sheet(dashboard)'!$D$27*12,'Input sheet(dashboard)'!$D$12/12,0)</f>
        <v>0</v>
      </c>
      <c r="R604" s="3">
        <f>IF(B604&lt;='Input sheet(dashboard)'!$D$27*12,('Input sheet(dashboard)'!$D$15/12)*(1+'Input sheet(dashboard)'!$E$22)^Calculations!B604,0)</f>
        <v>0</v>
      </c>
      <c r="S604" s="3">
        <f>IF(B604&lt;='Input sheet(dashboard)'!$D$27*12,(E604+G604+K604+L604-O604+M604+Q604+R604),0)</f>
        <v>0</v>
      </c>
      <c r="T604" s="3">
        <f>IF(B604&lt;='Input sheet(dashboard)'!$D$27*12,IF(D604=12,SUM(S593:S604),0),0)</f>
        <v>0</v>
      </c>
      <c r="U604" s="3">
        <f>IF(B604&lt;='Input sheet(dashboard)'!$D$27*12,IF(S604&lt;AD604,AD604-S604,0),0)</f>
        <v>0</v>
      </c>
      <c r="V604" s="3">
        <f>IF(B604&lt;='Input sheet(dashboard)'!$D$27*12,V603*(1+'Input sheet(dashboard)'!$E$25)+U604,0)</f>
        <v>0</v>
      </c>
      <c r="W604" s="17">
        <f>IF(B604&lt;='Input sheet(dashboard)'!$D$27*12,J604-I604+V604-N604,0)</f>
        <v>0</v>
      </c>
      <c r="X604" s="3">
        <f>IF(B604&lt;='Input sheet(dashboard)'!$D$27*12,'Input sheet(dashboard)'!$D$17*(1+'Input sheet(dashboard)'!$E$23)^(B604-1),0)</f>
        <v>0</v>
      </c>
      <c r="Y604" s="3"/>
      <c r="Z604" s="18"/>
      <c r="AA604" s="18"/>
      <c r="AB604" s="3">
        <f>IF(B604=1,'Input sheet(dashboard)'!$D$18*Calculations!X604,IF(Calculations!B604=12*'Input sheet(dashboard)'!$D$27,'Input sheet(dashboard)'!$D$18*-Calculations!X604,0))</f>
        <v>0</v>
      </c>
      <c r="AC604" s="3">
        <f>IF(B604&lt;='Input sheet(dashboard)'!$D$27*12,IF(MOD(B603,'Input sheet(dashboard)'!$D$19*12),0,'Input sheet(dashboard)'!$D$20*(1+'Input sheet(dashboard)'!$E$22)^Calculations!B604),0)</f>
        <v>0</v>
      </c>
      <c r="AD604" s="17">
        <f t="shared" si="84"/>
        <v>0</v>
      </c>
      <c r="AE604" s="17">
        <f>IF(B604&lt;='Input sheet(dashboard)'!$D$27*12,IF(D604=12,SUM(AD593:AD604),0),0)</f>
        <v>0</v>
      </c>
      <c r="AF604" s="17">
        <f t="shared" si="85"/>
        <v>0</v>
      </c>
      <c r="AG604" s="17">
        <f t="shared" si="86"/>
        <v>0</v>
      </c>
      <c r="AH604" s="3" t="str">
        <f>IF(B604&lt;='Input sheet(dashboard)'!$D$27*12,AH603*(1+'Input sheet(dashboard)'!$E$25)+AG604," ")</f>
        <v xml:space="preserve"> </v>
      </c>
    </row>
    <row r="605" spans="2:34">
      <c r="B605">
        <f t="shared" si="81"/>
        <v>602</v>
      </c>
      <c r="C605">
        <f t="shared" si="88"/>
        <v>51</v>
      </c>
      <c r="D605">
        <f t="shared" si="89"/>
        <v>2</v>
      </c>
      <c r="E605" s="15">
        <f>IF(C605&lt;='Input sheet(dashboard)'!$D$6, -PMT('Input sheet(dashboard)'!$E$5,'Input sheet(dashboard)'!$D$6*12,'Input sheet(dashboard)'!$D$3*'Input sheet(dashboard)'!$D$4),0)</f>
        <v>0</v>
      </c>
      <c r="F605" s="3">
        <f>I604*'Input sheet(dashboard)'!$E$5</f>
        <v>1.8144649866026943E-11</v>
      </c>
      <c r="G605" s="3">
        <f>IF(C605&lt;='Input sheet(dashboard)'!$D$6,E605*'Input sheet(dashboard)'!$D$7,0)</f>
        <v>0</v>
      </c>
      <c r="H605" s="3">
        <f t="shared" si="82"/>
        <v>-1.8144649866026943E-11</v>
      </c>
      <c r="I605" s="3">
        <f t="shared" si="83"/>
        <v>4.9991225968304358E-9</v>
      </c>
      <c r="J605" s="3">
        <f>IF(B605&lt;='Input sheet(dashboard)'!$D$27*12,'Input sheet(dashboard)'!$D$3*(1+'Input sheet(dashboard)'!$E$24)^B605,0)</f>
        <v>0</v>
      </c>
      <c r="K605" s="3">
        <f>IF(B605&lt;='Input sheet(dashboard)'!$D$27*12,J605*'Input sheet(dashboard)'!$E$8,0)</f>
        <v>0</v>
      </c>
      <c r="L605" s="3">
        <f>IF(B605&lt;='Input sheet(dashboard)'!$D$27*12,'Input sheet(dashboard)'!$D$9*(1+'Input sheet(dashboard)'!$E$22)^B605,0)</f>
        <v>0</v>
      </c>
      <c r="M605" s="3">
        <f>IF(B605=1,'Input sheet(dashboard)'!$D$3*'Input sheet(dashboard)'!$D$10,0)</f>
        <v>0</v>
      </c>
      <c r="N605" s="3">
        <f>IF(B605='Input sheet(dashboard)'!$D$27*12,J605*'Input sheet(dashboard)'!$D$11,0)</f>
        <v>0</v>
      </c>
      <c r="O605" s="3">
        <f>IF(SUM(F605:F616)&gt;=150000,150000/12*'Input sheet(dashboard)'!$D$28,SUM(F605:F616)/12*'Input sheet(dashboard)'!$D$28)</f>
        <v>2.7768952054326739E-12</v>
      </c>
      <c r="P605" s="3">
        <f t="shared" si="87"/>
        <v>0</v>
      </c>
      <c r="Q605" s="3">
        <f>IF(B605&lt;='Input sheet(dashboard)'!$D$27*12,'Input sheet(dashboard)'!$D$12/12,0)</f>
        <v>0</v>
      </c>
      <c r="R605" s="3">
        <f>IF(B605&lt;='Input sheet(dashboard)'!$D$27*12,('Input sheet(dashboard)'!$D$15/12)*(1+'Input sheet(dashboard)'!$E$22)^Calculations!B605,0)</f>
        <v>0</v>
      </c>
      <c r="S605" s="3">
        <f>IF(B605&lt;='Input sheet(dashboard)'!$D$27*12,(E605+G605+K605+L605-O605+M605+Q605+R605),0)</f>
        <v>0</v>
      </c>
      <c r="T605" s="3">
        <f>IF(B605&lt;='Input sheet(dashboard)'!$D$27*12,IF(D605=12,SUM(S594:S605),0),0)</f>
        <v>0</v>
      </c>
      <c r="U605" s="3">
        <f>IF(B605&lt;='Input sheet(dashboard)'!$D$27*12,IF(S605&lt;AD605,AD605-S605,0),0)</f>
        <v>0</v>
      </c>
      <c r="V605" s="3">
        <f>IF(B605&lt;='Input sheet(dashboard)'!$D$27*12,V604*(1+'Input sheet(dashboard)'!$E$25)+U605,0)</f>
        <v>0</v>
      </c>
      <c r="W605" s="17">
        <f>IF(B605&lt;='Input sheet(dashboard)'!$D$27*12,J605-I605+V605-N605,0)</f>
        <v>0</v>
      </c>
      <c r="X605" s="3">
        <f>IF(B605&lt;='Input sheet(dashboard)'!$D$27*12,'Input sheet(dashboard)'!$D$17*(1+'Input sheet(dashboard)'!$E$23)^(B605-1),0)</f>
        <v>0</v>
      </c>
      <c r="Y605" s="3"/>
      <c r="Z605" s="18"/>
      <c r="AA605" s="18"/>
      <c r="AB605" s="3">
        <f>IF(B605=1,'Input sheet(dashboard)'!$D$18*Calculations!X605,IF(Calculations!B605=12*'Input sheet(dashboard)'!$D$27,'Input sheet(dashboard)'!$D$18*-Calculations!X605,0))</f>
        <v>0</v>
      </c>
      <c r="AC605" s="3">
        <f>IF(B605&lt;='Input sheet(dashboard)'!$D$27*12,IF(MOD(B604,'Input sheet(dashboard)'!$D$19*12),0,'Input sheet(dashboard)'!$D$20*(1+'Input sheet(dashboard)'!$E$22)^Calculations!B605),0)</f>
        <v>0</v>
      </c>
      <c r="AD605" s="17">
        <f t="shared" si="84"/>
        <v>0</v>
      </c>
      <c r="AE605" s="17">
        <f>IF(B605&lt;='Input sheet(dashboard)'!$D$27*12,IF(D605=12,SUM(AD594:AD605),0),0)</f>
        <v>0</v>
      </c>
      <c r="AF605" s="17">
        <f t="shared" si="85"/>
        <v>0</v>
      </c>
      <c r="AG605" s="17">
        <f t="shared" si="86"/>
        <v>0</v>
      </c>
      <c r="AH605" s="3" t="str">
        <f>IF(B605&lt;='Input sheet(dashboard)'!$D$27*12,AH604*(1+'Input sheet(dashboard)'!$E$25)+AG605," ")</f>
        <v xml:space="preserve"> </v>
      </c>
    </row>
    <row r="606" spans="2:34">
      <c r="B606">
        <f t="shared" si="81"/>
        <v>603</v>
      </c>
      <c r="C606">
        <f t="shared" si="88"/>
        <v>51</v>
      </c>
      <c r="D606">
        <f t="shared" si="89"/>
        <v>3</v>
      </c>
      <c r="E606" s="15">
        <f>IF(C606&lt;='Input sheet(dashboard)'!$D$6, -PMT('Input sheet(dashboard)'!$E$5,'Input sheet(dashboard)'!$D$6*12,'Input sheet(dashboard)'!$D$3*'Input sheet(dashboard)'!$D$4),0)</f>
        <v>0</v>
      </c>
      <c r="F606" s="3">
        <f>I605*'Input sheet(dashboard)'!$E$5</f>
        <v>1.8210746990380073E-11</v>
      </c>
      <c r="G606" s="3">
        <f>IF(C606&lt;='Input sheet(dashboard)'!$D$6,E606*'Input sheet(dashboard)'!$D$7,0)</f>
        <v>0</v>
      </c>
      <c r="H606" s="3">
        <f t="shared" si="82"/>
        <v>-1.8210746990380073E-11</v>
      </c>
      <c r="I606" s="3">
        <f t="shared" si="83"/>
        <v>5.017333343820816E-9</v>
      </c>
      <c r="J606" s="3">
        <f>IF(B606&lt;='Input sheet(dashboard)'!$D$27*12,'Input sheet(dashboard)'!$D$3*(1+'Input sheet(dashboard)'!$E$24)^B606,0)</f>
        <v>0</v>
      </c>
      <c r="K606" s="3">
        <f>IF(B606&lt;='Input sheet(dashboard)'!$D$27*12,J606*'Input sheet(dashboard)'!$E$8,0)</f>
        <v>0</v>
      </c>
      <c r="L606" s="3">
        <f>IF(B606&lt;='Input sheet(dashboard)'!$D$27*12,'Input sheet(dashboard)'!$D$9*(1+'Input sheet(dashboard)'!$E$22)^B606,0)</f>
        <v>0</v>
      </c>
      <c r="M606" s="3">
        <f>IF(B606=1,'Input sheet(dashboard)'!$D$3*'Input sheet(dashboard)'!$D$10,0)</f>
        <v>0</v>
      </c>
      <c r="N606" s="3">
        <f>IF(B606='Input sheet(dashboard)'!$D$27*12,J606*'Input sheet(dashboard)'!$D$11,0)</f>
        <v>0</v>
      </c>
      <c r="O606" s="3">
        <f>IF(SUM(F606:F617)&gt;=150000,150000/12*'Input sheet(dashboard)'!$D$28,SUM(F606:F617)/12*'Input sheet(dashboard)'!$D$28)</f>
        <v>2.7870108477329838E-12</v>
      </c>
      <c r="P606" s="3">
        <f t="shared" si="87"/>
        <v>0</v>
      </c>
      <c r="Q606" s="3">
        <f>IF(B606&lt;='Input sheet(dashboard)'!$D$27*12,'Input sheet(dashboard)'!$D$12/12,0)</f>
        <v>0</v>
      </c>
      <c r="R606" s="3">
        <f>IF(B606&lt;='Input sheet(dashboard)'!$D$27*12,('Input sheet(dashboard)'!$D$15/12)*(1+'Input sheet(dashboard)'!$E$22)^Calculations!B606,0)</f>
        <v>0</v>
      </c>
      <c r="S606" s="3">
        <f>IF(B606&lt;='Input sheet(dashboard)'!$D$27*12,(E606+G606+K606+L606-O606+M606+Q606+R606),0)</f>
        <v>0</v>
      </c>
      <c r="T606" s="3">
        <f>IF(B606&lt;='Input sheet(dashboard)'!$D$27*12,IF(D606=12,SUM(S595:S606),0),0)</f>
        <v>0</v>
      </c>
      <c r="U606" s="3">
        <f>IF(B606&lt;='Input sheet(dashboard)'!$D$27*12,IF(S606&lt;AD606,AD606-S606,0),0)</f>
        <v>0</v>
      </c>
      <c r="V606" s="3">
        <f>IF(B606&lt;='Input sheet(dashboard)'!$D$27*12,V605*(1+'Input sheet(dashboard)'!$E$25)+U606,0)</f>
        <v>0</v>
      </c>
      <c r="W606" s="17">
        <f>IF(B606&lt;='Input sheet(dashboard)'!$D$27*12,J606-I606+V606-N606,0)</f>
        <v>0</v>
      </c>
      <c r="X606" s="3">
        <f>IF(B606&lt;='Input sheet(dashboard)'!$D$27*12,'Input sheet(dashboard)'!$D$17*(1+'Input sheet(dashboard)'!$E$23)^(B606-1),0)</f>
        <v>0</v>
      </c>
      <c r="Y606" s="3"/>
      <c r="Z606" s="18"/>
      <c r="AA606" s="18"/>
      <c r="AB606" s="3">
        <f>IF(B606=1,'Input sheet(dashboard)'!$D$18*Calculations!X606,IF(Calculations!B606=12*'Input sheet(dashboard)'!$D$27,'Input sheet(dashboard)'!$D$18*-Calculations!X606,0))</f>
        <v>0</v>
      </c>
      <c r="AC606" s="3">
        <f>IF(B606&lt;='Input sheet(dashboard)'!$D$27*12,IF(MOD(B605,'Input sheet(dashboard)'!$D$19*12),0,'Input sheet(dashboard)'!$D$20*(1+'Input sheet(dashboard)'!$E$22)^Calculations!B606),0)</f>
        <v>0</v>
      </c>
      <c r="AD606" s="17">
        <f t="shared" si="84"/>
        <v>0</v>
      </c>
      <c r="AE606" s="17">
        <f>IF(B606&lt;='Input sheet(dashboard)'!$D$27*12,IF(D606=12,SUM(AD595:AD606),0),0)</f>
        <v>0</v>
      </c>
      <c r="AF606" s="17">
        <f t="shared" si="85"/>
        <v>0</v>
      </c>
      <c r="AG606" s="17">
        <f t="shared" si="86"/>
        <v>0</v>
      </c>
      <c r="AH606" s="3" t="str">
        <f>IF(B606&lt;='Input sheet(dashboard)'!$D$27*12,AH605*(1+'Input sheet(dashboard)'!$E$25)+AG606," ")</f>
        <v xml:space="preserve"> </v>
      </c>
    </row>
    <row r="607" spans="2:34">
      <c r="B607">
        <f t="shared" si="81"/>
        <v>604</v>
      </c>
      <c r="C607">
        <f t="shared" si="88"/>
        <v>51</v>
      </c>
      <c r="D607">
        <f t="shared" si="89"/>
        <v>4</v>
      </c>
      <c r="E607" s="15">
        <f>IF(C607&lt;='Input sheet(dashboard)'!$D$6, -PMT('Input sheet(dashboard)'!$E$5,'Input sheet(dashboard)'!$D$6*12,'Input sheet(dashboard)'!$D$3*'Input sheet(dashboard)'!$D$4),0)</f>
        <v>0</v>
      </c>
      <c r="F607" s="3">
        <f>I606*'Input sheet(dashboard)'!$E$5</f>
        <v>1.8277084892586734E-11</v>
      </c>
      <c r="G607" s="3">
        <f>IF(C607&lt;='Input sheet(dashboard)'!$D$6,E607*'Input sheet(dashboard)'!$D$7,0)</f>
        <v>0</v>
      </c>
      <c r="H607" s="3">
        <f t="shared" si="82"/>
        <v>-1.8277084892586734E-11</v>
      </c>
      <c r="I607" s="3">
        <f t="shared" si="83"/>
        <v>5.0356104287134031E-9</v>
      </c>
      <c r="J607" s="3">
        <f>IF(B607&lt;='Input sheet(dashboard)'!$D$27*12,'Input sheet(dashboard)'!$D$3*(1+'Input sheet(dashboard)'!$E$24)^B607,0)</f>
        <v>0</v>
      </c>
      <c r="K607" s="3">
        <f>IF(B607&lt;='Input sheet(dashboard)'!$D$27*12,J607*'Input sheet(dashboard)'!$E$8,0)</f>
        <v>0</v>
      </c>
      <c r="L607" s="3">
        <f>IF(B607&lt;='Input sheet(dashboard)'!$D$27*12,'Input sheet(dashboard)'!$D$9*(1+'Input sheet(dashboard)'!$E$22)^B607,0)</f>
        <v>0</v>
      </c>
      <c r="M607" s="3">
        <f>IF(B607=1,'Input sheet(dashboard)'!$D$3*'Input sheet(dashboard)'!$D$10,0)</f>
        <v>0</v>
      </c>
      <c r="N607" s="3">
        <f>IF(B607='Input sheet(dashboard)'!$D$27*12,J607*'Input sheet(dashboard)'!$D$11,0)</f>
        <v>0</v>
      </c>
      <c r="O607" s="3">
        <f>IF(SUM(F607:F618)&gt;=150000,150000/12*'Input sheet(dashboard)'!$D$28,SUM(F607:F618)/12*'Input sheet(dashboard)'!$D$28)</f>
        <v>2.797163339180121E-12</v>
      </c>
      <c r="P607" s="3">
        <f t="shared" si="87"/>
        <v>0</v>
      </c>
      <c r="Q607" s="3">
        <f>IF(B607&lt;='Input sheet(dashboard)'!$D$27*12,'Input sheet(dashboard)'!$D$12/12,0)</f>
        <v>0</v>
      </c>
      <c r="R607" s="3">
        <f>IF(B607&lt;='Input sheet(dashboard)'!$D$27*12,('Input sheet(dashboard)'!$D$15/12)*(1+'Input sheet(dashboard)'!$E$22)^Calculations!B607,0)</f>
        <v>0</v>
      </c>
      <c r="S607" s="3">
        <f>IF(B607&lt;='Input sheet(dashboard)'!$D$27*12,(E607+G607+K607+L607-O607+M607+Q607+R607),0)</f>
        <v>0</v>
      </c>
      <c r="T607" s="3">
        <f>IF(B607&lt;='Input sheet(dashboard)'!$D$27*12,IF(D607=12,SUM(S596:S607),0),0)</f>
        <v>0</v>
      </c>
      <c r="U607" s="3">
        <f>IF(B607&lt;='Input sheet(dashboard)'!$D$27*12,IF(S607&lt;AD607,AD607-S607,0),0)</f>
        <v>0</v>
      </c>
      <c r="V607" s="3">
        <f>IF(B607&lt;='Input sheet(dashboard)'!$D$27*12,V606*(1+'Input sheet(dashboard)'!$E$25)+U607,0)</f>
        <v>0</v>
      </c>
      <c r="W607" s="17">
        <f>IF(B607&lt;='Input sheet(dashboard)'!$D$27*12,J607-I607+V607-N607,0)</f>
        <v>0</v>
      </c>
      <c r="X607" s="3">
        <f>IF(B607&lt;='Input sheet(dashboard)'!$D$27*12,'Input sheet(dashboard)'!$D$17*(1+'Input sheet(dashboard)'!$E$23)^(B607-1),0)</f>
        <v>0</v>
      </c>
      <c r="Y607" s="3"/>
      <c r="Z607" s="18"/>
      <c r="AA607" s="18"/>
      <c r="AB607" s="3">
        <f>IF(B607=1,'Input sheet(dashboard)'!$D$18*Calculations!X607,IF(Calculations!B607=12*'Input sheet(dashboard)'!$D$27,'Input sheet(dashboard)'!$D$18*-Calculations!X607,0))</f>
        <v>0</v>
      </c>
      <c r="AC607" s="3">
        <f>IF(B607&lt;='Input sheet(dashboard)'!$D$27*12,IF(MOD(B606,'Input sheet(dashboard)'!$D$19*12),0,'Input sheet(dashboard)'!$D$20*(1+'Input sheet(dashboard)'!$E$22)^Calculations!B607),0)</f>
        <v>0</v>
      </c>
      <c r="AD607" s="17">
        <f t="shared" si="84"/>
        <v>0</v>
      </c>
      <c r="AE607" s="17">
        <f>IF(B607&lt;='Input sheet(dashboard)'!$D$27*12,IF(D607=12,SUM(AD596:AD607),0),0)</f>
        <v>0</v>
      </c>
      <c r="AF607" s="17">
        <f t="shared" si="85"/>
        <v>0</v>
      </c>
      <c r="AG607" s="17">
        <f t="shared" si="86"/>
        <v>0</v>
      </c>
      <c r="AH607" s="3" t="str">
        <f>IF(B607&lt;='Input sheet(dashboard)'!$D$27*12,AH606*(1+'Input sheet(dashboard)'!$E$25)+AG607," ")</f>
        <v xml:space="preserve"> </v>
      </c>
    </row>
    <row r="608" spans="2:34">
      <c r="B608">
        <f t="shared" si="81"/>
        <v>605</v>
      </c>
      <c r="C608">
        <f t="shared" si="88"/>
        <v>51</v>
      </c>
      <c r="D608">
        <f t="shared" si="89"/>
        <v>5</v>
      </c>
      <c r="E608" s="15">
        <f>IF(C608&lt;='Input sheet(dashboard)'!$D$6, -PMT('Input sheet(dashboard)'!$E$5,'Input sheet(dashboard)'!$D$6*12,'Input sheet(dashboard)'!$D$3*'Input sheet(dashboard)'!$D$4),0)</f>
        <v>0</v>
      </c>
      <c r="F608" s="3">
        <f>I607*'Input sheet(dashboard)'!$E$5</f>
        <v>1.8343664449749751E-11</v>
      </c>
      <c r="G608" s="3">
        <f>IF(C608&lt;='Input sheet(dashboard)'!$D$6,E608*'Input sheet(dashboard)'!$D$7,0)</f>
        <v>0</v>
      </c>
      <c r="H608" s="3">
        <f t="shared" si="82"/>
        <v>-1.8343664449749751E-11</v>
      </c>
      <c r="I608" s="3">
        <f t="shared" si="83"/>
        <v>5.0539540931631524E-9</v>
      </c>
      <c r="J608" s="3">
        <f>IF(B608&lt;='Input sheet(dashboard)'!$D$27*12,'Input sheet(dashboard)'!$D$3*(1+'Input sheet(dashboard)'!$E$24)^B608,0)</f>
        <v>0</v>
      </c>
      <c r="K608" s="3">
        <f>IF(B608&lt;='Input sheet(dashboard)'!$D$27*12,J608*'Input sheet(dashboard)'!$E$8,0)</f>
        <v>0</v>
      </c>
      <c r="L608" s="3">
        <f>IF(B608&lt;='Input sheet(dashboard)'!$D$27*12,'Input sheet(dashboard)'!$D$9*(1+'Input sheet(dashboard)'!$E$22)^B608,0)</f>
        <v>0</v>
      </c>
      <c r="M608" s="3">
        <f>IF(B608=1,'Input sheet(dashboard)'!$D$3*'Input sheet(dashboard)'!$D$10,0)</f>
        <v>0</v>
      </c>
      <c r="N608" s="3">
        <f>IF(B608='Input sheet(dashboard)'!$D$27*12,J608*'Input sheet(dashboard)'!$D$11,0)</f>
        <v>0</v>
      </c>
      <c r="O608" s="3">
        <f>IF(SUM(F608:F619)&gt;=150000,150000/12*'Input sheet(dashboard)'!$D$28,SUM(F608:F619)/12*'Input sheet(dashboard)'!$D$28)</f>
        <v>2.8073528140077384E-12</v>
      </c>
      <c r="P608" s="3">
        <f t="shared" si="87"/>
        <v>0</v>
      </c>
      <c r="Q608" s="3">
        <f>IF(B608&lt;='Input sheet(dashboard)'!$D$27*12,'Input sheet(dashboard)'!$D$12/12,0)</f>
        <v>0</v>
      </c>
      <c r="R608" s="3">
        <f>IF(B608&lt;='Input sheet(dashboard)'!$D$27*12,('Input sheet(dashboard)'!$D$15/12)*(1+'Input sheet(dashboard)'!$E$22)^Calculations!B608,0)</f>
        <v>0</v>
      </c>
      <c r="S608" s="3">
        <f>IF(B608&lt;='Input sheet(dashboard)'!$D$27*12,(E608+G608+K608+L608-O608+M608+Q608+R608),0)</f>
        <v>0</v>
      </c>
      <c r="T608" s="3">
        <f>IF(B608&lt;='Input sheet(dashboard)'!$D$27*12,IF(D608=12,SUM(S597:S608),0),0)</f>
        <v>0</v>
      </c>
      <c r="U608" s="3">
        <f>IF(B608&lt;='Input sheet(dashboard)'!$D$27*12,IF(S608&lt;AD608,AD608-S608,0),0)</f>
        <v>0</v>
      </c>
      <c r="V608" s="3">
        <f>IF(B608&lt;='Input sheet(dashboard)'!$D$27*12,V607*(1+'Input sheet(dashboard)'!$E$25)+U608,0)</f>
        <v>0</v>
      </c>
      <c r="W608" s="17">
        <f>IF(B608&lt;='Input sheet(dashboard)'!$D$27*12,J608-I608+V608-N608,0)</f>
        <v>0</v>
      </c>
      <c r="X608" s="3">
        <f>IF(B608&lt;='Input sheet(dashboard)'!$D$27*12,'Input sheet(dashboard)'!$D$17*(1+'Input sheet(dashboard)'!$E$23)^(B608-1),0)</f>
        <v>0</v>
      </c>
      <c r="Y608" s="3"/>
      <c r="Z608" s="18"/>
      <c r="AA608" s="18"/>
      <c r="AB608" s="3">
        <f>IF(B608=1,'Input sheet(dashboard)'!$D$18*Calculations!X608,IF(Calculations!B608=12*'Input sheet(dashboard)'!$D$27,'Input sheet(dashboard)'!$D$18*-Calculations!X608,0))</f>
        <v>0</v>
      </c>
      <c r="AC608" s="3">
        <f>IF(B608&lt;='Input sheet(dashboard)'!$D$27*12,IF(MOD(B607,'Input sheet(dashboard)'!$D$19*12),0,'Input sheet(dashboard)'!$D$20*(1+'Input sheet(dashboard)'!$E$22)^Calculations!B608),0)</f>
        <v>0</v>
      </c>
      <c r="AD608" s="17">
        <f t="shared" si="84"/>
        <v>0</v>
      </c>
      <c r="AE608" s="17">
        <f>IF(B608&lt;='Input sheet(dashboard)'!$D$27*12,IF(D608=12,SUM(AD597:AD608),0),0)</f>
        <v>0</v>
      </c>
      <c r="AF608" s="17">
        <f t="shared" si="85"/>
        <v>0</v>
      </c>
      <c r="AG608" s="17">
        <f t="shared" si="86"/>
        <v>0</v>
      </c>
      <c r="AH608" s="3" t="str">
        <f>IF(B608&lt;='Input sheet(dashboard)'!$D$27*12,AH607*(1+'Input sheet(dashboard)'!$E$25)+AG608," ")</f>
        <v xml:space="preserve"> </v>
      </c>
    </row>
    <row r="609" spans="2:34">
      <c r="B609">
        <f t="shared" si="81"/>
        <v>606</v>
      </c>
      <c r="C609">
        <f t="shared" si="88"/>
        <v>51</v>
      </c>
      <c r="D609">
        <f t="shared" si="89"/>
        <v>6</v>
      </c>
      <c r="E609" s="15">
        <f>IF(C609&lt;='Input sheet(dashboard)'!$D$6, -PMT('Input sheet(dashboard)'!$E$5,'Input sheet(dashboard)'!$D$6*12,'Input sheet(dashboard)'!$D$3*'Input sheet(dashboard)'!$D$4),0)</f>
        <v>0</v>
      </c>
      <c r="F609" s="3">
        <f>I608*'Input sheet(dashboard)'!$E$5</f>
        <v>1.8410486542167051E-11</v>
      </c>
      <c r="G609" s="3">
        <f>IF(C609&lt;='Input sheet(dashboard)'!$D$6,E609*'Input sheet(dashboard)'!$D$7,0)</f>
        <v>0</v>
      </c>
      <c r="H609" s="3">
        <f t="shared" si="82"/>
        <v>-1.8410486542167051E-11</v>
      </c>
      <c r="I609" s="3">
        <f t="shared" si="83"/>
        <v>5.0723645797053192E-9</v>
      </c>
      <c r="J609" s="3">
        <f>IF(B609&lt;='Input sheet(dashboard)'!$D$27*12,'Input sheet(dashboard)'!$D$3*(1+'Input sheet(dashboard)'!$E$24)^B609,0)</f>
        <v>0</v>
      </c>
      <c r="K609" s="3">
        <f>IF(B609&lt;='Input sheet(dashboard)'!$D$27*12,J609*'Input sheet(dashboard)'!$E$8,0)</f>
        <v>0</v>
      </c>
      <c r="L609" s="3">
        <f>IF(B609&lt;='Input sheet(dashboard)'!$D$27*12,'Input sheet(dashboard)'!$D$9*(1+'Input sheet(dashboard)'!$E$22)^B609,0)</f>
        <v>0</v>
      </c>
      <c r="M609" s="3">
        <f>IF(B609=1,'Input sheet(dashboard)'!$D$3*'Input sheet(dashboard)'!$D$10,0)</f>
        <v>0</v>
      </c>
      <c r="N609" s="3">
        <f>IF(B609='Input sheet(dashboard)'!$D$27*12,J609*'Input sheet(dashboard)'!$D$11,0)</f>
        <v>0</v>
      </c>
      <c r="O609" s="3">
        <f>IF(SUM(F609:F620)&gt;=150000,150000/12*'Input sheet(dashboard)'!$D$28,SUM(F609:F620)/12*'Input sheet(dashboard)'!$D$28)</f>
        <v>2.8175794069384736E-12</v>
      </c>
      <c r="P609" s="3">
        <f t="shared" si="87"/>
        <v>0</v>
      </c>
      <c r="Q609" s="3">
        <f>IF(B609&lt;='Input sheet(dashboard)'!$D$27*12,'Input sheet(dashboard)'!$D$12/12,0)</f>
        <v>0</v>
      </c>
      <c r="R609" s="3">
        <f>IF(B609&lt;='Input sheet(dashboard)'!$D$27*12,('Input sheet(dashboard)'!$D$15/12)*(1+'Input sheet(dashboard)'!$E$22)^Calculations!B609,0)</f>
        <v>0</v>
      </c>
      <c r="S609" s="3">
        <f>IF(B609&lt;='Input sheet(dashboard)'!$D$27*12,(E609+G609+K609+L609-O609+M609+Q609+R609),0)</f>
        <v>0</v>
      </c>
      <c r="T609" s="3">
        <f>IF(B609&lt;='Input sheet(dashboard)'!$D$27*12,IF(D609=12,SUM(S598:S609),0),0)</f>
        <v>0</v>
      </c>
      <c r="U609" s="3">
        <f>IF(B609&lt;='Input sheet(dashboard)'!$D$27*12,IF(S609&lt;AD609,AD609-S609,0),0)</f>
        <v>0</v>
      </c>
      <c r="V609" s="3">
        <f>IF(B609&lt;='Input sheet(dashboard)'!$D$27*12,V608*(1+'Input sheet(dashboard)'!$E$25)+U609,0)</f>
        <v>0</v>
      </c>
      <c r="W609" s="17">
        <f>IF(B609&lt;='Input sheet(dashboard)'!$D$27*12,J609-I609+V609-N609,0)</f>
        <v>0</v>
      </c>
      <c r="X609" s="3">
        <f>IF(B609&lt;='Input sheet(dashboard)'!$D$27*12,'Input sheet(dashboard)'!$D$17*(1+'Input sheet(dashboard)'!$E$23)^(B609-1),0)</f>
        <v>0</v>
      </c>
      <c r="Y609" s="3"/>
      <c r="Z609" s="18"/>
      <c r="AA609" s="18"/>
      <c r="AB609" s="3">
        <f>IF(B609=1,'Input sheet(dashboard)'!$D$18*Calculations!X609,IF(Calculations!B609=12*'Input sheet(dashboard)'!$D$27,'Input sheet(dashboard)'!$D$18*-Calculations!X609,0))</f>
        <v>0</v>
      </c>
      <c r="AC609" s="3">
        <f>IF(B609&lt;='Input sheet(dashboard)'!$D$27*12,IF(MOD(B608,'Input sheet(dashboard)'!$D$19*12),0,'Input sheet(dashboard)'!$D$20*(1+'Input sheet(dashboard)'!$E$22)^Calculations!B609),0)</f>
        <v>0</v>
      </c>
      <c r="AD609" s="17">
        <f t="shared" si="84"/>
        <v>0</v>
      </c>
      <c r="AE609" s="17">
        <f>IF(B609&lt;='Input sheet(dashboard)'!$D$27*12,IF(D609=12,SUM(AD598:AD609),0),0)</f>
        <v>0</v>
      </c>
      <c r="AF609" s="17">
        <f t="shared" si="85"/>
        <v>0</v>
      </c>
      <c r="AG609" s="17">
        <f t="shared" si="86"/>
        <v>0</v>
      </c>
      <c r="AH609" s="3" t="str">
        <f>IF(B609&lt;='Input sheet(dashboard)'!$D$27*12,AH608*(1+'Input sheet(dashboard)'!$E$25)+AG609," ")</f>
        <v xml:space="preserve"> </v>
      </c>
    </row>
    <row r="610" spans="2:34">
      <c r="B610">
        <f t="shared" si="81"/>
        <v>607</v>
      </c>
      <c r="C610">
        <f t="shared" si="88"/>
        <v>51</v>
      </c>
      <c r="D610">
        <f t="shared" si="89"/>
        <v>7</v>
      </c>
      <c r="E610" s="15">
        <f>IF(C610&lt;='Input sheet(dashboard)'!$D$6, -PMT('Input sheet(dashboard)'!$E$5,'Input sheet(dashboard)'!$D$6*12,'Input sheet(dashboard)'!$D$3*'Input sheet(dashboard)'!$D$4),0)</f>
        <v>0</v>
      </c>
      <c r="F610" s="3">
        <f>I609*'Input sheet(dashboard)'!$E$5</f>
        <v>1.8477552053343303E-11</v>
      </c>
      <c r="G610" s="3">
        <f>IF(C610&lt;='Input sheet(dashboard)'!$D$6,E610*'Input sheet(dashboard)'!$D$7,0)</f>
        <v>0</v>
      </c>
      <c r="H610" s="3">
        <f t="shared" si="82"/>
        <v>-1.8477552053343303E-11</v>
      </c>
      <c r="I610" s="3">
        <f t="shared" si="83"/>
        <v>5.0908421317586624E-9</v>
      </c>
      <c r="J610" s="3">
        <f>IF(B610&lt;='Input sheet(dashboard)'!$D$27*12,'Input sheet(dashboard)'!$D$3*(1+'Input sheet(dashboard)'!$E$24)^B610,0)</f>
        <v>0</v>
      </c>
      <c r="K610" s="3">
        <f>IF(B610&lt;='Input sheet(dashboard)'!$D$27*12,J610*'Input sheet(dashboard)'!$E$8,0)</f>
        <v>0</v>
      </c>
      <c r="L610" s="3">
        <f>IF(B610&lt;='Input sheet(dashboard)'!$D$27*12,'Input sheet(dashboard)'!$D$9*(1+'Input sheet(dashboard)'!$E$22)^B610,0)</f>
        <v>0</v>
      </c>
      <c r="M610" s="3">
        <f>IF(B610=1,'Input sheet(dashboard)'!$D$3*'Input sheet(dashboard)'!$D$10,0)</f>
        <v>0</v>
      </c>
      <c r="N610" s="3">
        <f>IF(B610='Input sheet(dashboard)'!$D$27*12,J610*'Input sheet(dashboard)'!$D$11,0)</f>
        <v>0</v>
      </c>
      <c r="O610" s="3">
        <f>IF(SUM(F610:F621)&gt;=150000,150000/12*'Input sheet(dashboard)'!$D$28,SUM(F610:F621)/12*'Input sheet(dashboard)'!$D$28)</f>
        <v>2.8278432531857319E-12</v>
      </c>
      <c r="P610" s="3">
        <f t="shared" si="87"/>
        <v>0</v>
      </c>
      <c r="Q610" s="3">
        <f>IF(B610&lt;='Input sheet(dashboard)'!$D$27*12,'Input sheet(dashboard)'!$D$12/12,0)</f>
        <v>0</v>
      </c>
      <c r="R610" s="3">
        <f>IF(B610&lt;='Input sheet(dashboard)'!$D$27*12,('Input sheet(dashboard)'!$D$15/12)*(1+'Input sheet(dashboard)'!$E$22)^Calculations!B610,0)</f>
        <v>0</v>
      </c>
      <c r="S610" s="3">
        <f>IF(B610&lt;='Input sheet(dashboard)'!$D$27*12,(E610+G610+K610+L610-O610+M610+Q610+R610),0)</f>
        <v>0</v>
      </c>
      <c r="T610" s="3">
        <f>IF(B610&lt;='Input sheet(dashboard)'!$D$27*12,IF(D610=12,SUM(S599:S610),0),0)</f>
        <v>0</v>
      </c>
      <c r="U610" s="3">
        <f>IF(B610&lt;='Input sheet(dashboard)'!$D$27*12,IF(S610&lt;AD610,AD610-S610,0),0)</f>
        <v>0</v>
      </c>
      <c r="V610" s="3">
        <f>IF(B610&lt;='Input sheet(dashboard)'!$D$27*12,V609*(1+'Input sheet(dashboard)'!$E$25)+U610,0)</f>
        <v>0</v>
      </c>
      <c r="W610" s="17">
        <f>IF(B610&lt;='Input sheet(dashboard)'!$D$27*12,J610-I610+V610-N610,0)</f>
        <v>0</v>
      </c>
      <c r="X610" s="3">
        <f>IF(B610&lt;='Input sheet(dashboard)'!$D$27*12,'Input sheet(dashboard)'!$D$17*(1+'Input sheet(dashboard)'!$E$23)^(B610-1),0)</f>
        <v>0</v>
      </c>
      <c r="Y610" s="3"/>
      <c r="Z610" s="18"/>
      <c r="AA610" s="18"/>
      <c r="AB610" s="3">
        <f>IF(B610=1,'Input sheet(dashboard)'!$D$18*Calculations!X610,IF(Calculations!B610=12*'Input sheet(dashboard)'!$D$27,'Input sheet(dashboard)'!$D$18*-Calculations!X610,0))</f>
        <v>0</v>
      </c>
      <c r="AC610" s="3">
        <f>IF(B610&lt;='Input sheet(dashboard)'!$D$27*12,IF(MOD(B609,'Input sheet(dashboard)'!$D$19*12),0,'Input sheet(dashboard)'!$D$20*(1+'Input sheet(dashboard)'!$E$22)^Calculations!B610),0)</f>
        <v>0</v>
      </c>
      <c r="AD610" s="17">
        <f t="shared" si="84"/>
        <v>0</v>
      </c>
      <c r="AE610" s="17">
        <f>IF(B610&lt;='Input sheet(dashboard)'!$D$27*12,IF(D610=12,SUM(AD599:AD610),0),0)</f>
        <v>0</v>
      </c>
      <c r="AF610" s="17">
        <f t="shared" si="85"/>
        <v>0</v>
      </c>
      <c r="AG610" s="17">
        <f t="shared" si="86"/>
        <v>0</v>
      </c>
      <c r="AH610" s="3" t="str">
        <f>IF(B610&lt;='Input sheet(dashboard)'!$D$27*12,AH609*(1+'Input sheet(dashboard)'!$E$25)+AG610," ")</f>
        <v xml:space="preserve"> </v>
      </c>
    </row>
    <row r="611" spans="2:34">
      <c r="B611">
        <f t="shared" si="81"/>
        <v>608</v>
      </c>
      <c r="C611">
        <f t="shared" si="88"/>
        <v>51</v>
      </c>
      <c r="D611">
        <f t="shared" si="89"/>
        <v>8</v>
      </c>
      <c r="E611" s="15">
        <f>IF(C611&lt;='Input sheet(dashboard)'!$D$6, -PMT('Input sheet(dashboard)'!$E$5,'Input sheet(dashboard)'!$D$6*12,'Input sheet(dashboard)'!$D$3*'Input sheet(dashboard)'!$D$4),0)</f>
        <v>0</v>
      </c>
      <c r="F611" s="3">
        <f>I610*'Input sheet(dashboard)'!$E$5</f>
        <v>1.8544861870001604E-11</v>
      </c>
      <c r="G611" s="3">
        <f>IF(C611&lt;='Input sheet(dashboard)'!$D$6,E611*'Input sheet(dashboard)'!$D$7,0)</f>
        <v>0</v>
      </c>
      <c r="H611" s="3">
        <f t="shared" si="82"/>
        <v>-1.8544861870001604E-11</v>
      </c>
      <c r="I611" s="3">
        <f t="shared" si="83"/>
        <v>5.1093869936286642E-9</v>
      </c>
      <c r="J611" s="3">
        <f>IF(B611&lt;='Input sheet(dashboard)'!$D$27*12,'Input sheet(dashboard)'!$D$3*(1+'Input sheet(dashboard)'!$E$24)^B611,0)</f>
        <v>0</v>
      </c>
      <c r="K611" s="3">
        <f>IF(B611&lt;='Input sheet(dashboard)'!$D$27*12,J611*'Input sheet(dashboard)'!$E$8,0)</f>
        <v>0</v>
      </c>
      <c r="L611" s="3">
        <f>IF(B611&lt;='Input sheet(dashboard)'!$D$27*12,'Input sheet(dashboard)'!$D$9*(1+'Input sheet(dashboard)'!$E$22)^B611,0)</f>
        <v>0</v>
      </c>
      <c r="M611" s="3">
        <f>IF(B611=1,'Input sheet(dashboard)'!$D$3*'Input sheet(dashboard)'!$D$10,0)</f>
        <v>0</v>
      </c>
      <c r="N611" s="3">
        <f>IF(B611='Input sheet(dashboard)'!$D$27*12,J611*'Input sheet(dashboard)'!$D$11,0)</f>
        <v>0</v>
      </c>
      <c r="O611" s="3">
        <f>IF(SUM(F611:F622)&gt;=150000,150000/12*'Input sheet(dashboard)'!$D$28,SUM(F611:F622)/12*'Input sheet(dashboard)'!$D$28)</f>
        <v>2.8381444884554712E-12</v>
      </c>
      <c r="P611" s="3">
        <f t="shared" si="87"/>
        <v>0</v>
      </c>
      <c r="Q611" s="3">
        <f>IF(B611&lt;='Input sheet(dashboard)'!$D$27*12,'Input sheet(dashboard)'!$D$12/12,0)</f>
        <v>0</v>
      </c>
      <c r="R611" s="3">
        <f>IF(B611&lt;='Input sheet(dashboard)'!$D$27*12,('Input sheet(dashboard)'!$D$15/12)*(1+'Input sheet(dashboard)'!$E$22)^Calculations!B611,0)</f>
        <v>0</v>
      </c>
      <c r="S611" s="3">
        <f>IF(B611&lt;='Input sheet(dashboard)'!$D$27*12,(E611+G611+K611+L611-O611+M611+Q611+R611),0)</f>
        <v>0</v>
      </c>
      <c r="T611" s="3">
        <f>IF(B611&lt;='Input sheet(dashboard)'!$D$27*12,IF(D611=12,SUM(S600:S611),0),0)</f>
        <v>0</v>
      </c>
      <c r="U611" s="3">
        <f>IF(B611&lt;='Input sheet(dashboard)'!$D$27*12,IF(S611&lt;AD611,AD611-S611,0),0)</f>
        <v>0</v>
      </c>
      <c r="V611" s="3">
        <f>IF(B611&lt;='Input sheet(dashboard)'!$D$27*12,V610*(1+'Input sheet(dashboard)'!$E$25)+U611,0)</f>
        <v>0</v>
      </c>
      <c r="W611" s="17">
        <f>IF(B611&lt;='Input sheet(dashboard)'!$D$27*12,J611-I611+V611-N611,0)</f>
        <v>0</v>
      </c>
      <c r="X611" s="3">
        <f>IF(B611&lt;='Input sheet(dashboard)'!$D$27*12,'Input sheet(dashboard)'!$D$17*(1+'Input sheet(dashboard)'!$E$23)^(B611-1),0)</f>
        <v>0</v>
      </c>
      <c r="Y611" s="3"/>
      <c r="Z611" s="18"/>
      <c r="AA611" s="18"/>
      <c r="AB611" s="3">
        <f>IF(B611=1,'Input sheet(dashboard)'!$D$18*Calculations!X611,IF(Calculations!B611=12*'Input sheet(dashboard)'!$D$27,'Input sheet(dashboard)'!$D$18*-Calculations!X611,0))</f>
        <v>0</v>
      </c>
      <c r="AC611" s="3">
        <f>IF(B611&lt;='Input sheet(dashboard)'!$D$27*12,IF(MOD(B610,'Input sheet(dashboard)'!$D$19*12),0,'Input sheet(dashboard)'!$D$20*(1+'Input sheet(dashboard)'!$E$22)^Calculations!B611),0)</f>
        <v>0</v>
      </c>
      <c r="AD611" s="17">
        <f t="shared" si="84"/>
        <v>0</v>
      </c>
      <c r="AE611" s="17">
        <f>IF(B611&lt;='Input sheet(dashboard)'!$D$27*12,IF(D611=12,SUM(AD600:AD611),0),0)</f>
        <v>0</v>
      </c>
      <c r="AF611" s="17">
        <f t="shared" si="85"/>
        <v>0</v>
      </c>
      <c r="AG611" s="17">
        <f t="shared" si="86"/>
        <v>0</v>
      </c>
      <c r="AH611" s="3" t="str">
        <f>IF(B611&lt;='Input sheet(dashboard)'!$D$27*12,AH610*(1+'Input sheet(dashboard)'!$E$25)+AG611," ")</f>
        <v xml:space="preserve"> </v>
      </c>
    </row>
    <row r="612" spans="2:34">
      <c r="B612">
        <f t="shared" si="81"/>
        <v>609</v>
      </c>
      <c r="C612">
        <f t="shared" si="88"/>
        <v>51</v>
      </c>
      <c r="D612">
        <f t="shared" si="89"/>
        <v>9</v>
      </c>
      <c r="E612" s="15">
        <f>IF(C612&lt;='Input sheet(dashboard)'!$D$6, -PMT('Input sheet(dashboard)'!$E$5,'Input sheet(dashboard)'!$D$6*12,'Input sheet(dashboard)'!$D$3*'Input sheet(dashboard)'!$D$4),0)</f>
        <v>0</v>
      </c>
      <c r="F612" s="3">
        <f>I611*'Input sheet(dashboard)'!$E$5</f>
        <v>1.8612416882095178E-11</v>
      </c>
      <c r="G612" s="3">
        <f>IF(C612&lt;='Input sheet(dashboard)'!$D$6,E612*'Input sheet(dashboard)'!$D$7,0)</f>
        <v>0</v>
      </c>
      <c r="H612" s="3">
        <f t="shared" si="82"/>
        <v>-1.8612416882095178E-11</v>
      </c>
      <c r="I612" s="3">
        <f t="shared" si="83"/>
        <v>5.1279994105107593E-9</v>
      </c>
      <c r="J612" s="3">
        <f>IF(B612&lt;='Input sheet(dashboard)'!$D$27*12,'Input sheet(dashboard)'!$D$3*(1+'Input sheet(dashboard)'!$E$24)^B612,0)</f>
        <v>0</v>
      </c>
      <c r="K612" s="3">
        <f>IF(B612&lt;='Input sheet(dashboard)'!$D$27*12,J612*'Input sheet(dashboard)'!$E$8,0)</f>
        <v>0</v>
      </c>
      <c r="L612" s="3">
        <f>IF(B612&lt;='Input sheet(dashboard)'!$D$27*12,'Input sheet(dashboard)'!$D$9*(1+'Input sheet(dashboard)'!$E$22)^B612,0)</f>
        <v>0</v>
      </c>
      <c r="M612" s="3">
        <f>IF(B612=1,'Input sheet(dashboard)'!$D$3*'Input sheet(dashboard)'!$D$10,0)</f>
        <v>0</v>
      </c>
      <c r="N612" s="3">
        <f>IF(B612='Input sheet(dashboard)'!$D$27*12,J612*'Input sheet(dashboard)'!$D$11,0)</f>
        <v>0</v>
      </c>
      <c r="O612" s="3">
        <f>IF(SUM(F612:F623)&gt;=150000,150000/12*'Input sheet(dashboard)'!$D$28,SUM(F612:F623)/12*'Input sheet(dashboard)'!$D$28)</f>
        <v>2.848483248947997E-12</v>
      </c>
      <c r="P612" s="3">
        <f t="shared" si="87"/>
        <v>0</v>
      </c>
      <c r="Q612" s="3">
        <f>IF(B612&lt;='Input sheet(dashboard)'!$D$27*12,'Input sheet(dashboard)'!$D$12/12,0)</f>
        <v>0</v>
      </c>
      <c r="R612" s="3">
        <f>IF(B612&lt;='Input sheet(dashboard)'!$D$27*12,('Input sheet(dashboard)'!$D$15/12)*(1+'Input sheet(dashboard)'!$E$22)^Calculations!B612,0)</f>
        <v>0</v>
      </c>
      <c r="S612" s="3">
        <f>IF(B612&lt;='Input sheet(dashboard)'!$D$27*12,(E612+G612+K612+L612-O612+M612+Q612+R612),0)</f>
        <v>0</v>
      </c>
      <c r="T612" s="3">
        <f>IF(B612&lt;='Input sheet(dashboard)'!$D$27*12,IF(D612=12,SUM(S601:S612),0),0)</f>
        <v>0</v>
      </c>
      <c r="U612" s="3">
        <f>IF(B612&lt;='Input sheet(dashboard)'!$D$27*12,IF(S612&lt;AD612,AD612-S612,0),0)</f>
        <v>0</v>
      </c>
      <c r="V612" s="3">
        <f>IF(B612&lt;='Input sheet(dashboard)'!$D$27*12,V611*(1+'Input sheet(dashboard)'!$E$25)+U612,0)</f>
        <v>0</v>
      </c>
      <c r="W612" s="17">
        <f>IF(B612&lt;='Input sheet(dashboard)'!$D$27*12,J612-I612+V612-N612,0)</f>
        <v>0</v>
      </c>
      <c r="X612" s="3">
        <f>IF(B612&lt;='Input sheet(dashboard)'!$D$27*12,'Input sheet(dashboard)'!$D$17*(1+'Input sheet(dashboard)'!$E$23)^(B612-1),0)</f>
        <v>0</v>
      </c>
      <c r="Y612" s="3"/>
      <c r="Z612" s="18"/>
      <c r="AA612" s="18"/>
      <c r="AB612" s="3">
        <f>IF(B612=1,'Input sheet(dashboard)'!$D$18*Calculations!X612,IF(Calculations!B612=12*'Input sheet(dashboard)'!$D$27,'Input sheet(dashboard)'!$D$18*-Calculations!X612,0))</f>
        <v>0</v>
      </c>
      <c r="AC612" s="3">
        <f>IF(B612&lt;='Input sheet(dashboard)'!$D$27*12,IF(MOD(B611,'Input sheet(dashboard)'!$D$19*12),0,'Input sheet(dashboard)'!$D$20*(1+'Input sheet(dashboard)'!$E$22)^Calculations!B612),0)</f>
        <v>0</v>
      </c>
      <c r="AD612" s="17">
        <f t="shared" si="84"/>
        <v>0</v>
      </c>
      <c r="AE612" s="17">
        <f>IF(B612&lt;='Input sheet(dashboard)'!$D$27*12,IF(D612=12,SUM(AD601:AD612),0),0)</f>
        <v>0</v>
      </c>
      <c r="AF612" s="17">
        <f t="shared" si="85"/>
        <v>0</v>
      </c>
      <c r="AG612" s="17">
        <f t="shared" si="86"/>
        <v>0</v>
      </c>
      <c r="AH612" s="3" t="str">
        <f>IF(B612&lt;='Input sheet(dashboard)'!$D$27*12,AH611*(1+'Input sheet(dashboard)'!$E$25)+AG612," ")</f>
        <v xml:space="preserve"> </v>
      </c>
    </row>
    <row r="613" spans="2:34">
      <c r="B613">
        <f t="shared" si="81"/>
        <v>610</v>
      </c>
      <c r="C613">
        <f t="shared" si="88"/>
        <v>51</v>
      </c>
      <c r="D613">
        <f t="shared" si="89"/>
        <v>10</v>
      </c>
      <c r="E613" s="15">
        <f>IF(C613&lt;='Input sheet(dashboard)'!$D$6, -PMT('Input sheet(dashboard)'!$E$5,'Input sheet(dashboard)'!$D$6*12,'Input sheet(dashboard)'!$D$3*'Input sheet(dashboard)'!$D$4),0)</f>
        <v>0</v>
      </c>
      <c r="F613" s="3">
        <f>I612*'Input sheet(dashboard)'!$E$5</f>
        <v>1.8680217982819175E-11</v>
      </c>
      <c r="G613" s="3">
        <f>IF(C613&lt;='Input sheet(dashboard)'!$D$6,E613*'Input sheet(dashboard)'!$D$7,0)</f>
        <v>0</v>
      </c>
      <c r="H613" s="3">
        <f t="shared" si="82"/>
        <v>-1.8680217982819175E-11</v>
      </c>
      <c r="I613" s="3">
        <f t="shared" si="83"/>
        <v>5.1466796284935788E-9</v>
      </c>
      <c r="J613" s="3">
        <f>IF(B613&lt;='Input sheet(dashboard)'!$D$27*12,'Input sheet(dashboard)'!$D$3*(1+'Input sheet(dashboard)'!$E$24)^B613,0)</f>
        <v>0</v>
      </c>
      <c r="K613" s="3">
        <f>IF(B613&lt;='Input sheet(dashboard)'!$D$27*12,J613*'Input sheet(dashboard)'!$E$8,0)</f>
        <v>0</v>
      </c>
      <c r="L613" s="3">
        <f>IF(B613&lt;='Input sheet(dashboard)'!$D$27*12,'Input sheet(dashboard)'!$D$9*(1+'Input sheet(dashboard)'!$E$22)^B613,0)</f>
        <v>0</v>
      </c>
      <c r="M613" s="3">
        <f>IF(B613=1,'Input sheet(dashboard)'!$D$3*'Input sheet(dashboard)'!$D$10,0)</f>
        <v>0</v>
      </c>
      <c r="N613" s="3">
        <f>IF(B613='Input sheet(dashboard)'!$D$27*12,J613*'Input sheet(dashboard)'!$D$11,0)</f>
        <v>0</v>
      </c>
      <c r="O613" s="3">
        <f>IF(SUM(F613:F624)&gt;=150000,150000/12*'Input sheet(dashboard)'!$D$28,SUM(F613:F624)/12*'Input sheet(dashboard)'!$D$28)</f>
        <v>2.8588596713597651E-12</v>
      </c>
      <c r="P613" s="3">
        <f t="shared" si="87"/>
        <v>0</v>
      </c>
      <c r="Q613" s="3">
        <f>IF(B613&lt;='Input sheet(dashboard)'!$D$27*12,'Input sheet(dashboard)'!$D$12/12,0)</f>
        <v>0</v>
      </c>
      <c r="R613" s="3">
        <f>IF(B613&lt;='Input sheet(dashboard)'!$D$27*12,('Input sheet(dashboard)'!$D$15/12)*(1+'Input sheet(dashboard)'!$E$22)^Calculations!B613,0)</f>
        <v>0</v>
      </c>
      <c r="S613" s="3">
        <f>IF(B613&lt;='Input sheet(dashboard)'!$D$27*12,(E613+G613+K613+L613-O613+M613+Q613+R613),0)</f>
        <v>0</v>
      </c>
      <c r="T613" s="3">
        <f>IF(B613&lt;='Input sheet(dashboard)'!$D$27*12,IF(D613=12,SUM(S602:S613),0),0)</f>
        <v>0</v>
      </c>
      <c r="U613" s="3">
        <f>IF(B613&lt;='Input sheet(dashboard)'!$D$27*12,IF(S613&lt;AD613,AD613-S613,0),0)</f>
        <v>0</v>
      </c>
      <c r="V613" s="3">
        <f>IF(B613&lt;='Input sheet(dashboard)'!$D$27*12,V612*(1+'Input sheet(dashboard)'!$E$25)+U613,0)</f>
        <v>0</v>
      </c>
      <c r="W613" s="17">
        <f>IF(B613&lt;='Input sheet(dashboard)'!$D$27*12,J613-I613+V613-N613,0)</f>
        <v>0</v>
      </c>
      <c r="X613" s="3">
        <f>IF(B613&lt;='Input sheet(dashboard)'!$D$27*12,'Input sheet(dashboard)'!$D$17*(1+'Input sheet(dashboard)'!$E$23)^(B613-1),0)</f>
        <v>0</v>
      </c>
      <c r="Y613" s="3"/>
      <c r="Z613" s="18"/>
      <c r="AA613" s="18"/>
      <c r="AB613" s="3">
        <f>IF(B613=1,'Input sheet(dashboard)'!$D$18*Calculations!X613,IF(Calculations!B613=12*'Input sheet(dashboard)'!$D$27,'Input sheet(dashboard)'!$D$18*-Calculations!X613,0))</f>
        <v>0</v>
      </c>
      <c r="AC613" s="3">
        <f>IF(B613&lt;='Input sheet(dashboard)'!$D$27*12,IF(MOD(B612,'Input sheet(dashboard)'!$D$19*12),0,'Input sheet(dashboard)'!$D$20*(1+'Input sheet(dashboard)'!$E$22)^Calculations!B613),0)</f>
        <v>0</v>
      </c>
      <c r="AD613" s="17">
        <f t="shared" si="84"/>
        <v>0</v>
      </c>
      <c r="AE613" s="17">
        <f>IF(B613&lt;='Input sheet(dashboard)'!$D$27*12,IF(D613=12,SUM(AD602:AD613),0),0)</f>
        <v>0</v>
      </c>
      <c r="AF613" s="17">
        <f t="shared" si="85"/>
        <v>0</v>
      </c>
      <c r="AG613" s="17">
        <f t="shared" si="86"/>
        <v>0</v>
      </c>
      <c r="AH613" s="3" t="str">
        <f>IF(B613&lt;='Input sheet(dashboard)'!$D$27*12,AH612*(1+'Input sheet(dashboard)'!$E$25)+AG613," ")</f>
        <v xml:space="preserve"> </v>
      </c>
    </row>
    <row r="614" spans="2:34">
      <c r="B614">
        <f t="shared" si="81"/>
        <v>611</v>
      </c>
      <c r="C614">
        <f t="shared" si="88"/>
        <v>51</v>
      </c>
      <c r="D614">
        <f t="shared" si="89"/>
        <v>11</v>
      </c>
      <c r="E614" s="15">
        <f>IF(C614&lt;='Input sheet(dashboard)'!$D$6, -PMT('Input sheet(dashboard)'!$E$5,'Input sheet(dashboard)'!$D$6*12,'Input sheet(dashboard)'!$D$3*'Input sheet(dashboard)'!$D$4),0)</f>
        <v>0</v>
      </c>
      <c r="F614" s="3">
        <f>I613*'Input sheet(dashboard)'!$E$5</f>
        <v>1.8748266068622465E-11</v>
      </c>
      <c r="G614" s="3">
        <f>IF(C614&lt;='Input sheet(dashboard)'!$D$6,E614*'Input sheet(dashboard)'!$D$7,0)</f>
        <v>0</v>
      </c>
      <c r="H614" s="3">
        <f t="shared" si="82"/>
        <v>-1.8748266068622465E-11</v>
      </c>
      <c r="I614" s="3">
        <f t="shared" si="83"/>
        <v>5.1654278945622017E-9</v>
      </c>
      <c r="J614" s="3">
        <f>IF(B614&lt;='Input sheet(dashboard)'!$D$27*12,'Input sheet(dashboard)'!$D$3*(1+'Input sheet(dashboard)'!$E$24)^B614,0)</f>
        <v>0</v>
      </c>
      <c r="K614" s="3">
        <f>IF(B614&lt;='Input sheet(dashboard)'!$D$27*12,J614*'Input sheet(dashboard)'!$E$8,0)</f>
        <v>0</v>
      </c>
      <c r="L614" s="3">
        <f>IF(B614&lt;='Input sheet(dashboard)'!$D$27*12,'Input sheet(dashboard)'!$D$9*(1+'Input sheet(dashboard)'!$E$22)^B614,0)</f>
        <v>0</v>
      </c>
      <c r="M614" s="3">
        <f>IF(B614=1,'Input sheet(dashboard)'!$D$3*'Input sheet(dashboard)'!$D$10,0)</f>
        <v>0</v>
      </c>
      <c r="N614" s="3">
        <f>IF(B614='Input sheet(dashboard)'!$D$27*12,J614*'Input sheet(dashboard)'!$D$11,0)</f>
        <v>0</v>
      </c>
      <c r="O614" s="3">
        <f>IF(SUM(F614:F625)&gt;=150000,150000/12*'Input sheet(dashboard)'!$D$28,SUM(F614:F625)/12*'Input sheet(dashboard)'!$D$28)</f>
        <v>2.8692738928851871E-12</v>
      </c>
      <c r="P614" s="3">
        <f t="shared" si="87"/>
        <v>0</v>
      </c>
      <c r="Q614" s="3">
        <f>IF(B614&lt;='Input sheet(dashboard)'!$D$27*12,'Input sheet(dashboard)'!$D$12/12,0)</f>
        <v>0</v>
      </c>
      <c r="R614" s="3">
        <f>IF(B614&lt;='Input sheet(dashboard)'!$D$27*12,('Input sheet(dashboard)'!$D$15/12)*(1+'Input sheet(dashboard)'!$E$22)^Calculations!B614,0)</f>
        <v>0</v>
      </c>
      <c r="S614" s="3">
        <f>IF(B614&lt;='Input sheet(dashboard)'!$D$27*12,(E614+G614+K614+L614-O614+M614+Q614+R614),0)</f>
        <v>0</v>
      </c>
      <c r="T614" s="3">
        <f>IF(B614&lt;='Input sheet(dashboard)'!$D$27*12,IF(D614=12,SUM(S603:S614),0),0)</f>
        <v>0</v>
      </c>
      <c r="U614" s="3">
        <f>IF(B614&lt;='Input sheet(dashboard)'!$D$27*12,IF(S614&lt;AD614,AD614-S614,0),0)</f>
        <v>0</v>
      </c>
      <c r="V614" s="3">
        <f>IF(B614&lt;='Input sheet(dashboard)'!$D$27*12,V613*(1+'Input sheet(dashboard)'!$E$25)+U614,0)</f>
        <v>0</v>
      </c>
      <c r="W614" s="17">
        <f>IF(B614&lt;='Input sheet(dashboard)'!$D$27*12,J614-I614+V614-N614,0)</f>
        <v>0</v>
      </c>
      <c r="X614" s="3">
        <f>IF(B614&lt;='Input sheet(dashboard)'!$D$27*12,'Input sheet(dashboard)'!$D$17*(1+'Input sheet(dashboard)'!$E$23)^(B614-1),0)</f>
        <v>0</v>
      </c>
      <c r="Y614" s="3"/>
      <c r="Z614" s="18"/>
      <c r="AA614" s="18"/>
      <c r="AB614" s="3">
        <f>IF(B614=1,'Input sheet(dashboard)'!$D$18*Calculations!X614,IF(Calculations!B614=12*'Input sheet(dashboard)'!$D$27,'Input sheet(dashboard)'!$D$18*-Calculations!X614,0))</f>
        <v>0</v>
      </c>
      <c r="AC614" s="3">
        <f>IF(B614&lt;='Input sheet(dashboard)'!$D$27*12,IF(MOD(B613,'Input sheet(dashboard)'!$D$19*12),0,'Input sheet(dashboard)'!$D$20*(1+'Input sheet(dashboard)'!$E$22)^Calculations!B614),0)</f>
        <v>0</v>
      </c>
      <c r="AD614" s="17">
        <f t="shared" si="84"/>
        <v>0</v>
      </c>
      <c r="AE614" s="17">
        <f>IF(B614&lt;='Input sheet(dashboard)'!$D$27*12,IF(D614=12,SUM(AD603:AD614),0),0)</f>
        <v>0</v>
      </c>
      <c r="AF614" s="17">
        <f t="shared" si="85"/>
        <v>0</v>
      </c>
      <c r="AG614" s="17">
        <f t="shared" si="86"/>
        <v>0</v>
      </c>
      <c r="AH614" s="3" t="str">
        <f>IF(B614&lt;='Input sheet(dashboard)'!$D$27*12,AH613*(1+'Input sheet(dashboard)'!$E$25)+AG614," ")</f>
        <v xml:space="preserve"> </v>
      </c>
    </row>
    <row r="615" spans="2:34">
      <c r="B615">
        <f t="shared" si="81"/>
        <v>612</v>
      </c>
      <c r="C615">
        <f t="shared" si="88"/>
        <v>51</v>
      </c>
      <c r="D615">
        <f t="shared" si="89"/>
        <v>12</v>
      </c>
      <c r="E615" s="15">
        <f>IF(C615&lt;='Input sheet(dashboard)'!$D$6, -PMT('Input sheet(dashboard)'!$E$5,'Input sheet(dashboard)'!$D$6*12,'Input sheet(dashboard)'!$D$3*'Input sheet(dashboard)'!$D$4),0)</f>
        <v>0</v>
      </c>
      <c r="F615" s="3">
        <f>I614*'Input sheet(dashboard)'!$E$5</f>
        <v>1.8816562039219481E-11</v>
      </c>
      <c r="G615" s="3">
        <f>IF(C615&lt;='Input sheet(dashboard)'!$D$6,E615*'Input sheet(dashboard)'!$D$7,0)</f>
        <v>0</v>
      </c>
      <c r="H615" s="3">
        <f t="shared" si="82"/>
        <v>-1.8816562039219481E-11</v>
      </c>
      <c r="I615" s="3">
        <f t="shared" si="83"/>
        <v>5.1842444566014212E-9</v>
      </c>
      <c r="J615" s="3">
        <f>IF(B615&lt;='Input sheet(dashboard)'!$D$27*12,'Input sheet(dashboard)'!$D$3*(1+'Input sheet(dashboard)'!$E$24)^B615,0)</f>
        <v>0</v>
      </c>
      <c r="K615" s="3">
        <f>IF(B615&lt;='Input sheet(dashboard)'!$D$27*12,J615*'Input sheet(dashboard)'!$E$8,0)</f>
        <v>0</v>
      </c>
      <c r="L615" s="3">
        <f>IF(B615&lt;='Input sheet(dashboard)'!$D$27*12,'Input sheet(dashboard)'!$D$9*(1+'Input sheet(dashboard)'!$E$22)^B615,0)</f>
        <v>0</v>
      </c>
      <c r="M615" s="3">
        <f>IF(B615=1,'Input sheet(dashboard)'!$D$3*'Input sheet(dashboard)'!$D$10,0)</f>
        <v>0</v>
      </c>
      <c r="N615" s="3">
        <f>IF(B615='Input sheet(dashboard)'!$D$27*12,J615*'Input sheet(dashboard)'!$D$11,0)</f>
        <v>0</v>
      </c>
      <c r="O615" s="3">
        <f>IF(SUM(F615:F626)&gt;=150000,150000/12*'Input sheet(dashboard)'!$D$28,SUM(F615:F626)/12*'Input sheet(dashboard)'!$D$28)</f>
        <v>2.8797260512184443E-12</v>
      </c>
      <c r="P615" s="3">
        <f t="shared" si="87"/>
        <v>3.6034561362033289E-11</v>
      </c>
      <c r="Q615" s="3">
        <f>IF(B615&lt;='Input sheet(dashboard)'!$D$27*12,'Input sheet(dashboard)'!$D$12/12,0)</f>
        <v>0</v>
      </c>
      <c r="R615" s="3">
        <f>IF(B615&lt;='Input sheet(dashboard)'!$D$27*12,('Input sheet(dashboard)'!$D$15/12)*(1+'Input sheet(dashboard)'!$E$22)^Calculations!B615,0)</f>
        <v>0</v>
      </c>
      <c r="S615" s="3">
        <f>IF(B615&lt;='Input sheet(dashboard)'!$D$27*12,(E615+G615+K615+L615-O615+M615+Q615+R615),0)</f>
        <v>0</v>
      </c>
      <c r="T615" s="3">
        <f>IF(B615&lt;='Input sheet(dashboard)'!$D$27*12,IF(D615=12,SUM(S604:S615),0),0)</f>
        <v>0</v>
      </c>
      <c r="U615" s="3">
        <f>IF(B615&lt;='Input sheet(dashboard)'!$D$27*12,IF(S615&lt;AD615,AD615-S615,0),0)</f>
        <v>0</v>
      </c>
      <c r="V615" s="3">
        <f>IF(B615&lt;='Input sheet(dashboard)'!$D$27*12,V614*(1+'Input sheet(dashboard)'!$E$25)+U615,0)</f>
        <v>0</v>
      </c>
      <c r="W615" s="17">
        <f>IF(B615&lt;='Input sheet(dashboard)'!$D$27*12,J615-I615+V615-N615,0)</f>
        <v>0</v>
      </c>
      <c r="X615" s="3">
        <f>IF(B615&lt;='Input sheet(dashboard)'!$D$27*12,'Input sheet(dashboard)'!$D$17*(1+'Input sheet(dashboard)'!$E$23)^(B615-1),0)</f>
        <v>0</v>
      </c>
      <c r="Y615" s="3"/>
      <c r="Z615" s="18"/>
      <c r="AA615" s="18"/>
      <c r="AB615" s="3">
        <f>IF(B615=1,'Input sheet(dashboard)'!$D$18*Calculations!X615,IF(Calculations!B615=12*'Input sheet(dashboard)'!$D$27,'Input sheet(dashboard)'!$D$18*-Calculations!X615,0))</f>
        <v>0</v>
      </c>
      <c r="AC615" s="3">
        <f>IF(B615&lt;='Input sheet(dashboard)'!$D$27*12,IF(MOD(B614,'Input sheet(dashboard)'!$D$19*12),0,'Input sheet(dashboard)'!$D$20*(1+'Input sheet(dashboard)'!$E$22)^Calculations!B615),0)</f>
        <v>0</v>
      </c>
      <c r="AD615" s="17">
        <f t="shared" si="84"/>
        <v>0</v>
      </c>
      <c r="AE615" s="17">
        <f>IF(B615&lt;='Input sheet(dashboard)'!$D$27*12,IF(D615=12,SUM(AD604:AD615),0),0)</f>
        <v>0</v>
      </c>
      <c r="AF615" s="17">
        <f t="shared" si="85"/>
        <v>0</v>
      </c>
      <c r="AG615" s="17">
        <f t="shared" si="86"/>
        <v>0</v>
      </c>
      <c r="AH615" s="3" t="str">
        <f>IF(B615&lt;='Input sheet(dashboard)'!$D$27*12,AH614*(1+'Input sheet(dashboard)'!$E$25)+AG615," ")</f>
        <v xml:space="preserve"> </v>
      </c>
    </row>
    <row r="616" spans="2:34">
      <c r="B616">
        <f t="shared" si="81"/>
        <v>613</v>
      </c>
      <c r="C616">
        <f t="shared" si="88"/>
        <v>52</v>
      </c>
      <c r="D616">
        <f t="shared" si="89"/>
        <v>1</v>
      </c>
      <c r="E616" s="15">
        <f>IF(C616&lt;='Input sheet(dashboard)'!$D$6, -PMT('Input sheet(dashboard)'!$E$5,'Input sheet(dashboard)'!$D$6*12,'Input sheet(dashboard)'!$D$3*'Input sheet(dashboard)'!$D$4),0)</f>
        <v>0</v>
      </c>
      <c r="F616" s="3">
        <f>I615*'Input sheet(dashboard)'!$E$5</f>
        <v>1.8885106797602137E-11</v>
      </c>
      <c r="G616" s="3">
        <f>IF(C616&lt;='Input sheet(dashboard)'!$D$6,E616*'Input sheet(dashboard)'!$D$7,0)</f>
        <v>0</v>
      </c>
      <c r="H616" s="3">
        <f t="shared" si="82"/>
        <v>-1.8885106797602137E-11</v>
      </c>
      <c r="I616" s="3">
        <f t="shared" si="83"/>
        <v>5.2031295633990234E-9</v>
      </c>
      <c r="J616" s="3">
        <f>IF(B616&lt;='Input sheet(dashboard)'!$D$27*12,'Input sheet(dashboard)'!$D$3*(1+'Input sheet(dashboard)'!$E$24)^B616,0)</f>
        <v>0</v>
      </c>
      <c r="K616" s="3">
        <f>IF(B616&lt;='Input sheet(dashboard)'!$D$27*12,J616*'Input sheet(dashboard)'!$E$8,0)</f>
        <v>0</v>
      </c>
      <c r="L616" s="3">
        <f>IF(B616&lt;='Input sheet(dashboard)'!$D$27*12,'Input sheet(dashboard)'!$D$9*(1+'Input sheet(dashboard)'!$E$22)^B616,0)</f>
        <v>0</v>
      </c>
      <c r="M616" s="3">
        <f>IF(B616=1,'Input sheet(dashboard)'!$D$3*'Input sheet(dashboard)'!$D$10,0)</f>
        <v>0</v>
      </c>
      <c r="N616" s="3">
        <f>IF(B616='Input sheet(dashboard)'!$D$27*12,J616*'Input sheet(dashboard)'!$D$11,0)</f>
        <v>0</v>
      </c>
      <c r="O616" s="3">
        <f>IF(SUM(F616:F627)&gt;=150000,150000/12*'Input sheet(dashboard)'!$D$28,SUM(F616:F627)/12*'Input sheet(dashboard)'!$D$28)</f>
        <v>2.890216284555309E-12</v>
      </c>
      <c r="P616" s="3">
        <f t="shared" si="87"/>
        <v>0</v>
      </c>
      <c r="Q616" s="3">
        <f>IF(B616&lt;='Input sheet(dashboard)'!$D$27*12,'Input sheet(dashboard)'!$D$12/12,0)</f>
        <v>0</v>
      </c>
      <c r="R616" s="3">
        <f>IF(B616&lt;='Input sheet(dashboard)'!$D$27*12,('Input sheet(dashboard)'!$D$15/12)*(1+'Input sheet(dashboard)'!$E$22)^Calculations!B616,0)</f>
        <v>0</v>
      </c>
      <c r="S616" s="3">
        <f>IF(B616&lt;='Input sheet(dashboard)'!$D$27*12,(E616+G616+K616+L616-O616+M616+Q616+R616),0)</f>
        <v>0</v>
      </c>
      <c r="T616" s="3">
        <f>IF(B616&lt;='Input sheet(dashboard)'!$D$27*12,IF(D616=12,SUM(S605:S616),0),0)</f>
        <v>0</v>
      </c>
      <c r="U616" s="3">
        <f>IF(B616&lt;='Input sheet(dashboard)'!$D$27*12,IF(S616&lt;AD616,AD616-S616,0),0)</f>
        <v>0</v>
      </c>
      <c r="V616" s="3">
        <f>IF(B616&lt;='Input sheet(dashboard)'!$D$27*12,V615*(1+'Input sheet(dashboard)'!$E$25)+U616,0)</f>
        <v>0</v>
      </c>
      <c r="W616" s="17">
        <f>IF(B616&lt;='Input sheet(dashboard)'!$D$27*12,J616-I616+V616-N616,0)</f>
        <v>0</v>
      </c>
      <c r="X616" s="3">
        <f>IF(B616&lt;='Input sheet(dashboard)'!$D$27*12,'Input sheet(dashboard)'!$D$17*(1+'Input sheet(dashboard)'!$E$23)^(B616-1),0)</f>
        <v>0</v>
      </c>
      <c r="Y616" s="3"/>
      <c r="Z616" s="18"/>
      <c r="AA616" s="18"/>
      <c r="AB616" s="3">
        <f>IF(B616=1,'Input sheet(dashboard)'!$D$18*Calculations!X616,IF(Calculations!B616=12*'Input sheet(dashboard)'!$D$27,'Input sheet(dashboard)'!$D$18*-Calculations!X616,0))</f>
        <v>0</v>
      </c>
      <c r="AC616" s="3">
        <f>IF(B616&lt;='Input sheet(dashboard)'!$D$27*12,IF(MOD(B615,'Input sheet(dashboard)'!$D$19*12),0,'Input sheet(dashboard)'!$D$20*(1+'Input sheet(dashboard)'!$E$22)^Calculations!B616),0)</f>
        <v>0</v>
      </c>
      <c r="AD616" s="17">
        <f t="shared" si="84"/>
        <v>0</v>
      </c>
      <c r="AE616" s="17">
        <f>IF(B616&lt;='Input sheet(dashboard)'!$D$27*12,IF(D616=12,SUM(AD605:AD616),0),0)</f>
        <v>0</v>
      </c>
      <c r="AF616" s="17">
        <f t="shared" si="85"/>
        <v>0</v>
      </c>
      <c r="AG616" s="17">
        <f t="shared" si="86"/>
        <v>0</v>
      </c>
      <c r="AH616" s="3" t="str">
        <f>IF(B616&lt;='Input sheet(dashboard)'!$D$27*12,AH615*(1+'Input sheet(dashboard)'!$E$25)+AG616," ")</f>
        <v xml:space="preserve"> </v>
      </c>
    </row>
    <row r="617" spans="2:34">
      <c r="B617">
        <f t="shared" si="81"/>
        <v>614</v>
      </c>
      <c r="C617">
        <f t="shared" si="88"/>
        <v>52</v>
      </c>
      <c r="D617">
        <f t="shared" si="89"/>
        <v>2</v>
      </c>
      <c r="E617" s="15">
        <f>IF(C617&lt;='Input sheet(dashboard)'!$D$6, -PMT('Input sheet(dashboard)'!$E$5,'Input sheet(dashboard)'!$D$6*12,'Input sheet(dashboard)'!$D$3*'Input sheet(dashboard)'!$D$4),0)</f>
        <v>0</v>
      </c>
      <c r="F617" s="3">
        <f>I616*'Input sheet(dashboard)'!$E$5</f>
        <v>1.8953901250051752E-11</v>
      </c>
      <c r="G617" s="3">
        <f>IF(C617&lt;='Input sheet(dashboard)'!$D$6,E617*'Input sheet(dashboard)'!$D$7,0)</f>
        <v>0</v>
      </c>
      <c r="H617" s="3">
        <f t="shared" si="82"/>
        <v>-1.8953901250051752E-11</v>
      </c>
      <c r="I617" s="3">
        <f t="shared" si="83"/>
        <v>5.2220834646490755E-9</v>
      </c>
      <c r="J617" s="3">
        <f>IF(B617&lt;='Input sheet(dashboard)'!$D$27*12,'Input sheet(dashboard)'!$D$3*(1+'Input sheet(dashboard)'!$E$24)^B617,0)</f>
        <v>0</v>
      </c>
      <c r="K617" s="3">
        <f>IF(B617&lt;='Input sheet(dashboard)'!$D$27*12,J617*'Input sheet(dashboard)'!$E$8,0)</f>
        <v>0</v>
      </c>
      <c r="L617" s="3">
        <f>IF(B617&lt;='Input sheet(dashboard)'!$D$27*12,'Input sheet(dashboard)'!$D$9*(1+'Input sheet(dashboard)'!$E$22)^B617,0)</f>
        <v>0</v>
      </c>
      <c r="M617" s="3">
        <f>IF(B617=1,'Input sheet(dashboard)'!$D$3*'Input sheet(dashboard)'!$D$10,0)</f>
        <v>0</v>
      </c>
      <c r="N617" s="3">
        <f>IF(B617='Input sheet(dashboard)'!$D$27*12,J617*'Input sheet(dashboard)'!$D$11,0)</f>
        <v>0</v>
      </c>
      <c r="O617" s="3">
        <f>IF(SUM(F617:F628)&gt;=150000,150000/12*'Input sheet(dashboard)'!$D$28,SUM(F617:F628)/12*'Input sheet(dashboard)'!$D$28)</f>
        <v>2.900744731594972E-12</v>
      </c>
      <c r="P617" s="3">
        <f t="shared" si="87"/>
        <v>0</v>
      </c>
      <c r="Q617" s="3">
        <f>IF(B617&lt;='Input sheet(dashboard)'!$D$27*12,'Input sheet(dashboard)'!$D$12/12,0)</f>
        <v>0</v>
      </c>
      <c r="R617" s="3">
        <f>IF(B617&lt;='Input sheet(dashboard)'!$D$27*12,('Input sheet(dashboard)'!$D$15/12)*(1+'Input sheet(dashboard)'!$E$22)^Calculations!B617,0)</f>
        <v>0</v>
      </c>
      <c r="S617" s="3">
        <f>IF(B617&lt;='Input sheet(dashboard)'!$D$27*12,(E617+G617+K617+L617-O617+M617+Q617+R617),0)</f>
        <v>0</v>
      </c>
      <c r="T617" s="3">
        <f>IF(B617&lt;='Input sheet(dashboard)'!$D$27*12,IF(D617=12,SUM(S606:S617),0),0)</f>
        <v>0</v>
      </c>
      <c r="U617" s="3">
        <f>IF(B617&lt;='Input sheet(dashboard)'!$D$27*12,IF(S617&lt;AD617,AD617-S617,0),0)</f>
        <v>0</v>
      </c>
      <c r="V617" s="3">
        <f>IF(B617&lt;='Input sheet(dashboard)'!$D$27*12,V616*(1+'Input sheet(dashboard)'!$E$25)+U617,0)</f>
        <v>0</v>
      </c>
      <c r="W617" s="17">
        <f>IF(B617&lt;='Input sheet(dashboard)'!$D$27*12,J617-I617+V617-N617,0)</f>
        <v>0</v>
      </c>
      <c r="X617" s="3">
        <f>IF(B617&lt;='Input sheet(dashboard)'!$D$27*12,'Input sheet(dashboard)'!$D$17*(1+'Input sheet(dashboard)'!$E$23)^(B617-1),0)</f>
        <v>0</v>
      </c>
      <c r="Y617" s="3"/>
      <c r="Z617" s="18"/>
      <c r="AA617" s="18"/>
      <c r="AB617" s="3">
        <f>IF(B617=1,'Input sheet(dashboard)'!$D$18*Calculations!X617,IF(Calculations!B617=12*'Input sheet(dashboard)'!$D$27,'Input sheet(dashboard)'!$D$18*-Calculations!X617,0))</f>
        <v>0</v>
      </c>
      <c r="AC617" s="3">
        <f>IF(B617&lt;='Input sheet(dashboard)'!$D$27*12,IF(MOD(B616,'Input sheet(dashboard)'!$D$19*12),0,'Input sheet(dashboard)'!$D$20*(1+'Input sheet(dashboard)'!$E$22)^Calculations!B617),0)</f>
        <v>0</v>
      </c>
      <c r="AD617" s="17">
        <f t="shared" si="84"/>
        <v>0</v>
      </c>
      <c r="AE617" s="17">
        <f>IF(B617&lt;='Input sheet(dashboard)'!$D$27*12,IF(D617=12,SUM(AD606:AD617),0),0)</f>
        <v>0</v>
      </c>
      <c r="AF617" s="17">
        <f t="shared" si="85"/>
        <v>0</v>
      </c>
      <c r="AG617" s="17">
        <f t="shared" si="86"/>
        <v>0</v>
      </c>
      <c r="AH617" s="3" t="str">
        <f>IF(B617&lt;='Input sheet(dashboard)'!$D$27*12,AH616*(1+'Input sheet(dashboard)'!$E$25)+AG617," ")</f>
        <v xml:space="preserve"> </v>
      </c>
    </row>
    <row r="618" spans="2:34">
      <c r="B618">
        <f t="shared" si="81"/>
        <v>615</v>
      </c>
      <c r="C618">
        <f t="shared" si="88"/>
        <v>52</v>
      </c>
      <c r="D618">
        <f t="shared" si="89"/>
        <v>3</v>
      </c>
      <c r="E618" s="15">
        <f>IF(C618&lt;='Input sheet(dashboard)'!$D$6, -PMT('Input sheet(dashboard)'!$E$5,'Input sheet(dashboard)'!$D$6*12,'Input sheet(dashboard)'!$D$3*'Input sheet(dashboard)'!$D$4),0)</f>
        <v>0</v>
      </c>
      <c r="F618" s="3">
        <f>I617*'Input sheet(dashboard)'!$E$5</f>
        <v>1.9022946306151035E-11</v>
      </c>
      <c r="G618" s="3">
        <f>IF(C618&lt;='Input sheet(dashboard)'!$D$6,E618*'Input sheet(dashboard)'!$D$7,0)</f>
        <v>0</v>
      </c>
      <c r="H618" s="3">
        <f t="shared" si="82"/>
        <v>-1.9022946306151035E-11</v>
      </c>
      <c r="I618" s="3">
        <f t="shared" si="83"/>
        <v>5.2411064109552268E-9</v>
      </c>
      <c r="J618" s="3">
        <f>IF(B618&lt;='Input sheet(dashboard)'!$D$27*12,'Input sheet(dashboard)'!$D$3*(1+'Input sheet(dashboard)'!$E$24)^B618,0)</f>
        <v>0</v>
      </c>
      <c r="K618" s="3">
        <f>IF(B618&lt;='Input sheet(dashboard)'!$D$27*12,J618*'Input sheet(dashboard)'!$E$8,0)</f>
        <v>0</v>
      </c>
      <c r="L618" s="3">
        <f>IF(B618&lt;='Input sheet(dashboard)'!$D$27*12,'Input sheet(dashboard)'!$D$9*(1+'Input sheet(dashboard)'!$E$22)^B618,0)</f>
        <v>0</v>
      </c>
      <c r="M618" s="3">
        <f>IF(B618=1,'Input sheet(dashboard)'!$D$3*'Input sheet(dashboard)'!$D$10,0)</f>
        <v>0</v>
      </c>
      <c r="N618" s="3">
        <f>IF(B618='Input sheet(dashboard)'!$D$27*12,J618*'Input sheet(dashboard)'!$D$11,0)</f>
        <v>0</v>
      </c>
      <c r="O618" s="3">
        <f>IF(SUM(F618:F629)&gt;=150000,150000/12*'Input sheet(dashboard)'!$D$28,SUM(F618:F629)/12*'Input sheet(dashboard)'!$D$28)</f>
        <v>2.9113115315418759E-12</v>
      </c>
      <c r="P618" s="3">
        <f t="shared" si="87"/>
        <v>0</v>
      </c>
      <c r="Q618" s="3">
        <f>IF(B618&lt;='Input sheet(dashboard)'!$D$27*12,'Input sheet(dashboard)'!$D$12/12,0)</f>
        <v>0</v>
      </c>
      <c r="R618" s="3">
        <f>IF(B618&lt;='Input sheet(dashboard)'!$D$27*12,('Input sheet(dashboard)'!$D$15/12)*(1+'Input sheet(dashboard)'!$E$22)^Calculations!B618,0)</f>
        <v>0</v>
      </c>
      <c r="S618" s="3">
        <f>IF(B618&lt;='Input sheet(dashboard)'!$D$27*12,(E618+G618+K618+L618-O618+M618+Q618+R618),0)</f>
        <v>0</v>
      </c>
      <c r="T618" s="3">
        <f>IF(B618&lt;='Input sheet(dashboard)'!$D$27*12,IF(D618=12,SUM(S607:S618),0),0)</f>
        <v>0</v>
      </c>
      <c r="U618" s="3">
        <f>IF(B618&lt;='Input sheet(dashboard)'!$D$27*12,IF(S618&lt;AD618,AD618-S618,0),0)</f>
        <v>0</v>
      </c>
      <c r="V618" s="3">
        <f>IF(B618&lt;='Input sheet(dashboard)'!$D$27*12,V617*(1+'Input sheet(dashboard)'!$E$25)+U618,0)</f>
        <v>0</v>
      </c>
      <c r="W618" s="17">
        <f>IF(B618&lt;='Input sheet(dashboard)'!$D$27*12,J618-I618+V618-N618,0)</f>
        <v>0</v>
      </c>
      <c r="X618" s="3">
        <f>IF(B618&lt;='Input sheet(dashboard)'!$D$27*12,'Input sheet(dashboard)'!$D$17*(1+'Input sheet(dashboard)'!$E$23)^(B618-1),0)</f>
        <v>0</v>
      </c>
      <c r="Y618" s="3"/>
      <c r="Z618" s="18"/>
      <c r="AA618" s="18"/>
      <c r="AB618" s="3">
        <f>IF(B618=1,'Input sheet(dashboard)'!$D$18*Calculations!X618,IF(Calculations!B618=12*'Input sheet(dashboard)'!$D$27,'Input sheet(dashboard)'!$D$18*-Calculations!X618,0))</f>
        <v>0</v>
      </c>
      <c r="AC618" s="3">
        <f>IF(B618&lt;='Input sheet(dashboard)'!$D$27*12,IF(MOD(B617,'Input sheet(dashboard)'!$D$19*12),0,'Input sheet(dashboard)'!$D$20*(1+'Input sheet(dashboard)'!$E$22)^Calculations!B618),0)</f>
        <v>0</v>
      </c>
      <c r="AD618" s="17">
        <f t="shared" si="84"/>
        <v>0</v>
      </c>
      <c r="AE618" s="17">
        <f>IF(B618&lt;='Input sheet(dashboard)'!$D$27*12,IF(D618=12,SUM(AD607:AD618),0),0)</f>
        <v>0</v>
      </c>
      <c r="AF618" s="17">
        <f t="shared" si="85"/>
        <v>0</v>
      </c>
      <c r="AG618" s="17">
        <f t="shared" si="86"/>
        <v>0</v>
      </c>
      <c r="AH618" s="3" t="str">
        <f>IF(B618&lt;='Input sheet(dashboard)'!$D$27*12,AH617*(1+'Input sheet(dashboard)'!$E$25)+AG618," ")</f>
        <v xml:space="preserve"> </v>
      </c>
    </row>
    <row r="619" spans="2:34">
      <c r="B619">
        <f t="shared" si="81"/>
        <v>616</v>
      </c>
      <c r="C619">
        <f t="shared" si="88"/>
        <v>52</v>
      </c>
      <c r="D619">
        <f t="shared" si="89"/>
        <v>4</v>
      </c>
      <c r="E619" s="15">
        <f>IF(C619&lt;='Input sheet(dashboard)'!$D$6, -PMT('Input sheet(dashboard)'!$E$5,'Input sheet(dashboard)'!$D$6*12,'Input sheet(dashboard)'!$D$3*'Input sheet(dashboard)'!$D$4),0)</f>
        <v>0</v>
      </c>
      <c r="F619" s="3">
        <f>I618*'Input sheet(dashboard)'!$E$5</f>
        <v>1.9092242878796111E-11</v>
      </c>
      <c r="G619" s="3">
        <f>IF(C619&lt;='Input sheet(dashboard)'!$D$6,E619*'Input sheet(dashboard)'!$D$7,0)</f>
        <v>0</v>
      </c>
      <c r="H619" s="3">
        <f t="shared" si="82"/>
        <v>-1.9092242878796111E-11</v>
      </c>
      <c r="I619" s="3">
        <f t="shared" si="83"/>
        <v>5.2601986538340227E-9</v>
      </c>
      <c r="J619" s="3">
        <f>IF(B619&lt;='Input sheet(dashboard)'!$D$27*12,'Input sheet(dashboard)'!$D$3*(1+'Input sheet(dashboard)'!$E$24)^B619,0)</f>
        <v>0</v>
      </c>
      <c r="K619" s="3">
        <f>IF(B619&lt;='Input sheet(dashboard)'!$D$27*12,J619*'Input sheet(dashboard)'!$E$8,0)</f>
        <v>0</v>
      </c>
      <c r="L619" s="3">
        <f>IF(B619&lt;='Input sheet(dashboard)'!$D$27*12,'Input sheet(dashboard)'!$D$9*(1+'Input sheet(dashboard)'!$E$22)^B619,0)</f>
        <v>0</v>
      </c>
      <c r="M619" s="3">
        <f>IF(B619=1,'Input sheet(dashboard)'!$D$3*'Input sheet(dashboard)'!$D$10,0)</f>
        <v>0</v>
      </c>
      <c r="N619" s="3">
        <f>IF(B619='Input sheet(dashboard)'!$D$27*12,J619*'Input sheet(dashboard)'!$D$11,0)</f>
        <v>0</v>
      </c>
      <c r="O619" s="3">
        <f>IF(SUM(F619:F630)&gt;=150000,150000/12*'Input sheet(dashboard)'!$D$28,SUM(F619:F630)/12*'Input sheet(dashboard)'!$D$28)</f>
        <v>2.9219168241075544E-12</v>
      </c>
      <c r="P619" s="3">
        <f t="shared" si="87"/>
        <v>0</v>
      </c>
      <c r="Q619" s="3">
        <f>IF(B619&lt;='Input sheet(dashboard)'!$D$27*12,'Input sheet(dashboard)'!$D$12/12,0)</f>
        <v>0</v>
      </c>
      <c r="R619" s="3">
        <f>IF(B619&lt;='Input sheet(dashboard)'!$D$27*12,('Input sheet(dashboard)'!$D$15/12)*(1+'Input sheet(dashboard)'!$E$22)^Calculations!B619,0)</f>
        <v>0</v>
      </c>
      <c r="S619" s="3">
        <f>IF(B619&lt;='Input sheet(dashboard)'!$D$27*12,(E619+G619+K619+L619-O619+M619+Q619+R619),0)</f>
        <v>0</v>
      </c>
      <c r="T619" s="3">
        <f>IF(B619&lt;='Input sheet(dashboard)'!$D$27*12,IF(D619=12,SUM(S608:S619),0),0)</f>
        <v>0</v>
      </c>
      <c r="U619" s="3">
        <f>IF(B619&lt;='Input sheet(dashboard)'!$D$27*12,IF(S619&lt;AD619,AD619-S619,0),0)</f>
        <v>0</v>
      </c>
      <c r="V619" s="3">
        <f>IF(B619&lt;='Input sheet(dashboard)'!$D$27*12,V618*(1+'Input sheet(dashboard)'!$E$25)+U619,0)</f>
        <v>0</v>
      </c>
      <c r="W619" s="17">
        <f>IF(B619&lt;='Input sheet(dashboard)'!$D$27*12,J619-I619+V619-N619,0)</f>
        <v>0</v>
      </c>
      <c r="X619" s="3">
        <f>IF(B619&lt;='Input sheet(dashboard)'!$D$27*12,'Input sheet(dashboard)'!$D$17*(1+'Input sheet(dashboard)'!$E$23)^(B619-1),0)</f>
        <v>0</v>
      </c>
      <c r="Y619" s="3"/>
      <c r="Z619" s="18"/>
      <c r="AA619" s="18"/>
      <c r="AB619" s="3">
        <f>IF(B619=1,'Input sheet(dashboard)'!$D$18*Calculations!X619,IF(Calculations!B619=12*'Input sheet(dashboard)'!$D$27,'Input sheet(dashboard)'!$D$18*-Calculations!X619,0))</f>
        <v>0</v>
      </c>
      <c r="AC619" s="3">
        <f>IF(B619&lt;='Input sheet(dashboard)'!$D$27*12,IF(MOD(B618,'Input sheet(dashboard)'!$D$19*12),0,'Input sheet(dashboard)'!$D$20*(1+'Input sheet(dashboard)'!$E$22)^Calculations!B619),0)</f>
        <v>0</v>
      </c>
      <c r="AD619" s="17">
        <f t="shared" si="84"/>
        <v>0</v>
      </c>
      <c r="AE619" s="17">
        <f>IF(B619&lt;='Input sheet(dashboard)'!$D$27*12,IF(D619=12,SUM(AD608:AD619),0),0)</f>
        <v>0</v>
      </c>
      <c r="AF619" s="17">
        <f t="shared" si="85"/>
        <v>0</v>
      </c>
      <c r="AG619" s="17">
        <f t="shared" si="86"/>
        <v>0</v>
      </c>
      <c r="AH619" s="3" t="str">
        <f>IF(B619&lt;='Input sheet(dashboard)'!$D$27*12,AH618*(1+'Input sheet(dashboard)'!$E$25)+AG619," ")</f>
        <v xml:space="preserve"> </v>
      </c>
    </row>
    <row r="620" spans="2:34">
      <c r="B620">
        <f t="shared" si="81"/>
        <v>617</v>
      </c>
      <c r="C620">
        <f t="shared" si="88"/>
        <v>52</v>
      </c>
      <c r="D620">
        <f t="shared" si="89"/>
        <v>5</v>
      </c>
      <c r="E620" s="15">
        <f>IF(C620&lt;='Input sheet(dashboard)'!$D$6, -PMT('Input sheet(dashboard)'!$E$5,'Input sheet(dashboard)'!$D$6*12,'Input sheet(dashboard)'!$D$3*'Input sheet(dashboard)'!$D$4),0)</f>
        <v>0</v>
      </c>
      <c r="F620" s="3">
        <f>I619*'Input sheet(dashboard)'!$E$5</f>
        <v>1.9161791884208597E-11</v>
      </c>
      <c r="G620" s="3">
        <f>IF(C620&lt;='Input sheet(dashboard)'!$D$6,E620*'Input sheet(dashboard)'!$D$7,0)</f>
        <v>0</v>
      </c>
      <c r="H620" s="3">
        <f t="shared" si="82"/>
        <v>-1.9161791884208597E-11</v>
      </c>
      <c r="I620" s="3">
        <f t="shared" si="83"/>
        <v>5.2793604457182315E-9</v>
      </c>
      <c r="J620" s="3">
        <f>IF(B620&lt;='Input sheet(dashboard)'!$D$27*12,'Input sheet(dashboard)'!$D$3*(1+'Input sheet(dashboard)'!$E$24)^B620,0)</f>
        <v>0</v>
      </c>
      <c r="K620" s="3">
        <f>IF(B620&lt;='Input sheet(dashboard)'!$D$27*12,J620*'Input sheet(dashboard)'!$E$8,0)</f>
        <v>0</v>
      </c>
      <c r="L620" s="3">
        <f>IF(B620&lt;='Input sheet(dashboard)'!$D$27*12,'Input sheet(dashboard)'!$D$9*(1+'Input sheet(dashboard)'!$E$22)^B620,0)</f>
        <v>0</v>
      </c>
      <c r="M620" s="3">
        <f>IF(B620=1,'Input sheet(dashboard)'!$D$3*'Input sheet(dashboard)'!$D$10,0)</f>
        <v>0</v>
      </c>
      <c r="N620" s="3">
        <f>IF(B620='Input sheet(dashboard)'!$D$27*12,J620*'Input sheet(dashboard)'!$D$11,0)</f>
        <v>0</v>
      </c>
      <c r="O620" s="3">
        <f>IF(SUM(F620:F631)&gt;=150000,150000/12*'Input sheet(dashboard)'!$D$28,SUM(F620:F631)/12*'Input sheet(dashboard)'!$D$28)</f>
        <v>2.9325607495124843E-12</v>
      </c>
      <c r="P620" s="3">
        <f t="shared" si="87"/>
        <v>0</v>
      </c>
      <c r="Q620" s="3">
        <f>IF(B620&lt;='Input sheet(dashboard)'!$D$27*12,'Input sheet(dashboard)'!$D$12/12,0)</f>
        <v>0</v>
      </c>
      <c r="R620" s="3">
        <f>IF(B620&lt;='Input sheet(dashboard)'!$D$27*12,('Input sheet(dashboard)'!$D$15/12)*(1+'Input sheet(dashboard)'!$E$22)^Calculations!B620,0)</f>
        <v>0</v>
      </c>
      <c r="S620" s="3">
        <f>IF(B620&lt;='Input sheet(dashboard)'!$D$27*12,(E620+G620+K620+L620-O620+M620+Q620+R620),0)</f>
        <v>0</v>
      </c>
      <c r="T620" s="3">
        <f>IF(B620&lt;='Input sheet(dashboard)'!$D$27*12,IF(D620=12,SUM(S609:S620),0),0)</f>
        <v>0</v>
      </c>
      <c r="U620" s="3">
        <f>IF(B620&lt;='Input sheet(dashboard)'!$D$27*12,IF(S620&lt;AD620,AD620-S620,0),0)</f>
        <v>0</v>
      </c>
      <c r="V620" s="3">
        <f>IF(B620&lt;='Input sheet(dashboard)'!$D$27*12,V619*(1+'Input sheet(dashboard)'!$E$25)+U620,0)</f>
        <v>0</v>
      </c>
      <c r="W620" s="17">
        <f>IF(B620&lt;='Input sheet(dashboard)'!$D$27*12,J620-I620+V620-N620,0)</f>
        <v>0</v>
      </c>
      <c r="X620" s="3">
        <f>IF(B620&lt;='Input sheet(dashboard)'!$D$27*12,'Input sheet(dashboard)'!$D$17*(1+'Input sheet(dashboard)'!$E$23)^(B620-1),0)</f>
        <v>0</v>
      </c>
      <c r="Y620" s="3"/>
      <c r="Z620" s="18"/>
      <c r="AA620" s="18"/>
      <c r="AB620" s="3">
        <f>IF(B620=1,'Input sheet(dashboard)'!$D$18*Calculations!X620,IF(Calculations!B620=12*'Input sheet(dashboard)'!$D$27,'Input sheet(dashboard)'!$D$18*-Calculations!X620,0))</f>
        <v>0</v>
      </c>
      <c r="AC620" s="3">
        <f>IF(B620&lt;='Input sheet(dashboard)'!$D$27*12,IF(MOD(B619,'Input sheet(dashboard)'!$D$19*12),0,'Input sheet(dashboard)'!$D$20*(1+'Input sheet(dashboard)'!$E$22)^Calculations!B620),0)</f>
        <v>0</v>
      </c>
      <c r="AD620" s="17">
        <f t="shared" si="84"/>
        <v>0</v>
      </c>
      <c r="AE620" s="17">
        <f>IF(B620&lt;='Input sheet(dashboard)'!$D$27*12,IF(D620=12,SUM(AD609:AD620),0),0)</f>
        <v>0</v>
      </c>
      <c r="AF620" s="17">
        <f t="shared" si="85"/>
        <v>0</v>
      </c>
      <c r="AG620" s="17">
        <f t="shared" si="86"/>
        <v>0</v>
      </c>
      <c r="AH620" s="3" t="str">
        <f>IF(B620&lt;='Input sheet(dashboard)'!$D$27*12,AH619*(1+'Input sheet(dashboard)'!$E$25)+AG620," ")</f>
        <v xml:space="preserve"> </v>
      </c>
    </row>
    <row r="621" spans="2:34">
      <c r="B621">
        <f t="shared" si="81"/>
        <v>618</v>
      </c>
      <c r="C621">
        <f t="shared" si="88"/>
        <v>52</v>
      </c>
      <c r="D621">
        <f t="shared" si="89"/>
        <v>6</v>
      </c>
      <c r="E621" s="15">
        <f>IF(C621&lt;='Input sheet(dashboard)'!$D$6, -PMT('Input sheet(dashboard)'!$E$5,'Input sheet(dashboard)'!$D$6*12,'Input sheet(dashboard)'!$D$3*'Input sheet(dashboard)'!$D$4),0)</f>
        <v>0</v>
      </c>
      <c r="F621" s="3">
        <f>I620*'Input sheet(dashboard)'!$E$5</f>
        <v>1.9231594241947709E-11</v>
      </c>
      <c r="G621" s="3">
        <f>IF(C621&lt;='Input sheet(dashboard)'!$D$6,E621*'Input sheet(dashboard)'!$D$7,0)</f>
        <v>0</v>
      </c>
      <c r="H621" s="3">
        <f t="shared" si="82"/>
        <v>-1.9231594241947709E-11</v>
      </c>
      <c r="I621" s="3">
        <f t="shared" si="83"/>
        <v>5.2985920399601795E-9</v>
      </c>
      <c r="J621" s="3">
        <f>IF(B621&lt;='Input sheet(dashboard)'!$D$27*12,'Input sheet(dashboard)'!$D$3*(1+'Input sheet(dashboard)'!$E$24)^B621,0)</f>
        <v>0</v>
      </c>
      <c r="K621" s="3">
        <f>IF(B621&lt;='Input sheet(dashboard)'!$D$27*12,J621*'Input sheet(dashboard)'!$E$8,0)</f>
        <v>0</v>
      </c>
      <c r="L621" s="3">
        <f>IF(B621&lt;='Input sheet(dashboard)'!$D$27*12,'Input sheet(dashboard)'!$D$9*(1+'Input sheet(dashboard)'!$E$22)^B621,0)</f>
        <v>0</v>
      </c>
      <c r="M621" s="3">
        <f>IF(B621=1,'Input sheet(dashboard)'!$D$3*'Input sheet(dashboard)'!$D$10,0)</f>
        <v>0</v>
      </c>
      <c r="N621" s="3">
        <f>IF(B621='Input sheet(dashboard)'!$D$27*12,J621*'Input sheet(dashboard)'!$D$11,0)</f>
        <v>0</v>
      </c>
      <c r="O621" s="3">
        <f>IF(SUM(F621:F632)&gt;=150000,150000/12*'Input sheet(dashboard)'!$D$28,SUM(F621:F632)/12*'Input sheet(dashboard)'!$D$28)</f>
        <v>2.9432434484879311E-12</v>
      </c>
      <c r="P621" s="3">
        <f t="shared" si="87"/>
        <v>0</v>
      </c>
      <c r="Q621" s="3">
        <f>IF(B621&lt;='Input sheet(dashboard)'!$D$27*12,'Input sheet(dashboard)'!$D$12/12,0)</f>
        <v>0</v>
      </c>
      <c r="R621" s="3">
        <f>IF(B621&lt;='Input sheet(dashboard)'!$D$27*12,('Input sheet(dashboard)'!$D$15/12)*(1+'Input sheet(dashboard)'!$E$22)^Calculations!B621,0)</f>
        <v>0</v>
      </c>
      <c r="S621" s="3">
        <f>IF(B621&lt;='Input sheet(dashboard)'!$D$27*12,(E621+G621+K621+L621-O621+M621+Q621+R621),0)</f>
        <v>0</v>
      </c>
      <c r="T621" s="3">
        <f>IF(B621&lt;='Input sheet(dashboard)'!$D$27*12,IF(D621=12,SUM(S610:S621),0),0)</f>
        <v>0</v>
      </c>
      <c r="U621" s="3">
        <f>IF(B621&lt;='Input sheet(dashboard)'!$D$27*12,IF(S621&lt;AD621,AD621-S621,0),0)</f>
        <v>0</v>
      </c>
      <c r="V621" s="3">
        <f>IF(B621&lt;='Input sheet(dashboard)'!$D$27*12,V620*(1+'Input sheet(dashboard)'!$E$25)+U621,0)</f>
        <v>0</v>
      </c>
      <c r="W621" s="17">
        <f>IF(B621&lt;='Input sheet(dashboard)'!$D$27*12,J621-I621+V621-N621,0)</f>
        <v>0</v>
      </c>
      <c r="X621" s="3">
        <f>IF(B621&lt;='Input sheet(dashboard)'!$D$27*12,'Input sheet(dashboard)'!$D$17*(1+'Input sheet(dashboard)'!$E$23)^(B621-1),0)</f>
        <v>0</v>
      </c>
      <c r="Y621" s="3"/>
      <c r="Z621" s="18"/>
      <c r="AA621" s="18"/>
      <c r="AB621" s="3">
        <f>IF(B621=1,'Input sheet(dashboard)'!$D$18*Calculations!X621,IF(Calculations!B621=12*'Input sheet(dashboard)'!$D$27,'Input sheet(dashboard)'!$D$18*-Calculations!X621,0))</f>
        <v>0</v>
      </c>
      <c r="AC621" s="3">
        <f>IF(B621&lt;='Input sheet(dashboard)'!$D$27*12,IF(MOD(B620,'Input sheet(dashboard)'!$D$19*12),0,'Input sheet(dashboard)'!$D$20*(1+'Input sheet(dashboard)'!$E$22)^Calculations!B621),0)</f>
        <v>0</v>
      </c>
      <c r="AD621" s="17">
        <f t="shared" si="84"/>
        <v>0</v>
      </c>
      <c r="AE621" s="17">
        <f>IF(B621&lt;='Input sheet(dashboard)'!$D$27*12,IF(D621=12,SUM(AD610:AD621),0),0)</f>
        <v>0</v>
      </c>
      <c r="AF621" s="17">
        <f t="shared" si="85"/>
        <v>0</v>
      </c>
      <c r="AG621" s="17">
        <f t="shared" si="86"/>
        <v>0</v>
      </c>
      <c r="AH621" s="3" t="str">
        <f>IF(B621&lt;='Input sheet(dashboard)'!$D$27*12,AH620*(1+'Input sheet(dashboard)'!$E$25)+AG621," ")</f>
        <v xml:space="preserve"> </v>
      </c>
    </row>
    <row r="622" spans="2:34">
      <c r="B622">
        <f t="shared" si="81"/>
        <v>619</v>
      </c>
      <c r="C622">
        <f t="shared" si="88"/>
        <v>52</v>
      </c>
      <c r="D622">
        <f t="shared" si="89"/>
        <v>7</v>
      </c>
      <c r="E622" s="15">
        <f>IF(C622&lt;='Input sheet(dashboard)'!$D$6, -PMT('Input sheet(dashboard)'!$E$5,'Input sheet(dashboard)'!$D$6*12,'Input sheet(dashboard)'!$D$3*'Input sheet(dashboard)'!$D$4),0)</f>
        <v>0</v>
      </c>
      <c r="F622" s="3">
        <f>I621*'Input sheet(dashboard)'!$E$5</f>
        <v>1.9301650874922427E-11</v>
      </c>
      <c r="G622" s="3">
        <f>IF(C622&lt;='Input sheet(dashboard)'!$D$6,E622*'Input sheet(dashboard)'!$D$7,0)</f>
        <v>0</v>
      </c>
      <c r="H622" s="3">
        <f t="shared" si="82"/>
        <v>-1.9301650874922427E-11</v>
      </c>
      <c r="I622" s="3">
        <f t="shared" si="83"/>
        <v>5.3178936908351019E-9</v>
      </c>
      <c r="J622" s="3">
        <f>IF(B622&lt;='Input sheet(dashboard)'!$D$27*12,'Input sheet(dashboard)'!$D$3*(1+'Input sheet(dashboard)'!$E$24)^B622,0)</f>
        <v>0</v>
      </c>
      <c r="K622" s="3">
        <f>IF(B622&lt;='Input sheet(dashboard)'!$D$27*12,J622*'Input sheet(dashboard)'!$E$8,0)</f>
        <v>0</v>
      </c>
      <c r="L622" s="3">
        <f>IF(B622&lt;='Input sheet(dashboard)'!$D$27*12,'Input sheet(dashboard)'!$D$9*(1+'Input sheet(dashboard)'!$E$22)^B622,0)</f>
        <v>0</v>
      </c>
      <c r="M622" s="3">
        <f>IF(B622=1,'Input sheet(dashboard)'!$D$3*'Input sheet(dashboard)'!$D$10,0)</f>
        <v>0</v>
      </c>
      <c r="N622" s="3">
        <f>IF(B622='Input sheet(dashboard)'!$D$27*12,J622*'Input sheet(dashboard)'!$D$11,0)</f>
        <v>0</v>
      </c>
      <c r="O622" s="3">
        <f>IF(SUM(F622:F633)&gt;=150000,150000/12*'Input sheet(dashboard)'!$D$28,SUM(F622:F633)/12*'Input sheet(dashboard)'!$D$28)</f>
        <v>2.9539650622778161E-12</v>
      </c>
      <c r="P622" s="3">
        <f t="shared" si="87"/>
        <v>0</v>
      </c>
      <c r="Q622" s="3">
        <f>IF(B622&lt;='Input sheet(dashboard)'!$D$27*12,'Input sheet(dashboard)'!$D$12/12,0)</f>
        <v>0</v>
      </c>
      <c r="R622" s="3">
        <f>IF(B622&lt;='Input sheet(dashboard)'!$D$27*12,('Input sheet(dashboard)'!$D$15/12)*(1+'Input sheet(dashboard)'!$E$22)^Calculations!B622,0)</f>
        <v>0</v>
      </c>
      <c r="S622" s="3">
        <f>IF(B622&lt;='Input sheet(dashboard)'!$D$27*12,(E622+G622+K622+L622-O622+M622+Q622+R622),0)</f>
        <v>0</v>
      </c>
      <c r="T622" s="3">
        <f>IF(B622&lt;='Input sheet(dashboard)'!$D$27*12,IF(D622=12,SUM(S611:S622),0),0)</f>
        <v>0</v>
      </c>
      <c r="U622" s="3">
        <f>IF(B622&lt;='Input sheet(dashboard)'!$D$27*12,IF(S622&lt;AD622,AD622-S622,0),0)</f>
        <v>0</v>
      </c>
      <c r="V622" s="3">
        <f>IF(B622&lt;='Input sheet(dashboard)'!$D$27*12,V621*(1+'Input sheet(dashboard)'!$E$25)+U622,0)</f>
        <v>0</v>
      </c>
      <c r="W622" s="17">
        <f>IF(B622&lt;='Input sheet(dashboard)'!$D$27*12,J622-I622+V622-N622,0)</f>
        <v>0</v>
      </c>
      <c r="X622" s="3">
        <f>IF(B622&lt;='Input sheet(dashboard)'!$D$27*12,'Input sheet(dashboard)'!$D$17*(1+'Input sheet(dashboard)'!$E$23)^(B622-1),0)</f>
        <v>0</v>
      </c>
      <c r="Y622" s="3"/>
      <c r="Z622" s="18"/>
      <c r="AA622" s="18"/>
      <c r="AB622" s="3">
        <f>IF(B622=1,'Input sheet(dashboard)'!$D$18*Calculations!X622,IF(Calculations!B622=12*'Input sheet(dashboard)'!$D$27,'Input sheet(dashboard)'!$D$18*-Calculations!X622,0))</f>
        <v>0</v>
      </c>
      <c r="AC622" s="3">
        <f>IF(B622&lt;='Input sheet(dashboard)'!$D$27*12,IF(MOD(B621,'Input sheet(dashboard)'!$D$19*12),0,'Input sheet(dashboard)'!$D$20*(1+'Input sheet(dashboard)'!$E$22)^Calculations!B622),0)</f>
        <v>0</v>
      </c>
      <c r="AD622" s="17">
        <f t="shared" si="84"/>
        <v>0</v>
      </c>
      <c r="AE622" s="17">
        <f>IF(B622&lt;='Input sheet(dashboard)'!$D$27*12,IF(D622=12,SUM(AD611:AD622),0),0)</f>
        <v>0</v>
      </c>
      <c r="AF622" s="17">
        <f t="shared" si="85"/>
        <v>0</v>
      </c>
      <c r="AG622" s="17">
        <f t="shared" si="86"/>
        <v>0</v>
      </c>
      <c r="AH622" s="3" t="str">
        <f>IF(B622&lt;='Input sheet(dashboard)'!$D$27*12,AH621*(1+'Input sheet(dashboard)'!$E$25)+AG622," ")</f>
        <v xml:space="preserve"> </v>
      </c>
    </row>
    <row r="623" spans="2:34">
      <c r="B623">
        <f t="shared" si="81"/>
        <v>620</v>
      </c>
      <c r="C623">
        <f t="shared" si="88"/>
        <v>52</v>
      </c>
      <c r="D623">
        <f t="shared" si="89"/>
        <v>8</v>
      </c>
      <c r="E623" s="15">
        <f>IF(C623&lt;='Input sheet(dashboard)'!$D$6, -PMT('Input sheet(dashboard)'!$E$5,'Input sheet(dashboard)'!$D$6*12,'Input sheet(dashboard)'!$D$3*'Input sheet(dashboard)'!$D$4),0)</f>
        <v>0</v>
      </c>
      <c r="F623" s="3">
        <f>I622*'Input sheet(dashboard)'!$E$5</f>
        <v>1.9371962709403685E-11</v>
      </c>
      <c r="G623" s="3">
        <f>IF(C623&lt;='Input sheet(dashboard)'!$D$6,E623*'Input sheet(dashboard)'!$D$7,0)</f>
        <v>0</v>
      </c>
      <c r="H623" s="3">
        <f t="shared" si="82"/>
        <v>-1.9371962709403685E-11</v>
      </c>
      <c r="I623" s="3">
        <f t="shared" si="83"/>
        <v>5.3372656535445057E-9</v>
      </c>
      <c r="J623" s="3">
        <f>IF(B623&lt;='Input sheet(dashboard)'!$D$27*12,'Input sheet(dashboard)'!$D$3*(1+'Input sheet(dashboard)'!$E$24)^B623,0)</f>
        <v>0</v>
      </c>
      <c r="K623" s="3">
        <f>IF(B623&lt;='Input sheet(dashboard)'!$D$27*12,J623*'Input sheet(dashboard)'!$E$8,0)</f>
        <v>0</v>
      </c>
      <c r="L623" s="3">
        <f>IF(B623&lt;='Input sheet(dashboard)'!$D$27*12,'Input sheet(dashboard)'!$D$9*(1+'Input sheet(dashboard)'!$E$22)^B623,0)</f>
        <v>0</v>
      </c>
      <c r="M623" s="3">
        <f>IF(B623=1,'Input sheet(dashboard)'!$D$3*'Input sheet(dashboard)'!$D$10,0)</f>
        <v>0</v>
      </c>
      <c r="N623" s="3">
        <f>IF(B623='Input sheet(dashboard)'!$D$27*12,J623*'Input sheet(dashboard)'!$D$11,0)</f>
        <v>0</v>
      </c>
      <c r="O623" s="3">
        <f>IF(SUM(F623:F634)&gt;=150000,150000/12*'Input sheet(dashboard)'!$D$28,SUM(F623:F634)/12*'Input sheet(dashboard)'!$D$28)</f>
        <v>2.9647257326405857E-12</v>
      </c>
      <c r="P623" s="3">
        <f t="shared" si="87"/>
        <v>0</v>
      </c>
      <c r="Q623" s="3">
        <f>IF(B623&lt;='Input sheet(dashboard)'!$D$27*12,'Input sheet(dashboard)'!$D$12/12,0)</f>
        <v>0</v>
      </c>
      <c r="R623" s="3">
        <f>IF(B623&lt;='Input sheet(dashboard)'!$D$27*12,('Input sheet(dashboard)'!$D$15/12)*(1+'Input sheet(dashboard)'!$E$22)^Calculations!B623,0)</f>
        <v>0</v>
      </c>
      <c r="S623" s="3">
        <f>IF(B623&lt;='Input sheet(dashboard)'!$D$27*12,(E623+G623+K623+L623-O623+M623+Q623+R623),0)</f>
        <v>0</v>
      </c>
      <c r="T623" s="3">
        <f>IF(B623&lt;='Input sheet(dashboard)'!$D$27*12,IF(D623=12,SUM(S612:S623),0),0)</f>
        <v>0</v>
      </c>
      <c r="U623" s="3">
        <f>IF(B623&lt;='Input sheet(dashboard)'!$D$27*12,IF(S623&lt;AD623,AD623-S623,0),0)</f>
        <v>0</v>
      </c>
      <c r="V623" s="3">
        <f>IF(B623&lt;='Input sheet(dashboard)'!$D$27*12,V622*(1+'Input sheet(dashboard)'!$E$25)+U623,0)</f>
        <v>0</v>
      </c>
      <c r="W623" s="17">
        <f>IF(B623&lt;='Input sheet(dashboard)'!$D$27*12,J623-I623+V623-N623,0)</f>
        <v>0</v>
      </c>
      <c r="X623" s="3">
        <f>IF(B623&lt;='Input sheet(dashboard)'!$D$27*12,'Input sheet(dashboard)'!$D$17*(1+'Input sheet(dashboard)'!$E$23)^(B623-1),0)</f>
        <v>0</v>
      </c>
      <c r="Y623" s="3"/>
      <c r="Z623" s="18"/>
      <c r="AA623" s="18"/>
      <c r="AB623" s="3">
        <f>IF(B623=1,'Input sheet(dashboard)'!$D$18*Calculations!X623,IF(Calculations!B623=12*'Input sheet(dashboard)'!$D$27,'Input sheet(dashboard)'!$D$18*-Calculations!X623,0))</f>
        <v>0</v>
      </c>
      <c r="AC623" s="3">
        <f>IF(B623&lt;='Input sheet(dashboard)'!$D$27*12,IF(MOD(B622,'Input sheet(dashboard)'!$D$19*12),0,'Input sheet(dashboard)'!$D$20*(1+'Input sheet(dashboard)'!$E$22)^Calculations!B623),0)</f>
        <v>0</v>
      </c>
      <c r="AD623" s="17">
        <f t="shared" si="84"/>
        <v>0</v>
      </c>
      <c r="AE623" s="17">
        <f>IF(B623&lt;='Input sheet(dashboard)'!$D$27*12,IF(D623=12,SUM(AD612:AD623),0),0)</f>
        <v>0</v>
      </c>
      <c r="AF623" s="17">
        <f t="shared" si="85"/>
        <v>0</v>
      </c>
      <c r="AG623" s="17">
        <f t="shared" si="86"/>
        <v>0</v>
      </c>
      <c r="AH623" s="3" t="str">
        <f>IF(B623&lt;='Input sheet(dashboard)'!$D$27*12,AH622*(1+'Input sheet(dashboard)'!$E$25)+AG623," ")</f>
        <v xml:space="preserve"> </v>
      </c>
    </row>
    <row r="624" spans="2:34">
      <c r="B624">
        <f t="shared" si="81"/>
        <v>621</v>
      </c>
      <c r="C624">
        <f t="shared" si="88"/>
        <v>52</v>
      </c>
      <c r="D624">
        <f t="shared" si="89"/>
        <v>9</v>
      </c>
      <c r="E624" s="15">
        <f>IF(C624&lt;='Input sheet(dashboard)'!$D$6, -PMT('Input sheet(dashboard)'!$E$5,'Input sheet(dashboard)'!$D$6*12,'Input sheet(dashboard)'!$D$3*'Input sheet(dashboard)'!$D$4),0)</f>
        <v>0</v>
      </c>
      <c r="F624" s="3">
        <f>I623*'Input sheet(dashboard)'!$E$5</f>
        <v>1.9442530675036636E-11</v>
      </c>
      <c r="G624" s="3">
        <f>IF(C624&lt;='Input sheet(dashboard)'!$D$6,E624*'Input sheet(dashboard)'!$D$7,0)</f>
        <v>0</v>
      </c>
      <c r="H624" s="3">
        <f t="shared" si="82"/>
        <v>-1.9442530675036636E-11</v>
      </c>
      <c r="I624" s="3">
        <f t="shared" si="83"/>
        <v>5.3567081842195422E-9</v>
      </c>
      <c r="J624" s="3">
        <f>IF(B624&lt;='Input sheet(dashboard)'!$D$27*12,'Input sheet(dashboard)'!$D$3*(1+'Input sheet(dashboard)'!$E$24)^B624,0)</f>
        <v>0</v>
      </c>
      <c r="K624" s="3">
        <f>IF(B624&lt;='Input sheet(dashboard)'!$D$27*12,J624*'Input sheet(dashboard)'!$E$8,0)</f>
        <v>0</v>
      </c>
      <c r="L624" s="3">
        <f>IF(B624&lt;='Input sheet(dashboard)'!$D$27*12,'Input sheet(dashboard)'!$D$9*(1+'Input sheet(dashboard)'!$E$22)^B624,0)</f>
        <v>0</v>
      </c>
      <c r="M624" s="3">
        <f>IF(B624=1,'Input sheet(dashboard)'!$D$3*'Input sheet(dashboard)'!$D$10,0)</f>
        <v>0</v>
      </c>
      <c r="N624" s="3">
        <f>IF(B624='Input sheet(dashboard)'!$D$27*12,J624*'Input sheet(dashboard)'!$D$11,0)</f>
        <v>0</v>
      </c>
      <c r="O624" s="3">
        <f>IF(SUM(F624:F635)&gt;=150000,150000/12*'Input sheet(dashboard)'!$D$28,SUM(F624:F635)/12*'Input sheet(dashboard)'!$D$28)</f>
        <v>2.975525601851079E-12</v>
      </c>
      <c r="P624" s="3">
        <f t="shared" si="87"/>
        <v>0</v>
      </c>
      <c r="Q624" s="3">
        <f>IF(B624&lt;='Input sheet(dashboard)'!$D$27*12,'Input sheet(dashboard)'!$D$12/12,0)</f>
        <v>0</v>
      </c>
      <c r="R624" s="3">
        <f>IF(B624&lt;='Input sheet(dashboard)'!$D$27*12,('Input sheet(dashboard)'!$D$15/12)*(1+'Input sheet(dashboard)'!$E$22)^Calculations!B624,0)</f>
        <v>0</v>
      </c>
      <c r="S624" s="3">
        <f>IF(B624&lt;='Input sheet(dashboard)'!$D$27*12,(E624+G624+K624+L624-O624+M624+Q624+R624),0)</f>
        <v>0</v>
      </c>
      <c r="T624" s="3">
        <f>IF(B624&lt;='Input sheet(dashboard)'!$D$27*12,IF(D624=12,SUM(S613:S624),0),0)</f>
        <v>0</v>
      </c>
      <c r="U624" s="3">
        <f>IF(B624&lt;='Input sheet(dashboard)'!$D$27*12,IF(S624&lt;AD624,AD624-S624,0),0)</f>
        <v>0</v>
      </c>
      <c r="V624" s="3">
        <f>IF(B624&lt;='Input sheet(dashboard)'!$D$27*12,V623*(1+'Input sheet(dashboard)'!$E$25)+U624,0)</f>
        <v>0</v>
      </c>
      <c r="W624" s="17">
        <f>IF(B624&lt;='Input sheet(dashboard)'!$D$27*12,J624-I624+V624-N624,0)</f>
        <v>0</v>
      </c>
      <c r="X624" s="3">
        <f>IF(B624&lt;='Input sheet(dashboard)'!$D$27*12,'Input sheet(dashboard)'!$D$17*(1+'Input sheet(dashboard)'!$E$23)^(B624-1),0)</f>
        <v>0</v>
      </c>
      <c r="Y624" s="3"/>
      <c r="Z624" s="18"/>
      <c r="AA624" s="18"/>
      <c r="AB624" s="3">
        <f>IF(B624=1,'Input sheet(dashboard)'!$D$18*Calculations!X624,IF(Calculations!B624=12*'Input sheet(dashboard)'!$D$27,'Input sheet(dashboard)'!$D$18*-Calculations!X624,0))</f>
        <v>0</v>
      </c>
      <c r="AC624" s="3">
        <f>IF(B624&lt;='Input sheet(dashboard)'!$D$27*12,IF(MOD(B623,'Input sheet(dashboard)'!$D$19*12),0,'Input sheet(dashboard)'!$D$20*(1+'Input sheet(dashboard)'!$E$22)^Calculations!B624),0)</f>
        <v>0</v>
      </c>
      <c r="AD624" s="17">
        <f t="shared" si="84"/>
        <v>0</v>
      </c>
      <c r="AE624" s="17">
        <f>IF(B624&lt;='Input sheet(dashboard)'!$D$27*12,IF(D624=12,SUM(AD613:AD624),0),0)</f>
        <v>0</v>
      </c>
      <c r="AF624" s="17">
        <f t="shared" si="85"/>
        <v>0</v>
      </c>
      <c r="AG624" s="17">
        <f t="shared" si="86"/>
        <v>0</v>
      </c>
      <c r="AH624" s="3" t="str">
        <f>IF(B624&lt;='Input sheet(dashboard)'!$D$27*12,AH623*(1+'Input sheet(dashboard)'!$E$25)+AG624," ")</f>
        <v xml:space="preserve"> </v>
      </c>
    </row>
    <row r="625" spans="2:34">
      <c r="B625">
        <f t="shared" si="81"/>
        <v>622</v>
      </c>
      <c r="C625">
        <f t="shared" si="88"/>
        <v>52</v>
      </c>
      <c r="D625">
        <f t="shared" si="89"/>
        <v>10</v>
      </c>
      <c r="E625" s="15">
        <f>IF(C625&lt;='Input sheet(dashboard)'!$D$6, -PMT('Input sheet(dashboard)'!$E$5,'Input sheet(dashboard)'!$D$6*12,'Input sheet(dashboard)'!$D$3*'Input sheet(dashboard)'!$D$4),0)</f>
        <v>0</v>
      </c>
      <c r="F625" s="3">
        <f>I624*'Input sheet(dashboard)'!$E$5</f>
        <v>1.9513355704852921E-11</v>
      </c>
      <c r="G625" s="3">
        <f>IF(C625&lt;='Input sheet(dashboard)'!$D$6,E625*'Input sheet(dashboard)'!$D$7,0)</f>
        <v>0</v>
      </c>
      <c r="H625" s="3">
        <f t="shared" si="82"/>
        <v>-1.9513355704852921E-11</v>
      </c>
      <c r="I625" s="3">
        <f t="shared" si="83"/>
        <v>5.376221539924395E-9</v>
      </c>
      <c r="J625" s="3">
        <f>IF(B625&lt;='Input sheet(dashboard)'!$D$27*12,'Input sheet(dashboard)'!$D$3*(1+'Input sheet(dashboard)'!$E$24)^B625,0)</f>
        <v>0</v>
      </c>
      <c r="K625" s="3">
        <f>IF(B625&lt;='Input sheet(dashboard)'!$D$27*12,J625*'Input sheet(dashboard)'!$E$8,0)</f>
        <v>0</v>
      </c>
      <c r="L625" s="3">
        <f>IF(B625&lt;='Input sheet(dashboard)'!$D$27*12,'Input sheet(dashboard)'!$D$9*(1+'Input sheet(dashboard)'!$E$22)^B625,0)</f>
        <v>0</v>
      </c>
      <c r="M625" s="3">
        <f>IF(B625=1,'Input sheet(dashboard)'!$D$3*'Input sheet(dashboard)'!$D$10,0)</f>
        <v>0</v>
      </c>
      <c r="N625" s="3">
        <f>IF(B625='Input sheet(dashboard)'!$D$27*12,J625*'Input sheet(dashboard)'!$D$11,0)</f>
        <v>0</v>
      </c>
      <c r="O625" s="3">
        <f>IF(SUM(F625:F636)&gt;=150000,150000/12*'Input sheet(dashboard)'!$D$28,SUM(F625:F636)/12*'Input sheet(dashboard)'!$D$28)</f>
        <v>2.9863648127024114E-12</v>
      </c>
      <c r="P625" s="3">
        <f t="shared" si="87"/>
        <v>0</v>
      </c>
      <c r="Q625" s="3">
        <f>IF(B625&lt;='Input sheet(dashboard)'!$D$27*12,'Input sheet(dashboard)'!$D$12/12,0)</f>
        <v>0</v>
      </c>
      <c r="R625" s="3">
        <f>IF(B625&lt;='Input sheet(dashboard)'!$D$27*12,('Input sheet(dashboard)'!$D$15/12)*(1+'Input sheet(dashboard)'!$E$22)^Calculations!B625,0)</f>
        <v>0</v>
      </c>
      <c r="S625" s="3">
        <f>IF(B625&lt;='Input sheet(dashboard)'!$D$27*12,(E625+G625+K625+L625-O625+M625+Q625+R625),0)</f>
        <v>0</v>
      </c>
      <c r="T625" s="3">
        <f>IF(B625&lt;='Input sheet(dashboard)'!$D$27*12,IF(D625=12,SUM(S614:S625),0),0)</f>
        <v>0</v>
      </c>
      <c r="U625" s="3">
        <f>IF(B625&lt;='Input sheet(dashboard)'!$D$27*12,IF(S625&lt;AD625,AD625-S625,0),0)</f>
        <v>0</v>
      </c>
      <c r="V625" s="3">
        <f>IF(B625&lt;='Input sheet(dashboard)'!$D$27*12,V624*(1+'Input sheet(dashboard)'!$E$25)+U625,0)</f>
        <v>0</v>
      </c>
      <c r="W625" s="17">
        <f>IF(B625&lt;='Input sheet(dashboard)'!$D$27*12,J625-I625+V625-N625,0)</f>
        <v>0</v>
      </c>
      <c r="X625" s="3">
        <f>IF(B625&lt;='Input sheet(dashboard)'!$D$27*12,'Input sheet(dashboard)'!$D$17*(1+'Input sheet(dashboard)'!$E$23)^(B625-1),0)</f>
        <v>0</v>
      </c>
      <c r="Y625" s="3"/>
      <c r="Z625" s="18"/>
      <c r="AA625" s="18"/>
      <c r="AB625" s="3">
        <f>IF(B625=1,'Input sheet(dashboard)'!$D$18*Calculations!X625,IF(Calculations!B625=12*'Input sheet(dashboard)'!$D$27,'Input sheet(dashboard)'!$D$18*-Calculations!X625,0))</f>
        <v>0</v>
      </c>
      <c r="AC625" s="3">
        <f>IF(B625&lt;='Input sheet(dashboard)'!$D$27*12,IF(MOD(B624,'Input sheet(dashboard)'!$D$19*12),0,'Input sheet(dashboard)'!$D$20*(1+'Input sheet(dashboard)'!$E$22)^Calculations!B625),0)</f>
        <v>0</v>
      </c>
      <c r="AD625" s="17">
        <f t="shared" si="84"/>
        <v>0</v>
      </c>
      <c r="AE625" s="17">
        <f>IF(B625&lt;='Input sheet(dashboard)'!$D$27*12,IF(D625=12,SUM(AD614:AD625),0),0)</f>
        <v>0</v>
      </c>
      <c r="AF625" s="17">
        <f t="shared" si="85"/>
        <v>0</v>
      </c>
      <c r="AG625" s="17">
        <f t="shared" si="86"/>
        <v>0</v>
      </c>
      <c r="AH625" s="3" t="str">
        <f>IF(B625&lt;='Input sheet(dashboard)'!$D$27*12,AH624*(1+'Input sheet(dashboard)'!$E$25)+AG625," ")</f>
        <v xml:space="preserve"> </v>
      </c>
    </row>
    <row r="626" spans="2:34">
      <c r="B626">
        <f t="shared" si="81"/>
        <v>623</v>
      </c>
      <c r="C626">
        <f t="shared" si="88"/>
        <v>52</v>
      </c>
      <c r="D626">
        <f t="shared" si="89"/>
        <v>11</v>
      </c>
      <c r="E626" s="15">
        <f>IF(C626&lt;='Input sheet(dashboard)'!$D$6, -PMT('Input sheet(dashboard)'!$E$5,'Input sheet(dashboard)'!$D$6*12,'Input sheet(dashboard)'!$D$3*'Input sheet(dashboard)'!$D$4),0)</f>
        <v>0</v>
      </c>
      <c r="F626" s="3">
        <f>I625*'Input sheet(dashboard)'!$E$5</f>
        <v>1.9584438735283035E-11</v>
      </c>
      <c r="G626" s="3">
        <f>IF(C626&lt;='Input sheet(dashboard)'!$D$6,E626*'Input sheet(dashboard)'!$D$7,0)</f>
        <v>0</v>
      </c>
      <c r="H626" s="3">
        <f t="shared" si="82"/>
        <v>-1.9584438735283035E-11</v>
      </c>
      <c r="I626" s="3">
        <f t="shared" si="83"/>
        <v>5.3958059786596784E-9</v>
      </c>
      <c r="J626" s="3">
        <f>IF(B626&lt;='Input sheet(dashboard)'!$D$27*12,'Input sheet(dashboard)'!$D$3*(1+'Input sheet(dashboard)'!$E$24)^B626,0)</f>
        <v>0</v>
      </c>
      <c r="K626" s="3">
        <f>IF(B626&lt;='Input sheet(dashboard)'!$D$27*12,J626*'Input sheet(dashboard)'!$E$8,0)</f>
        <v>0</v>
      </c>
      <c r="L626" s="3">
        <f>IF(B626&lt;='Input sheet(dashboard)'!$D$27*12,'Input sheet(dashboard)'!$D$9*(1+'Input sheet(dashboard)'!$E$22)^B626,0)</f>
        <v>0</v>
      </c>
      <c r="M626" s="3">
        <f>IF(B626=1,'Input sheet(dashboard)'!$D$3*'Input sheet(dashboard)'!$D$10,0)</f>
        <v>0</v>
      </c>
      <c r="N626" s="3">
        <f>IF(B626='Input sheet(dashboard)'!$D$27*12,J626*'Input sheet(dashboard)'!$D$11,0)</f>
        <v>0</v>
      </c>
      <c r="O626" s="3">
        <f>IF(SUM(F626:F637)&gt;=150000,150000/12*'Input sheet(dashboard)'!$D$28,SUM(F626:F637)/12*'Input sheet(dashboard)'!$D$28)</f>
        <v>2.9972435085078675E-12</v>
      </c>
      <c r="P626" s="3">
        <f t="shared" si="87"/>
        <v>0</v>
      </c>
      <c r="Q626" s="3">
        <f>IF(B626&lt;='Input sheet(dashboard)'!$D$27*12,'Input sheet(dashboard)'!$D$12/12,0)</f>
        <v>0</v>
      </c>
      <c r="R626" s="3">
        <f>IF(B626&lt;='Input sheet(dashboard)'!$D$27*12,('Input sheet(dashboard)'!$D$15/12)*(1+'Input sheet(dashboard)'!$E$22)^Calculations!B626,0)</f>
        <v>0</v>
      </c>
      <c r="S626" s="3">
        <f>IF(B626&lt;='Input sheet(dashboard)'!$D$27*12,(E626+G626+K626+L626-O626+M626+Q626+R626),0)</f>
        <v>0</v>
      </c>
      <c r="T626" s="3">
        <f>IF(B626&lt;='Input sheet(dashboard)'!$D$27*12,IF(D626=12,SUM(S615:S626),0),0)</f>
        <v>0</v>
      </c>
      <c r="U626" s="3">
        <f>IF(B626&lt;='Input sheet(dashboard)'!$D$27*12,IF(S626&lt;AD626,AD626-S626,0),0)</f>
        <v>0</v>
      </c>
      <c r="V626" s="3">
        <f>IF(B626&lt;='Input sheet(dashboard)'!$D$27*12,V625*(1+'Input sheet(dashboard)'!$E$25)+U626,0)</f>
        <v>0</v>
      </c>
      <c r="W626" s="17">
        <f>IF(B626&lt;='Input sheet(dashboard)'!$D$27*12,J626-I626+V626-N626,0)</f>
        <v>0</v>
      </c>
      <c r="X626" s="3">
        <f>IF(B626&lt;='Input sheet(dashboard)'!$D$27*12,'Input sheet(dashboard)'!$D$17*(1+'Input sheet(dashboard)'!$E$23)^(B626-1),0)</f>
        <v>0</v>
      </c>
      <c r="Y626" s="3"/>
      <c r="Z626" s="18"/>
      <c r="AA626" s="18"/>
      <c r="AB626" s="3">
        <f>IF(B626=1,'Input sheet(dashboard)'!$D$18*Calculations!X626,IF(Calculations!B626=12*'Input sheet(dashboard)'!$D$27,'Input sheet(dashboard)'!$D$18*-Calculations!X626,0))</f>
        <v>0</v>
      </c>
      <c r="AC626" s="3">
        <f>IF(B626&lt;='Input sheet(dashboard)'!$D$27*12,IF(MOD(B625,'Input sheet(dashboard)'!$D$19*12),0,'Input sheet(dashboard)'!$D$20*(1+'Input sheet(dashboard)'!$E$22)^Calculations!B626),0)</f>
        <v>0</v>
      </c>
      <c r="AD626" s="17">
        <f t="shared" si="84"/>
        <v>0</v>
      </c>
      <c r="AE626" s="17">
        <f>IF(B626&lt;='Input sheet(dashboard)'!$D$27*12,IF(D626=12,SUM(AD615:AD626),0),0)</f>
        <v>0</v>
      </c>
      <c r="AF626" s="17">
        <f t="shared" si="85"/>
        <v>0</v>
      </c>
      <c r="AG626" s="17">
        <f t="shared" si="86"/>
        <v>0</v>
      </c>
      <c r="AH626" s="3" t="str">
        <f>IF(B626&lt;='Input sheet(dashboard)'!$D$27*12,AH625*(1+'Input sheet(dashboard)'!$E$25)+AG626," ")</f>
        <v xml:space="preserve"> </v>
      </c>
    </row>
    <row r="627" spans="2:34">
      <c r="B627">
        <f t="shared" si="81"/>
        <v>624</v>
      </c>
      <c r="C627">
        <f t="shared" si="88"/>
        <v>52</v>
      </c>
      <c r="D627">
        <f t="shared" si="89"/>
        <v>12</v>
      </c>
      <c r="E627" s="15">
        <f>IF(C627&lt;='Input sheet(dashboard)'!$D$6, -PMT('Input sheet(dashboard)'!$E$5,'Input sheet(dashboard)'!$D$6*12,'Input sheet(dashboard)'!$D$3*'Input sheet(dashboard)'!$D$4),0)</f>
        <v>0</v>
      </c>
      <c r="F627" s="3">
        <f>I626*'Input sheet(dashboard)'!$E$5</f>
        <v>1.9655780706168681E-11</v>
      </c>
      <c r="G627" s="3">
        <f>IF(C627&lt;='Input sheet(dashboard)'!$D$6,E627*'Input sheet(dashboard)'!$D$7,0)</f>
        <v>0</v>
      </c>
      <c r="H627" s="3">
        <f t="shared" si="82"/>
        <v>-1.9655780706168681E-11</v>
      </c>
      <c r="I627" s="3">
        <f t="shared" si="83"/>
        <v>5.4154617593658468E-9</v>
      </c>
      <c r="J627" s="3">
        <f>IF(B627&lt;='Input sheet(dashboard)'!$D$27*12,'Input sheet(dashboard)'!$D$3*(1+'Input sheet(dashboard)'!$E$24)^B627,0)</f>
        <v>0</v>
      </c>
      <c r="K627" s="3">
        <f>IF(B627&lt;='Input sheet(dashboard)'!$D$27*12,J627*'Input sheet(dashboard)'!$E$8,0)</f>
        <v>0</v>
      </c>
      <c r="L627" s="3">
        <f>IF(B627&lt;='Input sheet(dashboard)'!$D$27*12,'Input sheet(dashboard)'!$D$9*(1+'Input sheet(dashboard)'!$E$22)^B627,0)</f>
        <v>0</v>
      </c>
      <c r="M627" s="3">
        <f>IF(B627=1,'Input sheet(dashboard)'!$D$3*'Input sheet(dashboard)'!$D$10,0)</f>
        <v>0</v>
      </c>
      <c r="N627" s="3">
        <f>IF(B627='Input sheet(dashboard)'!$D$27*12,J627*'Input sheet(dashboard)'!$D$11,0)</f>
        <v>0</v>
      </c>
      <c r="O627" s="3">
        <f>IF(SUM(F627:F638)&gt;=150000,150000/12*'Input sheet(dashboard)'!$D$28,SUM(F627:F638)/12*'Input sheet(dashboard)'!$D$28)</f>
        <v>3.0081618331027873E-12</v>
      </c>
      <c r="P627" s="3">
        <f t="shared" si="87"/>
        <v>3.7641702798779986E-11</v>
      </c>
      <c r="Q627" s="3">
        <f>IF(B627&lt;='Input sheet(dashboard)'!$D$27*12,'Input sheet(dashboard)'!$D$12/12,0)</f>
        <v>0</v>
      </c>
      <c r="R627" s="3">
        <f>IF(B627&lt;='Input sheet(dashboard)'!$D$27*12,('Input sheet(dashboard)'!$D$15/12)*(1+'Input sheet(dashboard)'!$E$22)^Calculations!B627,0)</f>
        <v>0</v>
      </c>
      <c r="S627" s="3">
        <f>IF(B627&lt;='Input sheet(dashboard)'!$D$27*12,(E627+G627+K627+L627-O627+M627+Q627+R627),0)</f>
        <v>0</v>
      </c>
      <c r="T627" s="3">
        <f>IF(B627&lt;='Input sheet(dashboard)'!$D$27*12,IF(D627=12,SUM(S616:S627),0),0)</f>
        <v>0</v>
      </c>
      <c r="U627" s="3">
        <f>IF(B627&lt;='Input sheet(dashboard)'!$D$27*12,IF(S627&lt;AD627,AD627-S627,0),0)</f>
        <v>0</v>
      </c>
      <c r="V627" s="3">
        <f>IF(B627&lt;='Input sheet(dashboard)'!$D$27*12,V626*(1+'Input sheet(dashboard)'!$E$25)+U627,0)</f>
        <v>0</v>
      </c>
      <c r="W627" s="17">
        <f>IF(B627&lt;='Input sheet(dashboard)'!$D$27*12,J627-I627+V627-N627,0)</f>
        <v>0</v>
      </c>
      <c r="X627" s="3">
        <f>IF(B627&lt;='Input sheet(dashboard)'!$D$27*12,'Input sheet(dashboard)'!$D$17*(1+'Input sheet(dashboard)'!$E$23)^(B627-1),0)</f>
        <v>0</v>
      </c>
      <c r="Y627" s="3"/>
      <c r="Z627" s="18"/>
      <c r="AA627" s="18"/>
      <c r="AB627" s="3">
        <f>IF(B627=1,'Input sheet(dashboard)'!$D$18*Calculations!X627,IF(Calculations!B627=12*'Input sheet(dashboard)'!$D$27,'Input sheet(dashboard)'!$D$18*-Calculations!X627,0))</f>
        <v>0</v>
      </c>
      <c r="AC627" s="3">
        <f>IF(B627&lt;='Input sheet(dashboard)'!$D$27*12,IF(MOD(B626,'Input sheet(dashboard)'!$D$19*12),0,'Input sheet(dashboard)'!$D$20*(1+'Input sheet(dashboard)'!$E$22)^Calculations!B627),0)</f>
        <v>0</v>
      </c>
      <c r="AD627" s="17">
        <f t="shared" si="84"/>
        <v>0</v>
      </c>
      <c r="AE627" s="17">
        <f>IF(B627&lt;='Input sheet(dashboard)'!$D$27*12,IF(D627=12,SUM(AD616:AD627),0),0)</f>
        <v>0</v>
      </c>
      <c r="AF627" s="17">
        <f t="shared" si="85"/>
        <v>0</v>
      </c>
      <c r="AG627" s="17">
        <f t="shared" si="86"/>
        <v>0</v>
      </c>
      <c r="AH627" s="3" t="str">
        <f>IF(B627&lt;='Input sheet(dashboard)'!$D$27*12,AH626*(1+'Input sheet(dashboard)'!$E$25)+AG627," ")</f>
        <v xml:space="preserve"> </v>
      </c>
    </row>
    <row r="628" spans="2:34">
      <c r="B628">
        <f t="shared" si="81"/>
        <v>625</v>
      </c>
      <c r="C628">
        <f t="shared" si="88"/>
        <v>53</v>
      </c>
      <c r="D628">
        <f t="shared" si="89"/>
        <v>1</v>
      </c>
      <c r="E628" s="15">
        <f>IF(C628&lt;='Input sheet(dashboard)'!$D$6, -PMT('Input sheet(dashboard)'!$E$5,'Input sheet(dashboard)'!$D$6*12,'Input sheet(dashboard)'!$D$3*'Input sheet(dashboard)'!$D$4),0)</f>
        <v>0</v>
      </c>
      <c r="F628" s="3">
        <f>I627*'Input sheet(dashboard)'!$E$5</f>
        <v>1.9727382560775199E-11</v>
      </c>
      <c r="G628" s="3">
        <f>IF(C628&lt;='Input sheet(dashboard)'!$D$6,E628*'Input sheet(dashboard)'!$D$7,0)</f>
        <v>0</v>
      </c>
      <c r="H628" s="3">
        <f t="shared" si="82"/>
        <v>-1.9727382560775199E-11</v>
      </c>
      <c r="I628" s="3">
        <f t="shared" si="83"/>
        <v>5.4351891419266215E-9</v>
      </c>
      <c r="J628" s="3">
        <f>IF(B628&lt;='Input sheet(dashboard)'!$D$27*12,'Input sheet(dashboard)'!$D$3*(1+'Input sheet(dashboard)'!$E$24)^B628,0)</f>
        <v>0</v>
      </c>
      <c r="K628" s="3">
        <f>IF(B628&lt;='Input sheet(dashboard)'!$D$27*12,J628*'Input sheet(dashboard)'!$E$8,0)</f>
        <v>0</v>
      </c>
      <c r="L628" s="3">
        <f>IF(B628&lt;='Input sheet(dashboard)'!$D$27*12,'Input sheet(dashboard)'!$D$9*(1+'Input sheet(dashboard)'!$E$22)^B628,0)</f>
        <v>0</v>
      </c>
      <c r="M628" s="3">
        <f>IF(B628=1,'Input sheet(dashboard)'!$D$3*'Input sheet(dashboard)'!$D$10,0)</f>
        <v>0</v>
      </c>
      <c r="N628" s="3">
        <f>IF(B628='Input sheet(dashboard)'!$D$27*12,J628*'Input sheet(dashboard)'!$D$11,0)</f>
        <v>0</v>
      </c>
      <c r="O628" s="3">
        <f>IF(SUM(F628:F639)&gt;=150000,150000/12*'Input sheet(dashboard)'!$D$28,SUM(F628:F639)/12*'Input sheet(dashboard)'!$D$28)</f>
        <v>3.0191199308464771E-12</v>
      </c>
      <c r="P628" s="3">
        <f t="shared" si="87"/>
        <v>0</v>
      </c>
      <c r="Q628" s="3">
        <f>IF(B628&lt;='Input sheet(dashboard)'!$D$27*12,'Input sheet(dashboard)'!$D$12/12,0)</f>
        <v>0</v>
      </c>
      <c r="R628" s="3">
        <f>IF(B628&lt;='Input sheet(dashboard)'!$D$27*12,('Input sheet(dashboard)'!$D$15/12)*(1+'Input sheet(dashboard)'!$E$22)^Calculations!B628,0)</f>
        <v>0</v>
      </c>
      <c r="S628" s="3">
        <f>IF(B628&lt;='Input sheet(dashboard)'!$D$27*12,(E628+G628+K628+L628-O628+M628+Q628+R628),0)</f>
        <v>0</v>
      </c>
      <c r="T628" s="3">
        <f>IF(B628&lt;='Input sheet(dashboard)'!$D$27*12,IF(D628=12,SUM(S617:S628),0),0)</f>
        <v>0</v>
      </c>
      <c r="U628" s="3">
        <f>IF(B628&lt;='Input sheet(dashboard)'!$D$27*12,IF(S628&lt;AD628,AD628-S628,0),0)</f>
        <v>0</v>
      </c>
      <c r="V628" s="3">
        <f>IF(B628&lt;='Input sheet(dashboard)'!$D$27*12,V627*(1+'Input sheet(dashboard)'!$E$25)+U628,0)</f>
        <v>0</v>
      </c>
      <c r="W628" s="17">
        <f>IF(B628&lt;='Input sheet(dashboard)'!$D$27*12,J628-I628+V628-N628,0)</f>
        <v>0</v>
      </c>
      <c r="X628" s="3">
        <f>IF(B628&lt;='Input sheet(dashboard)'!$D$27*12,'Input sheet(dashboard)'!$D$17*(1+'Input sheet(dashboard)'!$E$23)^(B628-1),0)</f>
        <v>0</v>
      </c>
      <c r="Y628" s="3"/>
      <c r="Z628" s="18"/>
      <c r="AA628" s="18"/>
      <c r="AB628" s="3">
        <f>IF(B628=1,'Input sheet(dashboard)'!$D$18*Calculations!X628,IF(Calculations!B628=12*'Input sheet(dashboard)'!$D$27,'Input sheet(dashboard)'!$D$18*-Calculations!X628,0))</f>
        <v>0</v>
      </c>
      <c r="AC628" s="3">
        <f>IF(B628&lt;='Input sheet(dashboard)'!$D$27*12,IF(MOD(B627,'Input sheet(dashboard)'!$D$19*12),0,'Input sheet(dashboard)'!$D$20*(1+'Input sheet(dashboard)'!$E$22)^Calculations!B628),0)</f>
        <v>0</v>
      </c>
      <c r="AD628" s="17">
        <f t="shared" si="84"/>
        <v>0</v>
      </c>
      <c r="AE628" s="17">
        <f>IF(B628&lt;='Input sheet(dashboard)'!$D$27*12,IF(D628=12,SUM(AD617:AD628),0),0)</f>
        <v>0</v>
      </c>
      <c r="AF628" s="17">
        <f t="shared" si="85"/>
        <v>0</v>
      </c>
      <c r="AG628" s="17">
        <f t="shared" si="86"/>
        <v>0</v>
      </c>
      <c r="AH628" s="3" t="str">
        <f>IF(B628&lt;='Input sheet(dashboard)'!$D$27*12,AH627*(1+'Input sheet(dashboard)'!$E$25)+AG628," ")</f>
        <v xml:space="preserve"> </v>
      </c>
    </row>
    <row r="629" spans="2:34">
      <c r="B629">
        <f t="shared" si="81"/>
        <v>626</v>
      </c>
      <c r="C629">
        <f t="shared" si="88"/>
        <v>53</v>
      </c>
      <c r="D629">
        <f t="shared" si="89"/>
        <v>2</v>
      </c>
      <c r="E629" s="15">
        <f>IF(C629&lt;='Input sheet(dashboard)'!$D$6, -PMT('Input sheet(dashboard)'!$E$5,'Input sheet(dashboard)'!$D$6*12,'Input sheet(dashboard)'!$D$3*'Input sheet(dashboard)'!$D$4),0)</f>
        <v>0</v>
      </c>
      <c r="F629" s="3">
        <f>I628*'Input sheet(dashboard)'!$E$5</f>
        <v>1.9799245245804066E-11</v>
      </c>
      <c r="G629" s="3">
        <f>IF(C629&lt;='Input sheet(dashboard)'!$D$6,E629*'Input sheet(dashboard)'!$D$7,0)</f>
        <v>0</v>
      </c>
      <c r="H629" s="3">
        <f t="shared" si="82"/>
        <v>-1.9799245245804066E-11</v>
      </c>
      <c r="I629" s="3">
        <f t="shared" si="83"/>
        <v>5.4549883871724258E-9</v>
      </c>
      <c r="J629" s="3">
        <f>IF(B629&lt;='Input sheet(dashboard)'!$D$27*12,'Input sheet(dashboard)'!$D$3*(1+'Input sheet(dashboard)'!$E$24)^B629,0)</f>
        <v>0</v>
      </c>
      <c r="K629" s="3">
        <f>IF(B629&lt;='Input sheet(dashboard)'!$D$27*12,J629*'Input sheet(dashboard)'!$E$8,0)</f>
        <v>0</v>
      </c>
      <c r="L629" s="3">
        <f>IF(B629&lt;='Input sheet(dashboard)'!$D$27*12,'Input sheet(dashboard)'!$D$9*(1+'Input sheet(dashboard)'!$E$22)^B629,0)</f>
        <v>0</v>
      </c>
      <c r="M629" s="3">
        <f>IF(B629=1,'Input sheet(dashboard)'!$D$3*'Input sheet(dashboard)'!$D$10,0)</f>
        <v>0</v>
      </c>
      <c r="N629" s="3">
        <f>IF(B629='Input sheet(dashboard)'!$D$27*12,J629*'Input sheet(dashboard)'!$D$11,0)</f>
        <v>0</v>
      </c>
      <c r="O629" s="3">
        <f>IF(SUM(F629:F640)&gt;=150000,150000/12*'Input sheet(dashboard)'!$D$28,SUM(F629:F640)/12*'Input sheet(dashboard)'!$D$28)</f>
        <v>3.0301179466241092E-12</v>
      </c>
      <c r="P629" s="3">
        <f t="shared" si="87"/>
        <v>0</v>
      </c>
      <c r="Q629" s="3">
        <f>IF(B629&lt;='Input sheet(dashboard)'!$D$27*12,'Input sheet(dashboard)'!$D$12/12,0)</f>
        <v>0</v>
      </c>
      <c r="R629" s="3">
        <f>IF(B629&lt;='Input sheet(dashboard)'!$D$27*12,('Input sheet(dashboard)'!$D$15/12)*(1+'Input sheet(dashboard)'!$E$22)^Calculations!B629,0)</f>
        <v>0</v>
      </c>
      <c r="S629" s="3">
        <f>IF(B629&lt;='Input sheet(dashboard)'!$D$27*12,(E629+G629+K629+L629-O629+M629+Q629+R629),0)</f>
        <v>0</v>
      </c>
      <c r="T629" s="3">
        <f>IF(B629&lt;='Input sheet(dashboard)'!$D$27*12,IF(D629=12,SUM(S618:S629),0),0)</f>
        <v>0</v>
      </c>
      <c r="U629" s="3">
        <f>IF(B629&lt;='Input sheet(dashboard)'!$D$27*12,IF(S629&lt;AD629,AD629-S629,0),0)</f>
        <v>0</v>
      </c>
      <c r="V629" s="3">
        <f>IF(B629&lt;='Input sheet(dashboard)'!$D$27*12,V628*(1+'Input sheet(dashboard)'!$E$25)+U629,0)</f>
        <v>0</v>
      </c>
      <c r="W629" s="17">
        <f>IF(B629&lt;='Input sheet(dashboard)'!$D$27*12,J629-I629+V629-N629,0)</f>
        <v>0</v>
      </c>
      <c r="X629" s="3">
        <f>IF(B629&lt;='Input sheet(dashboard)'!$D$27*12,'Input sheet(dashboard)'!$D$17*(1+'Input sheet(dashboard)'!$E$23)^(B629-1),0)</f>
        <v>0</v>
      </c>
      <c r="Y629" s="3"/>
      <c r="Z629" s="18"/>
      <c r="AA629" s="18"/>
      <c r="AB629" s="3">
        <f>IF(B629=1,'Input sheet(dashboard)'!$D$18*Calculations!X629,IF(Calculations!B629=12*'Input sheet(dashboard)'!$D$27,'Input sheet(dashboard)'!$D$18*-Calculations!X629,0))</f>
        <v>0</v>
      </c>
      <c r="AC629" s="3">
        <f>IF(B629&lt;='Input sheet(dashboard)'!$D$27*12,IF(MOD(B628,'Input sheet(dashboard)'!$D$19*12),0,'Input sheet(dashboard)'!$D$20*(1+'Input sheet(dashboard)'!$E$22)^Calculations!B629),0)</f>
        <v>0</v>
      </c>
      <c r="AD629" s="17">
        <f t="shared" si="84"/>
        <v>0</v>
      </c>
      <c r="AE629" s="17">
        <f>IF(B629&lt;='Input sheet(dashboard)'!$D$27*12,IF(D629=12,SUM(AD618:AD629),0),0)</f>
        <v>0</v>
      </c>
      <c r="AF629" s="17">
        <f t="shared" si="85"/>
        <v>0</v>
      </c>
      <c r="AG629" s="17">
        <f t="shared" si="86"/>
        <v>0</v>
      </c>
      <c r="AH629" s="3" t="str">
        <f>IF(B629&lt;='Input sheet(dashboard)'!$D$27*12,AH628*(1+'Input sheet(dashboard)'!$E$25)+AG629," ")</f>
        <v xml:space="preserve"> </v>
      </c>
    </row>
    <row r="630" spans="2:34">
      <c r="B630">
        <f t="shared" si="81"/>
        <v>627</v>
      </c>
      <c r="C630">
        <f t="shared" si="88"/>
        <v>53</v>
      </c>
      <c r="D630">
        <f t="shared" si="89"/>
        <v>3</v>
      </c>
      <c r="E630" s="15">
        <f>IF(C630&lt;='Input sheet(dashboard)'!$D$6, -PMT('Input sheet(dashboard)'!$E$5,'Input sheet(dashboard)'!$D$6*12,'Input sheet(dashboard)'!$D$3*'Input sheet(dashboard)'!$D$4),0)</f>
        <v>0</v>
      </c>
      <c r="F630" s="3">
        <f>I629*'Input sheet(dashboard)'!$E$5</f>
        <v>1.9871369711405377E-11</v>
      </c>
      <c r="G630" s="3">
        <f>IF(C630&lt;='Input sheet(dashboard)'!$D$6,E630*'Input sheet(dashboard)'!$D$7,0)</f>
        <v>0</v>
      </c>
      <c r="H630" s="3">
        <f t="shared" si="82"/>
        <v>-1.9871369711405377E-11</v>
      </c>
      <c r="I630" s="3">
        <f t="shared" si="83"/>
        <v>5.4748597568838312E-9</v>
      </c>
      <c r="J630" s="3">
        <f>IF(B630&lt;='Input sheet(dashboard)'!$D$27*12,'Input sheet(dashboard)'!$D$3*(1+'Input sheet(dashboard)'!$E$24)^B630,0)</f>
        <v>0</v>
      </c>
      <c r="K630" s="3">
        <f>IF(B630&lt;='Input sheet(dashboard)'!$D$27*12,J630*'Input sheet(dashboard)'!$E$8,0)</f>
        <v>0</v>
      </c>
      <c r="L630" s="3">
        <f>IF(B630&lt;='Input sheet(dashboard)'!$D$27*12,'Input sheet(dashboard)'!$D$9*(1+'Input sheet(dashboard)'!$E$22)^B630,0)</f>
        <v>0</v>
      </c>
      <c r="M630" s="3">
        <f>IF(B630=1,'Input sheet(dashboard)'!$D$3*'Input sheet(dashboard)'!$D$10,0)</f>
        <v>0</v>
      </c>
      <c r="N630" s="3">
        <f>IF(B630='Input sheet(dashboard)'!$D$27*12,J630*'Input sheet(dashboard)'!$D$11,0)</f>
        <v>0</v>
      </c>
      <c r="O630" s="3">
        <f>IF(SUM(F630:F641)&gt;=150000,150000/12*'Input sheet(dashboard)'!$D$28,SUM(F630:F641)/12*'Input sheet(dashboard)'!$D$28)</f>
        <v>3.041156025848645E-12</v>
      </c>
      <c r="P630" s="3">
        <f t="shared" si="87"/>
        <v>0</v>
      </c>
      <c r="Q630" s="3">
        <f>IF(B630&lt;='Input sheet(dashboard)'!$D$27*12,'Input sheet(dashboard)'!$D$12/12,0)</f>
        <v>0</v>
      </c>
      <c r="R630" s="3">
        <f>IF(B630&lt;='Input sheet(dashboard)'!$D$27*12,('Input sheet(dashboard)'!$D$15/12)*(1+'Input sheet(dashboard)'!$E$22)^Calculations!B630,0)</f>
        <v>0</v>
      </c>
      <c r="S630" s="3">
        <f>IF(B630&lt;='Input sheet(dashboard)'!$D$27*12,(E630+G630+K630+L630-O630+M630+Q630+R630),0)</f>
        <v>0</v>
      </c>
      <c r="T630" s="3">
        <f>IF(B630&lt;='Input sheet(dashboard)'!$D$27*12,IF(D630=12,SUM(S619:S630),0),0)</f>
        <v>0</v>
      </c>
      <c r="U630" s="3">
        <f>IF(B630&lt;='Input sheet(dashboard)'!$D$27*12,IF(S630&lt;AD630,AD630-S630,0),0)</f>
        <v>0</v>
      </c>
      <c r="V630" s="3">
        <f>IF(B630&lt;='Input sheet(dashboard)'!$D$27*12,V629*(1+'Input sheet(dashboard)'!$E$25)+U630,0)</f>
        <v>0</v>
      </c>
      <c r="W630" s="17">
        <f>IF(B630&lt;='Input sheet(dashboard)'!$D$27*12,J630-I630+V630-N630,0)</f>
        <v>0</v>
      </c>
      <c r="X630" s="3">
        <f>IF(B630&lt;='Input sheet(dashboard)'!$D$27*12,'Input sheet(dashboard)'!$D$17*(1+'Input sheet(dashboard)'!$E$23)^(B630-1),0)</f>
        <v>0</v>
      </c>
      <c r="Y630" s="3"/>
      <c r="Z630" s="18"/>
      <c r="AA630" s="18"/>
      <c r="AB630" s="3">
        <f>IF(B630=1,'Input sheet(dashboard)'!$D$18*Calculations!X630,IF(Calculations!B630=12*'Input sheet(dashboard)'!$D$27,'Input sheet(dashboard)'!$D$18*-Calculations!X630,0))</f>
        <v>0</v>
      </c>
      <c r="AC630" s="3">
        <f>IF(B630&lt;='Input sheet(dashboard)'!$D$27*12,IF(MOD(B629,'Input sheet(dashboard)'!$D$19*12),0,'Input sheet(dashboard)'!$D$20*(1+'Input sheet(dashboard)'!$E$22)^Calculations!B630),0)</f>
        <v>0</v>
      </c>
      <c r="AD630" s="17">
        <f t="shared" si="84"/>
        <v>0</v>
      </c>
      <c r="AE630" s="17">
        <f>IF(B630&lt;='Input sheet(dashboard)'!$D$27*12,IF(D630=12,SUM(AD619:AD630),0),0)</f>
        <v>0</v>
      </c>
      <c r="AF630" s="17">
        <f t="shared" si="85"/>
        <v>0</v>
      </c>
      <c r="AG630" s="17">
        <f t="shared" si="86"/>
        <v>0</v>
      </c>
      <c r="AH630" s="3" t="str">
        <f>IF(B630&lt;='Input sheet(dashboard)'!$D$27*12,AH629*(1+'Input sheet(dashboard)'!$E$25)+AG630," ")</f>
        <v xml:space="preserve"> </v>
      </c>
    </row>
    <row r="631" spans="2:34">
      <c r="B631">
        <f t="shared" si="81"/>
        <v>628</v>
      </c>
      <c r="C631">
        <f t="shared" si="88"/>
        <v>53</v>
      </c>
      <c r="D631">
        <f t="shared" si="89"/>
        <v>4</v>
      </c>
      <c r="E631" s="15">
        <f>IF(C631&lt;='Input sheet(dashboard)'!$D$6, -PMT('Input sheet(dashboard)'!$E$5,'Input sheet(dashboard)'!$D$6*12,'Input sheet(dashboard)'!$D$3*'Input sheet(dashboard)'!$D$4),0)</f>
        <v>0</v>
      </c>
      <c r="F631" s="3">
        <f>I630*'Input sheet(dashboard)'!$E$5</f>
        <v>1.9943756911190421E-11</v>
      </c>
      <c r="G631" s="3">
        <f>IF(C631&lt;='Input sheet(dashboard)'!$D$6,E631*'Input sheet(dashboard)'!$D$7,0)</f>
        <v>0</v>
      </c>
      <c r="H631" s="3">
        <f t="shared" si="82"/>
        <v>-1.9943756911190421E-11</v>
      </c>
      <c r="I631" s="3">
        <f t="shared" si="83"/>
        <v>5.4948035137950217E-9</v>
      </c>
      <c r="J631" s="3">
        <f>IF(B631&lt;='Input sheet(dashboard)'!$D$27*12,'Input sheet(dashboard)'!$D$3*(1+'Input sheet(dashboard)'!$E$24)^B631,0)</f>
        <v>0</v>
      </c>
      <c r="K631" s="3">
        <f>IF(B631&lt;='Input sheet(dashboard)'!$D$27*12,J631*'Input sheet(dashboard)'!$E$8,0)</f>
        <v>0</v>
      </c>
      <c r="L631" s="3">
        <f>IF(B631&lt;='Input sheet(dashboard)'!$D$27*12,'Input sheet(dashboard)'!$D$9*(1+'Input sheet(dashboard)'!$E$22)^B631,0)</f>
        <v>0</v>
      </c>
      <c r="M631" s="3">
        <f>IF(B631=1,'Input sheet(dashboard)'!$D$3*'Input sheet(dashboard)'!$D$10,0)</f>
        <v>0</v>
      </c>
      <c r="N631" s="3">
        <f>IF(B631='Input sheet(dashboard)'!$D$27*12,J631*'Input sheet(dashboard)'!$D$11,0)</f>
        <v>0</v>
      </c>
      <c r="O631" s="3">
        <f>IF(SUM(F631:F642)&gt;=150000,150000/12*'Input sheet(dashboard)'!$D$28,SUM(F631:F642)/12*'Input sheet(dashboard)'!$D$28)</f>
        <v>3.0522343144627533E-12</v>
      </c>
      <c r="P631" s="3">
        <f t="shared" si="87"/>
        <v>0</v>
      </c>
      <c r="Q631" s="3">
        <f>IF(B631&lt;='Input sheet(dashboard)'!$D$27*12,'Input sheet(dashboard)'!$D$12/12,0)</f>
        <v>0</v>
      </c>
      <c r="R631" s="3">
        <f>IF(B631&lt;='Input sheet(dashboard)'!$D$27*12,('Input sheet(dashboard)'!$D$15/12)*(1+'Input sheet(dashboard)'!$E$22)^Calculations!B631,0)</f>
        <v>0</v>
      </c>
      <c r="S631" s="3">
        <f>IF(B631&lt;='Input sheet(dashboard)'!$D$27*12,(E631+G631+K631+L631-O631+M631+Q631+R631),0)</f>
        <v>0</v>
      </c>
      <c r="T631" s="3">
        <f>IF(B631&lt;='Input sheet(dashboard)'!$D$27*12,IF(D631=12,SUM(S620:S631),0),0)</f>
        <v>0</v>
      </c>
      <c r="U631" s="3">
        <f>IF(B631&lt;='Input sheet(dashboard)'!$D$27*12,IF(S631&lt;AD631,AD631-S631,0),0)</f>
        <v>0</v>
      </c>
      <c r="V631" s="3">
        <f>IF(B631&lt;='Input sheet(dashboard)'!$D$27*12,V630*(1+'Input sheet(dashboard)'!$E$25)+U631,0)</f>
        <v>0</v>
      </c>
      <c r="W631" s="17">
        <f>IF(B631&lt;='Input sheet(dashboard)'!$D$27*12,J631-I631+V631-N631,0)</f>
        <v>0</v>
      </c>
      <c r="X631" s="3">
        <f>IF(B631&lt;='Input sheet(dashboard)'!$D$27*12,'Input sheet(dashboard)'!$D$17*(1+'Input sheet(dashboard)'!$E$23)^(B631-1),0)</f>
        <v>0</v>
      </c>
      <c r="Y631" s="3"/>
      <c r="Z631" s="18"/>
      <c r="AA631" s="18"/>
      <c r="AB631" s="3">
        <f>IF(B631=1,'Input sheet(dashboard)'!$D$18*Calculations!X631,IF(Calculations!B631=12*'Input sheet(dashboard)'!$D$27,'Input sheet(dashboard)'!$D$18*-Calculations!X631,0))</f>
        <v>0</v>
      </c>
      <c r="AC631" s="3">
        <f>IF(B631&lt;='Input sheet(dashboard)'!$D$27*12,IF(MOD(B630,'Input sheet(dashboard)'!$D$19*12),0,'Input sheet(dashboard)'!$D$20*(1+'Input sheet(dashboard)'!$E$22)^Calculations!B631),0)</f>
        <v>0</v>
      </c>
      <c r="AD631" s="17">
        <f t="shared" si="84"/>
        <v>0</v>
      </c>
      <c r="AE631" s="17">
        <f>IF(B631&lt;='Input sheet(dashboard)'!$D$27*12,IF(D631=12,SUM(AD620:AD631),0),0)</f>
        <v>0</v>
      </c>
      <c r="AF631" s="17">
        <f t="shared" si="85"/>
        <v>0</v>
      </c>
      <c r="AG631" s="17">
        <f t="shared" si="86"/>
        <v>0</v>
      </c>
      <c r="AH631" s="3" t="str">
        <f>IF(B631&lt;='Input sheet(dashboard)'!$D$27*12,AH630*(1+'Input sheet(dashboard)'!$E$25)+AG631," ")</f>
        <v xml:space="preserve"> </v>
      </c>
    </row>
    <row r="632" spans="2:34">
      <c r="B632">
        <f t="shared" si="81"/>
        <v>629</v>
      </c>
      <c r="C632">
        <f t="shared" si="88"/>
        <v>53</v>
      </c>
      <c r="D632">
        <f t="shared" si="89"/>
        <v>5</v>
      </c>
      <c r="E632" s="15">
        <f>IF(C632&lt;='Input sheet(dashboard)'!$D$6, -PMT('Input sheet(dashboard)'!$E$5,'Input sheet(dashboard)'!$D$6*12,'Input sheet(dashboard)'!$D$3*'Input sheet(dashboard)'!$D$4),0)</f>
        <v>0</v>
      </c>
      <c r="F632" s="3">
        <f>I631*'Input sheet(dashboard)'!$E$5</f>
        <v>2.0016407802244306E-11</v>
      </c>
      <c r="G632" s="3">
        <f>IF(C632&lt;='Input sheet(dashboard)'!$D$6,E632*'Input sheet(dashboard)'!$D$7,0)</f>
        <v>0</v>
      </c>
      <c r="H632" s="3">
        <f t="shared" si="82"/>
        <v>-2.0016407802244306E-11</v>
      </c>
      <c r="I632" s="3">
        <f t="shared" si="83"/>
        <v>5.5148199215972662E-9</v>
      </c>
      <c r="J632" s="3">
        <f>IF(B632&lt;='Input sheet(dashboard)'!$D$27*12,'Input sheet(dashboard)'!$D$3*(1+'Input sheet(dashboard)'!$E$24)^B632,0)</f>
        <v>0</v>
      </c>
      <c r="K632" s="3">
        <f>IF(B632&lt;='Input sheet(dashboard)'!$D$27*12,J632*'Input sheet(dashboard)'!$E$8,0)</f>
        <v>0</v>
      </c>
      <c r="L632" s="3">
        <f>IF(B632&lt;='Input sheet(dashboard)'!$D$27*12,'Input sheet(dashboard)'!$D$9*(1+'Input sheet(dashboard)'!$E$22)^B632,0)</f>
        <v>0</v>
      </c>
      <c r="M632" s="3">
        <f>IF(B632=1,'Input sheet(dashboard)'!$D$3*'Input sheet(dashboard)'!$D$10,0)</f>
        <v>0</v>
      </c>
      <c r="N632" s="3">
        <f>IF(B632='Input sheet(dashboard)'!$D$27*12,J632*'Input sheet(dashboard)'!$D$11,0)</f>
        <v>0</v>
      </c>
      <c r="O632" s="3">
        <f>IF(SUM(F632:F643)&gt;=150000,150000/12*'Input sheet(dashboard)'!$D$28,SUM(F632:F643)/12*'Input sheet(dashboard)'!$D$28)</f>
        <v>3.0633529589407415E-12</v>
      </c>
      <c r="P632" s="3">
        <f t="shared" si="87"/>
        <v>0</v>
      </c>
      <c r="Q632" s="3">
        <f>IF(B632&lt;='Input sheet(dashboard)'!$D$27*12,'Input sheet(dashboard)'!$D$12/12,0)</f>
        <v>0</v>
      </c>
      <c r="R632" s="3">
        <f>IF(B632&lt;='Input sheet(dashboard)'!$D$27*12,('Input sheet(dashboard)'!$D$15/12)*(1+'Input sheet(dashboard)'!$E$22)^Calculations!B632,0)</f>
        <v>0</v>
      </c>
      <c r="S632" s="3">
        <f>IF(B632&lt;='Input sheet(dashboard)'!$D$27*12,(E632+G632+K632+L632-O632+M632+Q632+R632),0)</f>
        <v>0</v>
      </c>
      <c r="T632" s="3">
        <f>IF(B632&lt;='Input sheet(dashboard)'!$D$27*12,IF(D632=12,SUM(S621:S632),0),0)</f>
        <v>0</v>
      </c>
      <c r="U632" s="3">
        <f>IF(B632&lt;='Input sheet(dashboard)'!$D$27*12,IF(S632&lt;AD632,AD632-S632,0),0)</f>
        <v>0</v>
      </c>
      <c r="V632" s="3">
        <f>IF(B632&lt;='Input sheet(dashboard)'!$D$27*12,V631*(1+'Input sheet(dashboard)'!$E$25)+U632,0)</f>
        <v>0</v>
      </c>
      <c r="W632" s="17">
        <f>IF(B632&lt;='Input sheet(dashboard)'!$D$27*12,J632-I632+V632-N632,0)</f>
        <v>0</v>
      </c>
      <c r="X632" s="3">
        <f>IF(B632&lt;='Input sheet(dashboard)'!$D$27*12,'Input sheet(dashboard)'!$D$17*(1+'Input sheet(dashboard)'!$E$23)^(B632-1),0)</f>
        <v>0</v>
      </c>
      <c r="Y632" s="3"/>
      <c r="Z632" s="18"/>
      <c r="AA632" s="18"/>
      <c r="AB632" s="3">
        <f>IF(B632=1,'Input sheet(dashboard)'!$D$18*Calculations!X632,IF(Calculations!B632=12*'Input sheet(dashboard)'!$D$27,'Input sheet(dashboard)'!$D$18*-Calculations!X632,0))</f>
        <v>0</v>
      </c>
      <c r="AC632" s="3">
        <f>IF(B632&lt;='Input sheet(dashboard)'!$D$27*12,IF(MOD(B631,'Input sheet(dashboard)'!$D$19*12),0,'Input sheet(dashboard)'!$D$20*(1+'Input sheet(dashboard)'!$E$22)^Calculations!B632),0)</f>
        <v>0</v>
      </c>
      <c r="AD632" s="17">
        <f t="shared" si="84"/>
        <v>0</v>
      </c>
      <c r="AE632" s="17">
        <f>IF(B632&lt;='Input sheet(dashboard)'!$D$27*12,IF(D632=12,SUM(AD621:AD632),0),0)</f>
        <v>0</v>
      </c>
      <c r="AF632" s="17">
        <f t="shared" si="85"/>
        <v>0</v>
      </c>
      <c r="AG632" s="17">
        <f t="shared" si="86"/>
        <v>0</v>
      </c>
      <c r="AH632" s="3" t="str">
        <f>IF(B632&lt;='Input sheet(dashboard)'!$D$27*12,AH631*(1+'Input sheet(dashboard)'!$E$25)+AG632," ")</f>
        <v xml:space="preserve"> </v>
      </c>
    </row>
    <row r="633" spans="2:34">
      <c r="B633">
        <f t="shared" si="81"/>
        <v>630</v>
      </c>
      <c r="C633">
        <f t="shared" si="88"/>
        <v>53</v>
      </c>
      <c r="D633">
        <f t="shared" si="89"/>
        <v>6</v>
      </c>
      <c r="E633" s="15">
        <f>IF(C633&lt;='Input sheet(dashboard)'!$D$6, -PMT('Input sheet(dashboard)'!$E$5,'Input sheet(dashboard)'!$D$6*12,'Input sheet(dashboard)'!$D$3*'Input sheet(dashboard)'!$D$4),0)</f>
        <v>0</v>
      </c>
      <c r="F633" s="3">
        <f>I632*'Input sheet(dashboard)'!$E$5</f>
        <v>2.0089323345138583E-11</v>
      </c>
      <c r="G633" s="3">
        <f>IF(C633&lt;='Input sheet(dashboard)'!$D$6,E633*'Input sheet(dashboard)'!$D$7,0)</f>
        <v>0</v>
      </c>
      <c r="H633" s="3">
        <f t="shared" si="82"/>
        <v>-2.0089323345138583E-11</v>
      </c>
      <c r="I633" s="3">
        <f t="shared" si="83"/>
        <v>5.5349092449424048E-9</v>
      </c>
      <c r="J633" s="3">
        <f>IF(B633&lt;='Input sheet(dashboard)'!$D$27*12,'Input sheet(dashboard)'!$D$3*(1+'Input sheet(dashboard)'!$E$24)^B633,0)</f>
        <v>0</v>
      </c>
      <c r="K633" s="3">
        <f>IF(B633&lt;='Input sheet(dashboard)'!$D$27*12,J633*'Input sheet(dashboard)'!$E$8,0)</f>
        <v>0</v>
      </c>
      <c r="L633" s="3">
        <f>IF(B633&lt;='Input sheet(dashboard)'!$D$27*12,'Input sheet(dashboard)'!$D$9*(1+'Input sheet(dashboard)'!$E$22)^B633,0)</f>
        <v>0</v>
      </c>
      <c r="M633" s="3">
        <f>IF(B633=1,'Input sheet(dashboard)'!$D$3*'Input sheet(dashboard)'!$D$10,0)</f>
        <v>0</v>
      </c>
      <c r="N633" s="3">
        <f>IF(B633='Input sheet(dashboard)'!$D$27*12,J633*'Input sheet(dashboard)'!$D$11,0)</f>
        <v>0</v>
      </c>
      <c r="O633" s="3">
        <f>IF(SUM(F633:F644)&gt;=150000,150000/12*'Input sheet(dashboard)'!$D$28,SUM(F633:F644)/12*'Input sheet(dashboard)'!$D$28)</f>
        <v>3.0745121062904933E-12</v>
      </c>
      <c r="P633" s="3">
        <f t="shared" si="87"/>
        <v>0</v>
      </c>
      <c r="Q633" s="3">
        <f>IF(B633&lt;='Input sheet(dashboard)'!$D$27*12,'Input sheet(dashboard)'!$D$12/12,0)</f>
        <v>0</v>
      </c>
      <c r="R633" s="3">
        <f>IF(B633&lt;='Input sheet(dashboard)'!$D$27*12,('Input sheet(dashboard)'!$D$15/12)*(1+'Input sheet(dashboard)'!$E$22)^Calculations!B633,0)</f>
        <v>0</v>
      </c>
      <c r="S633" s="3">
        <f>IF(B633&lt;='Input sheet(dashboard)'!$D$27*12,(E633+G633+K633+L633-O633+M633+Q633+R633),0)</f>
        <v>0</v>
      </c>
      <c r="T633" s="3">
        <f>IF(B633&lt;='Input sheet(dashboard)'!$D$27*12,IF(D633=12,SUM(S622:S633),0),0)</f>
        <v>0</v>
      </c>
      <c r="U633" s="3">
        <f>IF(B633&lt;='Input sheet(dashboard)'!$D$27*12,IF(S633&lt;AD633,AD633-S633,0),0)</f>
        <v>0</v>
      </c>
      <c r="V633" s="3">
        <f>IF(B633&lt;='Input sheet(dashboard)'!$D$27*12,V632*(1+'Input sheet(dashboard)'!$E$25)+U633,0)</f>
        <v>0</v>
      </c>
      <c r="W633" s="17">
        <f>IF(B633&lt;='Input sheet(dashboard)'!$D$27*12,J633-I633+V633-N633,0)</f>
        <v>0</v>
      </c>
      <c r="X633" s="3">
        <f>IF(B633&lt;='Input sheet(dashboard)'!$D$27*12,'Input sheet(dashboard)'!$D$17*(1+'Input sheet(dashboard)'!$E$23)^(B633-1),0)</f>
        <v>0</v>
      </c>
      <c r="Y633" s="3"/>
      <c r="Z633" s="18"/>
      <c r="AA633" s="18"/>
      <c r="AB633" s="3">
        <f>IF(B633=1,'Input sheet(dashboard)'!$D$18*Calculations!X633,IF(Calculations!B633=12*'Input sheet(dashboard)'!$D$27,'Input sheet(dashboard)'!$D$18*-Calculations!X633,0))</f>
        <v>0</v>
      </c>
      <c r="AC633" s="3">
        <f>IF(B633&lt;='Input sheet(dashboard)'!$D$27*12,IF(MOD(B632,'Input sheet(dashboard)'!$D$19*12),0,'Input sheet(dashboard)'!$D$20*(1+'Input sheet(dashboard)'!$E$22)^Calculations!B633),0)</f>
        <v>0</v>
      </c>
      <c r="AD633" s="17">
        <f t="shared" si="84"/>
        <v>0</v>
      </c>
      <c r="AE633" s="17">
        <f>IF(B633&lt;='Input sheet(dashboard)'!$D$27*12,IF(D633=12,SUM(AD622:AD633),0),0)</f>
        <v>0</v>
      </c>
      <c r="AF633" s="17">
        <f t="shared" si="85"/>
        <v>0</v>
      </c>
      <c r="AG633" s="17">
        <f t="shared" si="86"/>
        <v>0</v>
      </c>
      <c r="AH633" s="3" t="str">
        <f>IF(B633&lt;='Input sheet(dashboard)'!$D$27*12,AH632*(1+'Input sheet(dashboard)'!$E$25)+AG633," ")</f>
        <v xml:space="preserve"> </v>
      </c>
    </row>
    <row r="634" spans="2:34">
      <c r="B634">
        <f t="shared" si="81"/>
        <v>631</v>
      </c>
      <c r="C634">
        <f t="shared" si="88"/>
        <v>53</v>
      </c>
      <c r="D634">
        <f t="shared" si="89"/>
        <v>7</v>
      </c>
      <c r="E634" s="15">
        <f>IF(C634&lt;='Input sheet(dashboard)'!$D$6, -PMT('Input sheet(dashboard)'!$E$5,'Input sheet(dashboard)'!$D$6*12,'Input sheet(dashboard)'!$D$3*'Input sheet(dashboard)'!$D$4),0)</f>
        <v>0</v>
      </c>
      <c r="F634" s="3">
        <f>I633*'Input sheet(dashboard)'!$E$5</f>
        <v>2.0162504503943971E-11</v>
      </c>
      <c r="G634" s="3">
        <f>IF(C634&lt;='Input sheet(dashboard)'!$D$6,E634*'Input sheet(dashboard)'!$D$7,0)</f>
        <v>0</v>
      </c>
      <c r="H634" s="3">
        <f t="shared" si="82"/>
        <v>-2.0162504503943971E-11</v>
      </c>
      <c r="I634" s="3">
        <f t="shared" si="83"/>
        <v>5.5550717494463486E-9</v>
      </c>
      <c r="J634" s="3">
        <f>IF(B634&lt;='Input sheet(dashboard)'!$D$27*12,'Input sheet(dashboard)'!$D$3*(1+'Input sheet(dashboard)'!$E$24)^B634,0)</f>
        <v>0</v>
      </c>
      <c r="K634" s="3">
        <f>IF(B634&lt;='Input sheet(dashboard)'!$D$27*12,J634*'Input sheet(dashboard)'!$E$8,0)</f>
        <v>0</v>
      </c>
      <c r="L634" s="3">
        <f>IF(B634&lt;='Input sheet(dashboard)'!$D$27*12,'Input sheet(dashboard)'!$D$9*(1+'Input sheet(dashboard)'!$E$22)^B634,0)</f>
        <v>0</v>
      </c>
      <c r="M634" s="3">
        <f>IF(B634=1,'Input sheet(dashboard)'!$D$3*'Input sheet(dashboard)'!$D$10,0)</f>
        <v>0</v>
      </c>
      <c r="N634" s="3">
        <f>IF(B634='Input sheet(dashboard)'!$D$27*12,J634*'Input sheet(dashboard)'!$D$11,0)</f>
        <v>0</v>
      </c>
      <c r="O634" s="3">
        <f>IF(SUM(F634:F645)&gt;=150000,150000/12*'Input sheet(dashboard)'!$D$28,SUM(F634:F645)/12*'Input sheet(dashboard)'!$D$28)</f>
        <v>3.0857119040554081E-12</v>
      </c>
      <c r="P634" s="3">
        <f t="shared" si="87"/>
        <v>0</v>
      </c>
      <c r="Q634" s="3">
        <f>IF(B634&lt;='Input sheet(dashboard)'!$D$27*12,'Input sheet(dashboard)'!$D$12/12,0)</f>
        <v>0</v>
      </c>
      <c r="R634" s="3">
        <f>IF(B634&lt;='Input sheet(dashboard)'!$D$27*12,('Input sheet(dashboard)'!$D$15/12)*(1+'Input sheet(dashboard)'!$E$22)^Calculations!B634,0)</f>
        <v>0</v>
      </c>
      <c r="S634" s="3">
        <f>IF(B634&lt;='Input sheet(dashboard)'!$D$27*12,(E634+G634+K634+L634-O634+M634+Q634+R634),0)</f>
        <v>0</v>
      </c>
      <c r="T634" s="3">
        <f>IF(B634&lt;='Input sheet(dashboard)'!$D$27*12,IF(D634=12,SUM(S623:S634),0),0)</f>
        <v>0</v>
      </c>
      <c r="U634" s="3">
        <f>IF(B634&lt;='Input sheet(dashboard)'!$D$27*12,IF(S634&lt;AD634,AD634-S634,0),0)</f>
        <v>0</v>
      </c>
      <c r="V634" s="3">
        <f>IF(B634&lt;='Input sheet(dashboard)'!$D$27*12,V633*(1+'Input sheet(dashboard)'!$E$25)+U634,0)</f>
        <v>0</v>
      </c>
      <c r="W634" s="17">
        <f>IF(B634&lt;='Input sheet(dashboard)'!$D$27*12,J634-I634+V634-N634,0)</f>
        <v>0</v>
      </c>
      <c r="X634" s="3">
        <f>IF(B634&lt;='Input sheet(dashboard)'!$D$27*12,'Input sheet(dashboard)'!$D$17*(1+'Input sheet(dashboard)'!$E$23)^(B634-1),0)</f>
        <v>0</v>
      </c>
      <c r="Y634" s="3"/>
      <c r="Z634" s="18"/>
      <c r="AA634" s="18"/>
      <c r="AB634" s="3">
        <f>IF(B634=1,'Input sheet(dashboard)'!$D$18*Calculations!X634,IF(Calculations!B634=12*'Input sheet(dashboard)'!$D$27,'Input sheet(dashboard)'!$D$18*-Calculations!X634,0))</f>
        <v>0</v>
      </c>
      <c r="AC634" s="3">
        <f>IF(B634&lt;='Input sheet(dashboard)'!$D$27*12,IF(MOD(B633,'Input sheet(dashboard)'!$D$19*12),0,'Input sheet(dashboard)'!$D$20*(1+'Input sheet(dashboard)'!$E$22)^Calculations!B634),0)</f>
        <v>0</v>
      </c>
      <c r="AD634" s="17">
        <f t="shared" si="84"/>
        <v>0</v>
      </c>
      <c r="AE634" s="17">
        <f>IF(B634&lt;='Input sheet(dashboard)'!$D$27*12,IF(D634=12,SUM(AD623:AD634),0),0)</f>
        <v>0</v>
      </c>
      <c r="AF634" s="17">
        <f t="shared" si="85"/>
        <v>0</v>
      </c>
      <c r="AG634" s="17">
        <f t="shared" si="86"/>
        <v>0</v>
      </c>
      <c r="AH634" s="3" t="str">
        <f>IF(B634&lt;='Input sheet(dashboard)'!$D$27*12,AH633*(1+'Input sheet(dashboard)'!$E$25)+AG634," ")</f>
        <v xml:space="preserve"> </v>
      </c>
    </row>
    <row r="635" spans="2:34">
      <c r="B635">
        <f t="shared" si="81"/>
        <v>632</v>
      </c>
      <c r="C635">
        <f t="shared" si="88"/>
        <v>53</v>
      </c>
      <c r="D635">
        <f t="shared" si="89"/>
        <v>8</v>
      </c>
      <c r="E635" s="15">
        <f>IF(C635&lt;='Input sheet(dashboard)'!$D$6, -PMT('Input sheet(dashboard)'!$E$5,'Input sheet(dashboard)'!$D$6*12,'Input sheet(dashboard)'!$D$3*'Input sheet(dashboard)'!$D$4),0)</f>
        <v>0</v>
      </c>
      <c r="F635" s="3">
        <f>I634*'Input sheet(dashboard)'!$E$5</f>
        <v>2.0235952246243095E-11</v>
      </c>
      <c r="G635" s="3">
        <f>IF(C635&lt;='Input sheet(dashboard)'!$D$6,E635*'Input sheet(dashboard)'!$D$7,0)</f>
        <v>0</v>
      </c>
      <c r="H635" s="3">
        <f t="shared" si="82"/>
        <v>-2.0235952246243095E-11</v>
      </c>
      <c r="I635" s="3">
        <f t="shared" si="83"/>
        <v>5.5753077016925918E-9</v>
      </c>
      <c r="J635" s="3">
        <f>IF(B635&lt;='Input sheet(dashboard)'!$D$27*12,'Input sheet(dashboard)'!$D$3*(1+'Input sheet(dashboard)'!$E$24)^B635,0)</f>
        <v>0</v>
      </c>
      <c r="K635" s="3">
        <f>IF(B635&lt;='Input sheet(dashboard)'!$D$27*12,J635*'Input sheet(dashboard)'!$E$8,0)</f>
        <v>0</v>
      </c>
      <c r="L635" s="3">
        <f>IF(B635&lt;='Input sheet(dashboard)'!$D$27*12,'Input sheet(dashboard)'!$D$9*(1+'Input sheet(dashboard)'!$E$22)^B635,0)</f>
        <v>0</v>
      </c>
      <c r="M635" s="3">
        <f>IF(B635=1,'Input sheet(dashboard)'!$D$3*'Input sheet(dashboard)'!$D$10,0)</f>
        <v>0</v>
      </c>
      <c r="N635" s="3">
        <f>IF(B635='Input sheet(dashboard)'!$D$27*12,J635*'Input sheet(dashboard)'!$D$11,0)</f>
        <v>0</v>
      </c>
      <c r="O635" s="3">
        <f>IF(SUM(F635:F646)&gt;=150000,150000/12*'Input sheet(dashboard)'!$D$28,SUM(F635:F646)/12*'Input sheet(dashboard)'!$D$28)</f>
        <v>3.0969525003163565E-12</v>
      </c>
      <c r="P635" s="3">
        <f t="shared" si="87"/>
        <v>0</v>
      </c>
      <c r="Q635" s="3">
        <f>IF(B635&lt;='Input sheet(dashboard)'!$D$27*12,'Input sheet(dashboard)'!$D$12/12,0)</f>
        <v>0</v>
      </c>
      <c r="R635" s="3">
        <f>IF(B635&lt;='Input sheet(dashboard)'!$D$27*12,('Input sheet(dashboard)'!$D$15/12)*(1+'Input sheet(dashboard)'!$E$22)^Calculations!B635,0)</f>
        <v>0</v>
      </c>
      <c r="S635" s="3">
        <f>IF(B635&lt;='Input sheet(dashboard)'!$D$27*12,(E635+G635+K635+L635-O635+M635+Q635+R635),0)</f>
        <v>0</v>
      </c>
      <c r="T635" s="3">
        <f>IF(B635&lt;='Input sheet(dashboard)'!$D$27*12,IF(D635=12,SUM(S624:S635),0),0)</f>
        <v>0</v>
      </c>
      <c r="U635" s="3">
        <f>IF(B635&lt;='Input sheet(dashboard)'!$D$27*12,IF(S635&lt;AD635,AD635-S635,0),0)</f>
        <v>0</v>
      </c>
      <c r="V635" s="3">
        <f>IF(B635&lt;='Input sheet(dashboard)'!$D$27*12,V634*(1+'Input sheet(dashboard)'!$E$25)+U635,0)</f>
        <v>0</v>
      </c>
      <c r="W635" s="17">
        <f>IF(B635&lt;='Input sheet(dashboard)'!$D$27*12,J635-I635+V635-N635,0)</f>
        <v>0</v>
      </c>
      <c r="X635" s="3">
        <f>IF(B635&lt;='Input sheet(dashboard)'!$D$27*12,'Input sheet(dashboard)'!$D$17*(1+'Input sheet(dashboard)'!$E$23)^(B635-1),0)</f>
        <v>0</v>
      </c>
      <c r="Y635" s="3"/>
      <c r="Z635" s="18"/>
      <c r="AA635" s="18"/>
      <c r="AB635" s="3">
        <f>IF(B635=1,'Input sheet(dashboard)'!$D$18*Calculations!X635,IF(Calculations!B635=12*'Input sheet(dashboard)'!$D$27,'Input sheet(dashboard)'!$D$18*-Calculations!X635,0))</f>
        <v>0</v>
      </c>
      <c r="AC635" s="3">
        <f>IF(B635&lt;='Input sheet(dashboard)'!$D$27*12,IF(MOD(B634,'Input sheet(dashboard)'!$D$19*12),0,'Input sheet(dashboard)'!$D$20*(1+'Input sheet(dashboard)'!$E$22)^Calculations!B635),0)</f>
        <v>0</v>
      </c>
      <c r="AD635" s="17">
        <f t="shared" si="84"/>
        <v>0</v>
      </c>
      <c r="AE635" s="17">
        <f>IF(B635&lt;='Input sheet(dashboard)'!$D$27*12,IF(D635=12,SUM(AD624:AD635),0),0)</f>
        <v>0</v>
      </c>
      <c r="AF635" s="17">
        <f t="shared" si="85"/>
        <v>0</v>
      </c>
      <c r="AG635" s="17">
        <f t="shared" si="86"/>
        <v>0</v>
      </c>
      <c r="AH635" s="3" t="str">
        <f>IF(B635&lt;='Input sheet(dashboard)'!$D$27*12,AH634*(1+'Input sheet(dashboard)'!$E$25)+AG635," ")</f>
        <v xml:space="preserve"> </v>
      </c>
    </row>
    <row r="636" spans="2:34">
      <c r="B636">
        <f t="shared" si="81"/>
        <v>633</v>
      </c>
      <c r="C636">
        <f t="shared" si="88"/>
        <v>53</v>
      </c>
      <c r="D636">
        <f t="shared" si="89"/>
        <v>9</v>
      </c>
      <c r="E636" s="15">
        <f>IF(C636&lt;='Input sheet(dashboard)'!$D$6, -PMT('Input sheet(dashboard)'!$E$5,'Input sheet(dashboard)'!$D$6*12,'Input sheet(dashboard)'!$D$3*'Input sheet(dashboard)'!$D$4),0)</f>
        <v>0</v>
      </c>
      <c r="F636" s="3">
        <f>I635*'Input sheet(dashboard)'!$E$5</f>
        <v>2.0309667543143273E-11</v>
      </c>
      <c r="G636" s="3">
        <f>IF(C636&lt;='Input sheet(dashboard)'!$D$6,E636*'Input sheet(dashboard)'!$D$7,0)</f>
        <v>0</v>
      </c>
      <c r="H636" s="3">
        <f t="shared" si="82"/>
        <v>-2.0309667543143273E-11</v>
      </c>
      <c r="I636" s="3">
        <f t="shared" si="83"/>
        <v>5.595617369235735E-9</v>
      </c>
      <c r="J636" s="3">
        <f>IF(B636&lt;='Input sheet(dashboard)'!$D$27*12,'Input sheet(dashboard)'!$D$3*(1+'Input sheet(dashboard)'!$E$24)^B636,0)</f>
        <v>0</v>
      </c>
      <c r="K636" s="3">
        <f>IF(B636&lt;='Input sheet(dashboard)'!$D$27*12,J636*'Input sheet(dashboard)'!$E$8,0)</f>
        <v>0</v>
      </c>
      <c r="L636" s="3">
        <f>IF(B636&lt;='Input sheet(dashboard)'!$D$27*12,'Input sheet(dashboard)'!$D$9*(1+'Input sheet(dashboard)'!$E$22)^B636,0)</f>
        <v>0</v>
      </c>
      <c r="M636" s="3">
        <f>IF(B636=1,'Input sheet(dashboard)'!$D$3*'Input sheet(dashboard)'!$D$10,0)</f>
        <v>0</v>
      </c>
      <c r="N636" s="3">
        <f>IF(B636='Input sheet(dashboard)'!$D$27*12,J636*'Input sheet(dashboard)'!$D$11,0)</f>
        <v>0</v>
      </c>
      <c r="O636" s="3">
        <f>IF(SUM(F636:F647)&gt;=150000,150000/12*'Input sheet(dashboard)'!$D$28,SUM(F636:F647)/12*'Input sheet(dashboard)'!$D$28)</f>
        <v>3.1082340436936371E-12</v>
      </c>
      <c r="P636" s="3">
        <f t="shared" si="87"/>
        <v>0</v>
      </c>
      <c r="Q636" s="3">
        <f>IF(B636&lt;='Input sheet(dashboard)'!$D$27*12,'Input sheet(dashboard)'!$D$12/12,0)</f>
        <v>0</v>
      </c>
      <c r="R636" s="3">
        <f>IF(B636&lt;='Input sheet(dashboard)'!$D$27*12,('Input sheet(dashboard)'!$D$15/12)*(1+'Input sheet(dashboard)'!$E$22)^Calculations!B636,0)</f>
        <v>0</v>
      </c>
      <c r="S636" s="3">
        <f>IF(B636&lt;='Input sheet(dashboard)'!$D$27*12,(E636+G636+K636+L636-O636+M636+Q636+R636),0)</f>
        <v>0</v>
      </c>
      <c r="T636" s="3">
        <f>IF(B636&lt;='Input sheet(dashboard)'!$D$27*12,IF(D636=12,SUM(S625:S636),0),0)</f>
        <v>0</v>
      </c>
      <c r="U636" s="3">
        <f>IF(B636&lt;='Input sheet(dashboard)'!$D$27*12,IF(S636&lt;AD636,AD636-S636,0),0)</f>
        <v>0</v>
      </c>
      <c r="V636" s="3">
        <f>IF(B636&lt;='Input sheet(dashboard)'!$D$27*12,V635*(1+'Input sheet(dashboard)'!$E$25)+U636,0)</f>
        <v>0</v>
      </c>
      <c r="W636" s="17">
        <f>IF(B636&lt;='Input sheet(dashboard)'!$D$27*12,J636-I636+V636-N636,0)</f>
        <v>0</v>
      </c>
      <c r="X636" s="3">
        <f>IF(B636&lt;='Input sheet(dashboard)'!$D$27*12,'Input sheet(dashboard)'!$D$17*(1+'Input sheet(dashboard)'!$E$23)^(B636-1),0)</f>
        <v>0</v>
      </c>
      <c r="Y636" s="3"/>
      <c r="Z636" s="18"/>
      <c r="AA636" s="18"/>
      <c r="AB636" s="3">
        <f>IF(B636=1,'Input sheet(dashboard)'!$D$18*Calculations!X636,IF(Calculations!B636=12*'Input sheet(dashboard)'!$D$27,'Input sheet(dashboard)'!$D$18*-Calculations!X636,0))</f>
        <v>0</v>
      </c>
      <c r="AC636" s="3">
        <f>IF(B636&lt;='Input sheet(dashboard)'!$D$27*12,IF(MOD(B635,'Input sheet(dashboard)'!$D$19*12),0,'Input sheet(dashboard)'!$D$20*(1+'Input sheet(dashboard)'!$E$22)^Calculations!B636),0)</f>
        <v>0</v>
      </c>
      <c r="AD636" s="17">
        <f t="shared" si="84"/>
        <v>0</v>
      </c>
      <c r="AE636" s="17">
        <f>IF(B636&lt;='Input sheet(dashboard)'!$D$27*12,IF(D636=12,SUM(AD625:AD636),0),0)</f>
        <v>0</v>
      </c>
      <c r="AF636" s="17">
        <f t="shared" si="85"/>
        <v>0</v>
      </c>
      <c r="AG636" s="17">
        <f t="shared" si="86"/>
        <v>0</v>
      </c>
      <c r="AH636" s="3" t="str">
        <f>IF(B636&lt;='Input sheet(dashboard)'!$D$27*12,AH635*(1+'Input sheet(dashboard)'!$E$25)+AG636," ")</f>
        <v xml:space="preserve"> </v>
      </c>
    </row>
    <row r="637" spans="2:34">
      <c r="B637">
        <f t="shared" si="81"/>
        <v>634</v>
      </c>
      <c r="C637">
        <f t="shared" si="88"/>
        <v>53</v>
      </c>
      <c r="D637">
        <f t="shared" si="89"/>
        <v>10</v>
      </c>
      <c r="E637" s="15">
        <f>IF(C637&lt;='Input sheet(dashboard)'!$D$6, -PMT('Input sheet(dashboard)'!$E$5,'Input sheet(dashboard)'!$D$6*12,'Input sheet(dashboard)'!$D$3*'Input sheet(dashboard)'!$D$4),0)</f>
        <v>0</v>
      </c>
      <c r="F637" s="3">
        <f>I636*'Input sheet(dashboard)'!$E$5</f>
        <v>2.0383651369289368E-11</v>
      </c>
      <c r="G637" s="3">
        <f>IF(C637&lt;='Input sheet(dashboard)'!$D$6,E637*'Input sheet(dashboard)'!$D$7,0)</f>
        <v>0</v>
      </c>
      <c r="H637" s="3">
        <f t="shared" si="82"/>
        <v>-2.0383651369289368E-11</v>
      </c>
      <c r="I637" s="3">
        <f t="shared" si="83"/>
        <v>5.6160010206050243E-9</v>
      </c>
      <c r="J637" s="3">
        <f>IF(B637&lt;='Input sheet(dashboard)'!$D$27*12,'Input sheet(dashboard)'!$D$3*(1+'Input sheet(dashboard)'!$E$24)^B637,0)</f>
        <v>0</v>
      </c>
      <c r="K637" s="3">
        <f>IF(B637&lt;='Input sheet(dashboard)'!$D$27*12,J637*'Input sheet(dashboard)'!$E$8,0)</f>
        <v>0</v>
      </c>
      <c r="L637" s="3">
        <f>IF(B637&lt;='Input sheet(dashboard)'!$D$27*12,'Input sheet(dashboard)'!$D$9*(1+'Input sheet(dashboard)'!$E$22)^B637,0)</f>
        <v>0</v>
      </c>
      <c r="M637" s="3">
        <f>IF(B637=1,'Input sheet(dashboard)'!$D$3*'Input sheet(dashboard)'!$D$10,0)</f>
        <v>0</v>
      </c>
      <c r="N637" s="3">
        <f>IF(B637='Input sheet(dashboard)'!$D$27*12,J637*'Input sheet(dashboard)'!$D$11,0)</f>
        <v>0</v>
      </c>
      <c r="O637" s="3">
        <f>IF(SUM(F637:F648)&gt;=150000,150000/12*'Input sheet(dashboard)'!$D$28,SUM(F637:F648)/12*'Input sheet(dashboard)'!$D$28)</f>
        <v>3.1195566833489393E-12</v>
      </c>
      <c r="P637" s="3">
        <f t="shared" si="87"/>
        <v>0</v>
      </c>
      <c r="Q637" s="3">
        <f>IF(B637&lt;='Input sheet(dashboard)'!$D$27*12,'Input sheet(dashboard)'!$D$12/12,0)</f>
        <v>0</v>
      </c>
      <c r="R637" s="3">
        <f>IF(B637&lt;='Input sheet(dashboard)'!$D$27*12,('Input sheet(dashboard)'!$D$15/12)*(1+'Input sheet(dashboard)'!$E$22)^Calculations!B637,0)</f>
        <v>0</v>
      </c>
      <c r="S637" s="3">
        <f>IF(B637&lt;='Input sheet(dashboard)'!$D$27*12,(E637+G637+K637+L637-O637+M637+Q637+R637),0)</f>
        <v>0</v>
      </c>
      <c r="T637" s="3">
        <f>IF(B637&lt;='Input sheet(dashboard)'!$D$27*12,IF(D637=12,SUM(S626:S637),0),0)</f>
        <v>0</v>
      </c>
      <c r="U637" s="3">
        <f>IF(B637&lt;='Input sheet(dashboard)'!$D$27*12,IF(S637&lt;AD637,AD637-S637,0),0)</f>
        <v>0</v>
      </c>
      <c r="V637" s="3">
        <f>IF(B637&lt;='Input sheet(dashboard)'!$D$27*12,V636*(1+'Input sheet(dashboard)'!$E$25)+U637,0)</f>
        <v>0</v>
      </c>
      <c r="W637" s="17">
        <f>IF(B637&lt;='Input sheet(dashboard)'!$D$27*12,J637-I637+V637-N637,0)</f>
        <v>0</v>
      </c>
      <c r="X637" s="3">
        <f>IF(B637&lt;='Input sheet(dashboard)'!$D$27*12,'Input sheet(dashboard)'!$D$17*(1+'Input sheet(dashboard)'!$E$23)^(B637-1),0)</f>
        <v>0</v>
      </c>
      <c r="Y637" s="3"/>
      <c r="Z637" s="18"/>
      <c r="AA637" s="18"/>
      <c r="AB637" s="3">
        <f>IF(B637=1,'Input sheet(dashboard)'!$D$18*Calculations!X637,IF(Calculations!B637=12*'Input sheet(dashboard)'!$D$27,'Input sheet(dashboard)'!$D$18*-Calculations!X637,0))</f>
        <v>0</v>
      </c>
      <c r="AC637" s="3">
        <f>IF(B637&lt;='Input sheet(dashboard)'!$D$27*12,IF(MOD(B636,'Input sheet(dashboard)'!$D$19*12),0,'Input sheet(dashboard)'!$D$20*(1+'Input sheet(dashboard)'!$E$22)^Calculations!B637),0)</f>
        <v>0</v>
      </c>
      <c r="AD637" s="17">
        <f t="shared" si="84"/>
        <v>0</v>
      </c>
      <c r="AE637" s="17">
        <f>IF(B637&lt;='Input sheet(dashboard)'!$D$27*12,IF(D637=12,SUM(AD626:AD637),0),0)</f>
        <v>0</v>
      </c>
      <c r="AF637" s="17">
        <f t="shared" si="85"/>
        <v>0</v>
      </c>
      <c r="AG637" s="17">
        <f t="shared" si="86"/>
        <v>0</v>
      </c>
      <c r="AH637" s="3" t="str">
        <f>IF(B637&lt;='Input sheet(dashboard)'!$D$27*12,AH636*(1+'Input sheet(dashboard)'!$E$25)+AG637," ")</f>
        <v xml:space="preserve"> </v>
      </c>
    </row>
    <row r="638" spans="2:34">
      <c r="B638">
        <f t="shared" si="81"/>
        <v>635</v>
      </c>
      <c r="C638">
        <f t="shared" si="88"/>
        <v>53</v>
      </c>
      <c r="D638">
        <f t="shared" si="89"/>
        <v>11</v>
      </c>
      <c r="E638" s="15">
        <f>IF(C638&lt;='Input sheet(dashboard)'!$D$6, -PMT('Input sheet(dashboard)'!$E$5,'Input sheet(dashboard)'!$D$6*12,'Input sheet(dashboard)'!$D$3*'Input sheet(dashboard)'!$D$4),0)</f>
        <v>0</v>
      </c>
      <c r="F638" s="3">
        <f>I637*'Input sheet(dashboard)'!$E$5</f>
        <v>2.0457904702876665E-11</v>
      </c>
      <c r="G638" s="3">
        <f>IF(C638&lt;='Input sheet(dashboard)'!$D$6,E638*'Input sheet(dashboard)'!$D$7,0)</f>
        <v>0</v>
      </c>
      <c r="H638" s="3">
        <f t="shared" si="82"/>
        <v>-2.0457904702876665E-11</v>
      </c>
      <c r="I638" s="3">
        <f t="shared" si="83"/>
        <v>5.6364589253079009E-9</v>
      </c>
      <c r="J638" s="3">
        <f>IF(B638&lt;='Input sheet(dashboard)'!$D$27*12,'Input sheet(dashboard)'!$D$3*(1+'Input sheet(dashboard)'!$E$24)^B638,0)</f>
        <v>0</v>
      </c>
      <c r="K638" s="3">
        <f>IF(B638&lt;='Input sheet(dashboard)'!$D$27*12,J638*'Input sheet(dashboard)'!$E$8,0)</f>
        <v>0</v>
      </c>
      <c r="L638" s="3">
        <f>IF(B638&lt;='Input sheet(dashboard)'!$D$27*12,'Input sheet(dashboard)'!$D$9*(1+'Input sheet(dashboard)'!$E$22)^B638,0)</f>
        <v>0</v>
      </c>
      <c r="M638" s="3">
        <f>IF(B638=1,'Input sheet(dashboard)'!$D$3*'Input sheet(dashboard)'!$D$10,0)</f>
        <v>0</v>
      </c>
      <c r="N638" s="3">
        <f>IF(B638='Input sheet(dashboard)'!$D$27*12,J638*'Input sheet(dashboard)'!$D$11,0)</f>
        <v>0</v>
      </c>
      <c r="O638" s="3">
        <f>IF(SUM(F638:F649)&gt;=150000,150000/12*'Input sheet(dashboard)'!$D$28,SUM(F638:F649)/12*'Input sheet(dashboard)'!$D$28)</f>
        <v>3.1309205689873187E-12</v>
      </c>
      <c r="P638" s="3">
        <f t="shared" si="87"/>
        <v>0</v>
      </c>
      <c r="Q638" s="3">
        <f>IF(B638&lt;='Input sheet(dashboard)'!$D$27*12,'Input sheet(dashboard)'!$D$12/12,0)</f>
        <v>0</v>
      </c>
      <c r="R638" s="3">
        <f>IF(B638&lt;='Input sheet(dashboard)'!$D$27*12,('Input sheet(dashboard)'!$D$15/12)*(1+'Input sheet(dashboard)'!$E$22)^Calculations!B638,0)</f>
        <v>0</v>
      </c>
      <c r="S638" s="3">
        <f>IF(B638&lt;='Input sheet(dashboard)'!$D$27*12,(E638+G638+K638+L638-O638+M638+Q638+R638),0)</f>
        <v>0</v>
      </c>
      <c r="T638" s="3">
        <f>IF(B638&lt;='Input sheet(dashboard)'!$D$27*12,IF(D638=12,SUM(S627:S638),0),0)</f>
        <v>0</v>
      </c>
      <c r="U638" s="3">
        <f>IF(B638&lt;='Input sheet(dashboard)'!$D$27*12,IF(S638&lt;AD638,AD638-S638,0),0)</f>
        <v>0</v>
      </c>
      <c r="V638" s="3">
        <f>IF(B638&lt;='Input sheet(dashboard)'!$D$27*12,V637*(1+'Input sheet(dashboard)'!$E$25)+U638,0)</f>
        <v>0</v>
      </c>
      <c r="W638" s="17">
        <f>IF(B638&lt;='Input sheet(dashboard)'!$D$27*12,J638-I638+V638-N638,0)</f>
        <v>0</v>
      </c>
      <c r="X638" s="3">
        <f>IF(B638&lt;='Input sheet(dashboard)'!$D$27*12,'Input sheet(dashboard)'!$D$17*(1+'Input sheet(dashboard)'!$E$23)^(B638-1),0)</f>
        <v>0</v>
      </c>
      <c r="Y638" s="3"/>
      <c r="Z638" s="18"/>
      <c r="AA638" s="18"/>
      <c r="AB638" s="3">
        <f>IF(B638=1,'Input sheet(dashboard)'!$D$18*Calculations!X638,IF(Calculations!B638=12*'Input sheet(dashboard)'!$D$27,'Input sheet(dashboard)'!$D$18*-Calculations!X638,0))</f>
        <v>0</v>
      </c>
      <c r="AC638" s="3">
        <f>IF(B638&lt;='Input sheet(dashboard)'!$D$27*12,IF(MOD(B637,'Input sheet(dashboard)'!$D$19*12),0,'Input sheet(dashboard)'!$D$20*(1+'Input sheet(dashboard)'!$E$22)^Calculations!B638),0)</f>
        <v>0</v>
      </c>
      <c r="AD638" s="17">
        <f t="shared" si="84"/>
        <v>0</v>
      </c>
      <c r="AE638" s="17">
        <f>IF(B638&lt;='Input sheet(dashboard)'!$D$27*12,IF(D638=12,SUM(AD627:AD638),0),0)</f>
        <v>0</v>
      </c>
      <c r="AF638" s="17">
        <f t="shared" si="85"/>
        <v>0</v>
      </c>
      <c r="AG638" s="17">
        <f t="shared" si="86"/>
        <v>0</v>
      </c>
      <c r="AH638" s="3" t="str">
        <f>IF(B638&lt;='Input sheet(dashboard)'!$D$27*12,AH637*(1+'Input sheet(dashboard)'!$E$25)+AG638," ")</f>
        <v xml:space="preserve"> </v>
      </c>
    </row>
    <row r="639" spans="2:34">
      <c r="B639">
        <f t="shared" si="81"/>
        <v>636</v>
      </c>
      <c r="C639">
        <f t="shared" si="88"/>
        <v>53</v>
      </c>
      <c r="D639">
        <f t="shared" si="89"/>
        <v>12</v>
      </c>
      <c r="E639" s="15">
        <f>IF(C639&lt;='Input sheet(dashboard)'!$D$6, -PMT('Input sheet(dashboard)'!$E$5,'Input sheet(dashboard)'!$D$6*12,'Input sheet(dashboard)'!$D$3*'Input sheet(dashboard)'!$D$4),0)</f>
        <v>0</v>
      </c>
      <c r="F639" s="3">
        <f>I638*'Input sheet(dashboard)'!$E$5</f>
        <v>2.0532428525663807E-11</v>
      </c>
      <c r="G639" s="3">
        <f>IF(C639&lt;='Input sheet(dashboard)'!$D$6,E639*'Input sheet(dashboard)'!$D$7,0)</f>
        <v>0</v>
      </c>
      <c r="H639" s="3">
        <f t="shared" si="82"/>
        <v>-2.0532428525663807E-11</v>
      </c>
      <c r="I639" s="3">
        <f t="shared" si="83"/>
        <v>5.6569913538335648E-9</v>
      </c>
      <c r="J639" s="3">
        <f>IF(B639&lt;='Input sheet(dashboard)'!$D$27*12,'Input sheet(dashboard)'!$D$3*(1+'Input sheet(dashboard)'!$E$24)^B639,0)</f>
        <v>0</v>
      </c>
      <c r="K639" s="3">
        <f>IF(B639&lt;='Input sheet(dashboard)'!$D$27*12,J639*'Input sheet(dashboard)'!$E$8,0)</f>
        <v>0</v>
      </c>
      <c r="L639" s="3">
        <f>IF(B639&lt;='Input sheet(dashboard)'!$D$27*12,'Input sheet(dashboard)'!$D$9*(1+'Input sheet(dashboard)'!$E$22)^B639,0)</f>
        <v>0</v>
      </c>
      <c r="M639" s="3">
        <f>IF(B639=1,'Input sheet(dashboard)'!$D$3*'Input sheet(dashboard)'!$D$10,0)</f>
        <v>0</v>
      </c>
      <c r="N639" s="3">
        <f>IF(B639='Input sheet(dashboard)'!$D$27*12,J639*'Input sheet(dashboard)'!$D$11,0)</f>
        <v>0</v>
      </c>
      <c r="O639" s="3">
        <f>IF(SUM(F639:F650)&gt;=150000,150000/12*'Input sheet(dashboard)'!$D$28,SUM(F639:F650)/12*'Input sheet(dashboard)'!$D$28)</f>
        <v>3.1423258508591721E-12</v>
      </c>
      <c r="P639" s="3">
        <f t="shared" si="87"/>
        <v>3.9320522743605589E-11</v>
      </c>
      <c r="Q639" s="3">
        <f>IF(B639&lt;='Input sheet(dashboard)'!$D$27*12,'Input sheet(dashboard)'!$D$12/12,0)</f>
        <v>0</v>
      </c>
      <c r="R639" s="3">
        <f>IF(B639&lt;='Input sheet(dashboard)'!$D$27*12,('Input sheet(dashboard)'!$D$15/12)*(1+'Input sheet(dashboard)'!$E$22)^Calculations!B639,0)</f>
        <v>0</v>
      </c>
      <c r="S639" s="3">
        <f>IF(B639&lt;='Input sheet(dashboard)'!$D$27*12,(E639+G639+K639+L639-O639+M639+Q639+R639),0)</f>
        <v>0</v>
      </c>
      <c r="T639" s="3">
        <f>IF(B639&lt;='Input sheet(dashboard)'!$D$27*12,IF(D639=12,SUM(S628:S639),0),0)</f>
        <v>0</v>
      </c>
      <c r="U639" s="3">
        <f>IF(B639&lt;='Input sheet(dashboard)'!$D$27*12,IF(S639&lt;AD639,AD639-S639,0),0)</f>
        <v>0</v>
      </c>
      <c r="V639" s="3">
        <f>IF(B639&lt;='Input sheet(dashboard)'!$D$27*12,V638*(1+'Input sheet(dashboard)'!$E$25)+U639,0)</f>
        <v>0</v>
      </c>
      <c r="W639" s="17">
        <f>IF(B639&lt;='Input sheet(dashboard)'!$D$27*12,J639-I639+V639-N639,0)</f>
        <v>0</v>
      </c>
      <c r="X639" s="3">
        <f>IF(B639&lt;='Input sheet(dashboard)'!$D$27*12,'Input sheet(dashboard)'!$D$17*(1+'Input sheet(dashboard)'!$E$23)^(B639-1),0)</f>
        <v>0</v>
      </c>
      <c r="Y639" s="3"/>
      <c r="Z639" s="18"/>
      <c r="AA639" s="18"/>
      <c r="AB639" s="3">
        <f>IF(B639=1,'Input sheet(dashboard)'!$D$18*Calculations!X639,IF(Calculations!B639=12*'Input sheet(dashboard)'!$D$27,'Input sheet(dashboard)'!$D$18*-Calculations!X639,0))</f>
        <v>0</v>
      </c>
      <c r="AC639" s="3">
        <f>IF(B639&lt;='Input sheet(dashboard)'!$D$27*12,IF(MOD(B638,'Input sheet(dashboard)'!$D$19*12),0,'Input sheet(dashboard)'!$D$20*(1+'Input sheet(dashboard)'!$E$22)^Calculations!B639),0)</f>
        <v>0</v>
      </c>
      <c r="AD639" s="17">
        <f t="shared" si="84"/>
        <v>0</v>
      </c>
      <c r="AE639" s="17">
        <f>IF(B639&lt;='Input sheet(dashboard)'!$D$27*12,IF(D639=12,SUM(AD628:AD639),0),0)</f>
        <v>0</v>
      </c>
      <c r="AF639" s="17">
        <f t="shared" si="85"/>
        <v>0</v>
      </c>
      <c r="AG639" s="17">
        <f t="shared" si="86"/>
        <v>0</v>
      </c>
      <c r="AH639" s="3" t="str">
        <f>IF(B639&lt;='Input sheet(dashboard)'!$D$27*12,AH638*(1+'Input sheet(dashboard)'!$E$25)+AG639," ")</f>
        <v xml:space="preserve"> </v>
      </c>
    </row>
    <row r="640" spans="2:34">
      <c r="B640">
        <f t="shared" si="81"/>
        <v>637</v>
      </c>
      <c r="C640">
        <f t="shared" si="88"/>
        <v>54</v>
      </c>
      <c r="D640">
        <f t="shared" si="89"/>
        <v>1</v>
      </c>
      <c r="E640" s="15">
        <f>IF(C640&lt;='Input sheet(dashboard)'!$D$6, -PMT('Input sheet(dashboard)'!$E$5,'Input sheet(dashboard)'!$D$6*12,'Input sheet(dashboard)'!$D$3*'Input sheet(dashboard)'!$D$4),0)</f>
        <v>0</v>
      </c>
      <c r="F640" s="3">
        <f>I639*'Input sheet(dashboard)'!$E$5</f>
        <v>2.0607223822985779E-11</v>
      </c>
      <c r="G640" s="3">
        <f>IF(C640&lt;='Input sheet(dashboard)'!$D$6,E640*'Input sheet(dashboard)'!$D$7,0)</f>
        <v>0</v>
      </c>
      <c r="H640" s="3">
        <f t="shared" si="82"/>
        <v>-2.0607223822985779E-11</v>
      </c>
      <c r="I640" s="3">
        <f t="shared" si="83"/>
        <v>5.6775985776565504E-9</v>
      </c>
      <c r="J640" s="3">
        <f>IF(B640&lt;='Input sheet(dashboard)'!$D$27*12,'Input sheet(dashboard)'!$D$3*(1+'Input sheet(dashboard)'!$E$24)^B640,0)</f>
        <v>0</v>
      </c>
      <c r="K640" s="3">
        <f>IF(B640&lt;='Input sheet(dashboard)'!$D$27*12,J640*'Input sheet(dashboard)'!$E$8,0)</f>
        <v>0</v>
      </c>
      <c r="L640" s="3">
        <f>IF(B640&lt;='Input sheet(dashboard)'!$D$27*12,'Input sheet(dashboard)'!$D$9*(1+'Input sheet(dashboard)'!$E$22)^B640,0)</f>
        <v>0</v>
      </c>
      <c r="M640" s="3">
        <f>IF(B640=1,'Input sheet(dashboard)'!$D$3*'Input sheet(dashboard)'!$D$10,0)</f>
        <v>0</v>
      </c>
      <c r="N640" s="3">
        <f>IF(B640='Input sheet(dashboard)'!$D$27*12,J640*'Input sheet(dashboard)'!$D$11,0)</f>
        <v>0</v>
      </c>
      <c r="O640" s="3">
        <f>IF(SUM(F640:F651)&gt;=150000,150000/12*'Input sheet(dashboard)'!$D$28,SUM(F640:F651)/12*'Input sheet(dashboard)'!$D$28)</f>
        <v>3.1537726797622304E-12</v>
      </c>
      <c r="P640" s="3">
        <f t="shared" si="87"/>
        <v>0</v>
      </c>
      <c r="Q640" s="3">
        <f>IF(B640&lt;='Input sheet(dashboard)'!$D$27*12,'Input sheet(dashboard)'!$D$12/12,0)</f>
        <v>0</v>
      </c>
      <c r="R640" s="3">
        <f>IF(B640&lt;='Input sheet(dashboard)'!$D$27*12,('Input sheet(dashboard)'!$D$15/12)*(1+'Input sheet(dashboard)'!$E$22)^Calculations!B640,0)</f>
        <v>0</v>
      </c>
      <c r="S640" s="3">
        <f>IF(B640&lt;='Input sheet(dashboard)'!$D$27*12,(E640+G640+K640+L640-O640+M640+Q640+R640),0)</f>
        <v>0</v>
      </c>
      <c r="T640" s="3">
        <f>IF(B640&lt;='Input sheet(dashboard)'!$D$27*12,IF(D640=12,SUM(S629:S640),0),0)</f>
        <v>0</v>
      </c>
      <c r="U640" s="3">
        <f>IF(B640&lt;='Input sheet(dashboard)'!$D$27*12,IF(S640&lt;AD640,AD640-S640,0),0)</f>
        <v>0</v>
      </c>
      <c r="V640" s="3">
        <f>IF(B640&lt;='Input sheet(dashboard)'!$D$27*12,V639*(1+'Input sheet(dashboard)'!$E$25)+U640,0)</f>
        <v>0</v>
      </c>
      <c r="W640" s="17">
        <f>IF(B640&lt;='Input sheet(dashboard)'!$D$27*12,J640-I640+V640-N640,0)</f>
        <v>0</v>
      </c>
      <c r="X640" s="3">
        <f>IF(B640&lt;='Input sheet(dashboard)'!$D$27*12,'Input sheet(dashboard)'!$D$17*(1+'Input sheet(dashboard)'!$E$23)^(B640-1),0)</f>
        <v>0</v>
      </c>
      <c r="Y640" s="3"/>
      <c r="Z640" s="18"/>
      <c r="AA640" s="18"/>
      <c r="AB640" s="3">
        <f>IF(B640=1,'Input sheet(dashboard)'!$D$18*Calculations!X640,IF(Calculations!B640=12*'Input sheet(dashboard)'!$D$27,'Input sheet(dashboard)'!$D$18*-Calculations!X640,0))</f>
        <v>0</v>
      </c>
      <c r="AC640" s="3">
        <f>IF(B640&lt;='Input sheet(dashboard)'!$D$27*12,IF(MOD(B639,'Input sheet(dashboard)'!$D$19*12),0,'Input sheet(dashboard)'!$D$20*(1+'Input sheet(dashboard)'!$E$22)^Calculations!B640),0)</f>
        <v>0</v>
      </c>
      <c r="AD640" s="17">
        <f t="shared" si="84"/>
        <v>0</v>
      </c>
      <c r="AE640" s="17">
        <f>IF(B640&lt;='Input sheet(dashboard)'!$D$27*12,IF(D640=12,SUM(AD629:AD640),0),0)</f>
        <v>0</v>
      </c>
      <c r="AF640" s="17">
        <f t="shared" si="85"/>
        <v>0</v>
      </c>
      <c r="AG640" s="17">
        <f t="shared" si="86"/>
        <v>0</v>
      </c>
      <c r="AH640" s="3" t="str">
        <f>IF(B640&lt;='Input sheet(dashboard)'!$D$27*12,AH639*(1+'Input sheet(dashboard)'!$E$25)+AG640," ")</f>
        <v xml:space="preserve"> </v>
      </c>
    </row>
    <row r="641" spans="2:34">
      <c r="B641">
        <f t="shared" si="81"/>
        <v>638</v>
      </c>
      <c r="C641">
        <f t="shared" si="88"/>
        <v>54</v>
      </c>
      <c r="D641">
        <f t="shared" si="89"/>
        <v>2</v>
      </c>
      <c r="E641" s="15">
        <f>IF(C641&lt;='Input sheet(dashboard)'!$D$6, -PMT('Input sheet(dashboard)'!$E$5,'Input sheet(dashboard)'!$D$6*12,'Input sheet(dashboard)'!$D$3*'Input sheet(dashboard)'!$D$4),0)</f>
        <v>0</v>
      </c>
      <c r="F641" s="3">
        <f>I640*'Input sheet(dashboard)'!$E$5</f>
        <v>2.0682291583766934E-11</v>
      </c>
      <c r="G641" s="3">
        <f>IF(C641&lt;='Input sheet(dashboard)'!$D$6,E641*'Input sheet(dashboard)'!$D$7,0)</f>
        <v>0</v>
      </c>
      <c r="H641" s="3">
        <f t="shared" si="82"/>
        <v>-2.0682291583766934E-11</v>
      </c>
      <c r="I641" s="3">
        <f t="shared" si="83"/>
        <v>5.6982808692403172E-9</v>
      </c>
      <c r="J641" s="3">
        <f>IF(B641&lt;='Input sheet(dashboard)'!$D$27*12,'Input sheet(dashboard)'!$D$3*(1+'Input sheet(dashboard)'!$E$24)^B641,0)</f>
        <v>0</v>
      </c>
      <c r="K641" s="3">
        <f>IF(B641&lt;='Input sheet(dashboard)'!$D$27*12,J641*'Input sheet(dashboard)'!$E$8,0)</f>
        <v>0</v>
      </c>
      <c r="L641" s="3">
        <f>IF(B641&lt;='Input sheet(dashboard)'!$D$27*12,'Input sheet(dashboard)'!$D$9*(1+'Input sheet(dashboard)'!$E$22)^B641,0)</f>
        <v>0</v>
      </c>
      <c r="M641" s="3">
        <f>IF(B641=1,'Input sheet(dashboard)'!$D$3*'Input sheet(dashboard)'!$D$10,0)</f>
        <v>0</v>
      </c>
      <c r="N641" s="3">
        <f>IF(B641='Input sheet(dashboard)'!$D$27*12,J641*'Input sheet(dashboard)'!$D$11,0)</f>
        <v>0</v>
      </c>
      <c r="O641" s="3">
        <f>IF(SUM(F641:F652)&gt;=150000,150000/12*'Input sheet(dashboard)'!$D$28,SUM(F641:F652)/12*'Input sheet(dashboard)'!$D$28)</f>
        <v>3.1652612070435448E-12</v>
      </c>
      <c r="P641" s="3">
        <f t="shared" si="87"/>
        <v>0</v>
      </c>
      <c r="Q641" s="3">
        <f>IF(B641&lt;='Input sheet(dashboard)'!$D$27*12,'Input sheet(dashboard)'!$D$12/12,0)</f>
        <v>0</v>
      </c>
      <c r="R641" s="3">
        <f>IF(B641&lt;='Input sheet(dashboard)'!$D$27*12,('Input sheet(dashboard)'!$D$15/12)*(1+'Input sheet(dashboard)'!$E$22)^Calculations!B641,0)</f>
        <v>0</v>
      </c>
      <c r="S641" s="3">
        <f>IF(B641&lt;='Input sheet(dashboard)'!$D$27*12,(E641+G641+K641+L641-O641+M641+Q641+R641),0)</f>
        <v>0</v>
      </c>
      <c r="T641" s="3">
        <f>IF(B641&lt;='Input sheet(dashboard)'!$D$27*12,IF(D641=12,SUM(S630:S641),0),0)</f>
        <v>0</v>
      </c>
      <c r="U641" s="3">
        <f>IF(B641&lt;='Input sheet(dashboard)'!$D$27*12,IF(S641&lt;AD641,AD641-S641,0),0)</f>
        <v>0</v>
      </c>
      <c r="V641" s="3">
        <f>IF(B641&lt;='Input sheet(dashboard)'!$D$27*12,V640*(1+'Input sheet(dashboard)'!$E$25)+U641,0)</f>
        <v>0</v>
      </c>
      <c r="W641" s="17">
        <f>IF(B641&lt;='Input sheet(dashboard)'!$D$27*12,J641-I641+V641-N641,0)</f>
        <v>0</v>
      </c>
      <c r="X641" s="3">
        <f>IF(B641&lt;='Input sheet(dashboard)'!$D$27*12,'Input sheet(dashboard)'!$D$17*(1+'Input sheet(dashboard)'!$E$23)^(B641-1),0)</f>
        <v>0</v>
      </c>
      <c r="Y641" s="3"/>
      <c r="Z641" s="18"/>
      <c r="AA641" s="18"/>
      <c r="AB641" s="3">
        <f>IF(B641=1,'Input sheet(dashboard)'!$D$18*Calculations!X641,IF(Calculations!B641=12*'Input sheet(dashboard)'!$D$27,'Input sheet(dashboard)'!$D$18*-Calculations!X641,0))</f>
        <v>0</v>
      </c>
      <c r="AC641" s="3">
        <f>IF(B641&lt;='Input sheet(dashboard)'!$D$27*12,IF(MOD(B640,'Input sheet(dashboard)'!$D$19*12),0,'Input sheet(dashboard)'!$D$20*(1+'Input sheet(dashboard)'!$E$22)^Calculations!B641),0)</f>
        <v>0</v>
      </c>
      <c r="AD641" s="17">
        <f t="shared" si="84"/>
        <v>0</v>
      </c>
      <c r="AE641" s="17">
        <f>IF(B641&lt;='Input sheet(dashboard)'!$D$27*12,IF(D641=12,SUM(AD630:AD641),0),0)</f>
        <v>0</v>
      </c>
      <c r="AF641" s="17">
        <f t="shared" si="85"/>
        <v>0</v>
      </c>
      <c r="AG641" s="17">
        <f t="shared" si="86"/>
        <v>0</v>
      </c>
      <c r="AH641" s="3" t="str">
        <f>IF(B641&lt;='Input sheet(dashboard)'!$D$27*12,AH640*(1+'Input sheet(dashboard)'!$E$25)+AG641," ")</f>
        <v xml:space="preserve"> </v>
      </c>
    </row>
    <row r="642" spans="2:34">
      <c r="B642">
        <f t="shared" si="81"/>
        <v>639</v>
      </c>
      <c r="C642">
        <f t="shared" si="88"/>
        <v>54</v>
      </c>
      <c r="D642">
        <f t="shared" si="89"/>
        <v>3</v>
      </c>
      <c r="E642" s="15">
        <f>IF(C642&lt;='Input sheet(dashboard)'!$D$6, -PMT('Input sheet(dashboard)'!$E$5,'Input sheet(dashboard)'!$D$6*12,'Input sheet(dashboard)'!$D$3*'Input sheet(dashboard)'!$D$4),0)</f>
        <v>0</v>
      </c>
      <c r="F642" s="3">
        <f>I641*'Input sheet(dashboard)'!$E$5</f>
        <v>2.075763280053406E-11</v>
      </c>
      <c r="G642" s="3">
        <f>IF(C642&lt;='Input sheet(dashboard)'!$D$6,E642*'Input sheet(dashboard)'!$D$7,0)</f>
        <v>0</v>
      </c>
      <c r="H642" s="3">
        <f t="shared" si="82"/>
        <v>-2.075763280053406E-11</v>
      </c>
      <c r="I642" s="3">
        <f t="shared" si="83"/>
        <v>5.7190385020408511E-9</v>
      </c>
      <c r="J642" s="3">
        <f>IF(B642&lt;='Input sheet(dashboard)'!$D$27*12,'Input sheet(dashboard)'!$D$3*(1+'Input sheet(dashboard)'!$E$24)^B642,0)</f>
        <v>0</v>
      </c>
      <c r="K642" s="3">
        <f>IF(B642&lt;='Input sheet(dashboard)'!$D$27*12,J642*'Input sheet(dashboard)'!$E$8,0)</f>
        <v>0</v>
      </c>
      <c r="L642" s="3">
        <f>IF(B642&lt;='Input sheet(dashboard)'!$D$27*12,'Input sheet(dashboard)'!$D$9*(1+'Input sheet(dashboard)'!$E$22)^B642,0)</f>
        <v>0</v>
      </c>
      <c r="M642" s="3">
        <f>IF(B642=1,'Input sheet(dashboard)'!$D$3*'Input sheet(dashboard)'!$D$10,0)</f>
        <v>0</v>
      </c>
      <c r="N642" s="3">
        <f>IF(B642='Input sheet(dashboard)'!$D$27*12,J642*'Input sheet(dashboard)'!$D$11,0)</f>
        <v>0</v>
      </c>
      <c r="O642" s="3">
        <f>IF(SUM(F642:F653)&gt;=150000,150000/12*'Input sheet(dashboard)'!$D$28,SUM(F642:F653)/12*'Input sheet(dashboard)'!$D$28)</f>
        <v>3.1767915846014949E-12</v>
      </c>
      <c r="P642" s="3">
        <f t="shared" si="87"/>
        <v>0</v>
      </c>
      <c r="Q642" s="3">
        <f>IF(B642&lt;='Input sheet(dashboard)'!$D$27*12,'Input sheet(dashboard)'!$D$12/12,0)</f>
        <v>0</v>
      </c>
      <c r="R642" s="3">
        <f>IF(B642&lt;='Input sheet(dashboard)'!$D$27*12,('Input sheet(dashboard)'!$D$15/12)*(1+'Input sheet(dashboard)'!$E$22)^Calculations!B642,0)</f>
        <v>0</v>
      </c>
      <c r="S642" s="3">
        <f>IF(B642&lt;='Input sheet(dashboard)'!$D$27*12,(E642+G642+K642+L642-O642+M642+Q642+R642),0)</f>
        <v>0</v>
      </c>
      <c r="T642" s="3">
        <f>IF(B642&lt;='Input sheet(dashboard)'!$D$27*12,IF(D642=12,SUM(S631:S642),0),0)</f>
        <v>0</v>
      </c>
      <c r="U642" s="3">
        <f>IF(B642&lt;='Input sheet(dashboard)'!$D$27*12,IF(S642&lt;AD642,AD642-S642,0),0)</f>
        <v>0</v>
      </c>
      <c r="V642" s="3">
        <f>IF(B642&lt;='Input sheet(dashboard)'!$D$27*12,V641*(1+'Input sheet(dashboard)'!$E$25)+U642,0)</f>
        <v>0</v>
      </c>
      <c r="W642" s="17">
        <f>IF(B642&lt;='Input sheet(dashboard)'!$D$27*12,J642-I642+V642-N642,0)</f>
        <v>0</v>
      </c>
      <c r="X642" s="3">
        <f>IF(B642&lt;='Input sheet(dashboard)'!$D$27*12,'Input sheet(dashboard)'!$D$17*(1+'Input sheet(dashboard)'!$E$23)^(B642-1),0)</f>
        <v>0</v>
      </c>
      <c r="Y642" s="3"/>
      <c r="Z642" s="18"/>
      <c r="AA642" s="18"/>
      <c r="AB642" s="3">
        <f>IF(B642=1,'Input sheet(dashboard)'!$D$18*Calculations!X642,IF(Calculations!B642=12*'Input sheet(dashboard)'!$D$27,'Input sheet(dashboard)'!$D$18*-Calculations!X642,0))</f>
        <v>0</v>
      </c>
      <c r="AC642" s="3">
        <f>IF(B642&lt;='Input sheet(dashboard)'!$D$27*12,IF(MOD(B641,'Input sheet(dashboard)'!$D$19*12),0,'Input sheet(dashboard)'!$D$20*(1+'Input sheet(dashboard)'!$E$22)^Calculations!B642),0)</f>
        <v>0</v>
      </c>
      <c r="AD642" s="17">
        <f t="shared" si="84"/>
        <v>0</v>
      </c>
      <c r="AE642" s="17">
        <f>IF(B642&lt;='Input sheet(dashboard)'!$D$27*12,IF(D642=12,SUM(AD631:AD642),0),0)</f>
        <v>0</v>
      </c>
      <c r="AF642" s="17">
        <f t="shared" si="85"/>
        <v>0</v>
      </c>
      <c r="AG642" s="17">
        <f t="shared" si="86"/>
        <v>0</v>
      </c>
      <c r="AH642" s="3" t="str">
        <f>IF(B642&lt;='Input sheet(dashboard)'!$D$27*12,AH641*(1+'Input sheet(dashboard)'!$E$25)+AG642," ")</f>
        <v xml:space="preserve"> </v>
      </c>
    </row>
    <row r="643" spans="2:34">
      <c r="B643">
        <f t="shared" si="81"/>
        <v>640</v>
      </c>
      <c r="C643">
        <f t="shared" si="88"/>
        <v>54</v>
      </c>
      <c r="D643">
        <f t="shared" si="89"/>
        <v>4</v>
      </c>
      <c r="E643" s="15">
        <f>IF(C643&lt;='Input sheet(dashboard)'!$D$6, -PMT('Input sheet(dashboard)'!$E$5,'Input sheet(dashboard)'!$D$6*12,'Input sheet(dashboard)'!$D$3*'Input sheet(dashboard)'!$D$4),0)</f>
        <v>0</v>
      </c>
      <c r="F643" s="3">
        <f>I642*'Input sheet(dashboard)'!$E$5</f>
        <v>2.083324846942952E-11</v>
      </c>
      <c r="G643" s="3">
        <f>IF(C643&lt;='Input sheet(dashboard)'!$D$6,E643*'Input sheet(dashboard)'!$D$7,0)</f>
        <v>0</v>
      </c>
      <c r="H643" s="3">
        <f t="shared" si="82"/>
        <v>-2.083324846942952E-11</v>
      </c>
      <c r="I643" s="3">
        <f t="shared" si="83"/>
        <v>5.7398717505102804E-9</v>
      </c>
      <c r="J643" s="3">
        <f>IF(B643&lt;='Input sheet(dashboard)'!$D$27*12,'Input sheet(dashboard)'!$D$3*(1+'Input sheet(dashboard)'!$E$24)^B643,0)</f>
        <v>0</v>
      </c>
      <c r="K643" s="3">
        <f>IF(B643&lt;='Input sheet(dashboard)'!$D$27*12,J643*'Input sheet(dashboard)'!$E$8,0)</f>
        <v>0</v>
      </c>
      <c r="L643" s="3">
        <f>IF(B643&lt;='Input sheet(dashboard)'!$D$27*12,'Input sheet(dashboard)'!$D$9*(1+'Input sheet(dashboard)'!$E$22)^B643,0)</f>
        <v>0</v>
      </c>
      <c r="M643" s="3">
        <f>IF(B643=1,'Input sheet(dashboard)'!$D$3*'Input sheet(dashboard)'!$D$10,0)</f>
        <v>0</v>
      </c>
      <c r="N643" s="3">
        <f>IF(B643='Input sheet(dashboard)'!$D$27*12,J643*'Input sheet(dashboard)'!$D$11,0)</f>
        <v>0</v>
      </c>
      <c r="O643" s="3">
        <f>IF(SUM(F643:F654)&gt;=150000,150000/12*'Input sheet(dashboard)'!$D$28,SUM(F643:F654)/12*'Input sheet(dashboard)'!$D$28)</f>
        <v>3.1883639648877916E-12</v>
      </c>
      <c r="P643" s="3">
        <f t="shared" si="87"/>
        <v>0</v>
      </c>
      <c r="Q643" s="3">
        <f>IF(B643&lt;='Input sheet(dashboard)'!$D$27*12,'Input sheet(dashboard)'!$D$12/12,0)</f>
        <v>0</v>
      </c>
      <c r="R643" s="3">
        <f>IF(B643&lt;='Input sheet(dashboard)'!$D$27*12,('Input sheet(dashboard)'!$D$15/12)*(1+'Input sheet(dashboard)'!$E$22)^Calculations!B643,0)</f>
        <v>0</v>
      </c>
      <c r="S643" s="3">
        <f>IF(B643&lt;='Input sheet(dashboard)'!$D$27*12,(E643+G643+K643+L643-O643+M643+Q643+R643),0)</f>
        <v>0</v>
      </c>
      <c r="T643" s="3">
        <f>IF(B643&lt;='Input sheet(dashboard)'!$D$27*12,IF(D643=12,SUM(S632:S643),0),0)</f>
        <v>0</v>
      </c>
      <c r="U643" s="3">
        <f>IF(B643&lt;='Input sheet(dashboard)'!$D$27*12,IF(S643&lt;AD643,AD643-S643,0),0)</f>
        <v>0</v>
      </c>
      <c r="V643" s="3">
        <f>IF(B643&lt;='Input sheet(dashboard)'!$D$27*12,V642*(1+'Input sheet(dashboard)'!$E$25)+U643,0)</f>
        <v>0</v>
      </c>
      <c r="W643" s="17">
        <f>IF(B643&lt;='Input sheet(dashboard)'!$D$27*12,J643-I643+V643-N643,0)</f>
        <v>0</v>
      </c>
      <c r="X643" s="3">
        <f>IF(B643&lt;='Input sheet(dashboard)'!$D$27*12,'Input sheet(dashboard)'!$D$17*(1+'Input sheet(dashboard)'!$E$23)^(B643-1),0)</f>
        <v>0</v>
      </c>
      <c r="Y643" s="3"/>
      <c r="Z643" s="18"/>
      <c r="AA643" s="18"/>
      <c r="AB643" s="3">
        <f>IF(B643=1,'Input sheet(dashboard)'!$D$18*Calculations!X643,IF(Calculations!B643=12*'Input sheet(dashboard)'!$D$27,'Input sheet(dashboard)'!$D$18*-Calculations!X643,0))</f>
        <v>0</v>
      </c>
      <c r="AC643" s="3">
        <f>IF(B643&lt;='Input sheet(dashboard)'!$D$27*12,IF(MOD(B642,'Input sheet(dashboard)'!$D$19*12),0,'Input sheet(dashboard)'!$D$20*(1+'Input sheet(dashboard)'!$E$22)^Calculations!B643),0)</f>
        <v>0</v>
      </c>
      <c r="AD643" s="17">
        <f t="shared" si="84"/>
        <v>0</v>
      </c>
      <c r="AE643" s="17">
        <f>IF(B643&lt;='Input sheet(dashboard)'!$D$27*12,IF(D643=12,SUM(AD632:AD643),0),0)</f>
        <v>0</v>
      </c>
      <c r="AF643" s="17">
        <f t="shared" si="85"/>
        <v>0</v>
      </c>
      <c r="AG643" s="17">
        <f t="shared" si="86"/>
        <v>0</v>
      </c>
      <c r="AH643" s="3" t="str">
        <f>IF(B643&lt;='Input sheet(dashboard)'!$D$27*12,AH642*(1+'Input sheet(dashboard)'!$E$25)+AG643," ")</f>
        <v xml:space="preserve"> </v>
      </c>
    </row>
    <row r="644" spans="2:34">
      <c r="B644">
        <f t="shared" ref="B644:B707" si="90">B643+1</f>
        <v>641</v>
      </c>
      <c r="C644">
        <f t="shared" si="88"/>
        <v>54</v>
      </c>
      <c r="D644">
        <f t="shared" si="89"/>
        <v>5</v>
      </c>
      <c r="E644" s="15">
        <f>IF(C644&lt;='Input sheet(dashboard)'!$D$6, -PMT('Input sheet(dashboard)'!$E$5,'Input sheet(dashboard)'!$D$6*12,'Input sheet(dashboard)'!$D$3*'Input sheet(dashboard)'!$D$4),0)</f>
        <v>0</v>
      </c>
      <c r="F644" s="3">
        <f>I643*'Input sheet(dashboard)'!$E$5</f>
        <v>2.0909139590224405E-11</v>
      </c>
      <c r="G644" s="3">
        <f>IF(C644&lt;='Input sheet(dashboard)'!$D$6,E644*'Input sheet(dashboard)'!$D$7,0)</f>
        <v>0</v>
      </c>
      <c r="H644" s="3">
        <f t="shared" ref="H644:H707" si="91">E644-F644</f>
        <v>-2.0909139590224405E-11</v>
      </c>
      <c r="I644" s="3">
        <f t="shared" ref="I644:I707" si="92">I643-H644</f>
        <v>5.760780890100505E-9</v>
      </c>
      <c r="J644" s="3">
        <f>IF(B644&lt;='Input sheet(dashboard)'!$D$27*12,'Input sheet(dashboard)'!$D$3*(1+'Input sheet(dashboard)'!$E$24)^B644,0)</f>
        <v>0</v>
      </c>
      <c r="K644" s="3">
        <f>IF(B644&lt;='Input sheet(dashboard)'!$D$27*12,J644*'Input sheet(dashboard)'!$E$8,0)</f>
        <v>0</v>
      </c>
      <c r="L644" s="3">
        <f>IF(B644&lt;='Input sheet(dashboard)'!$D$27*12,'Input sheet(dashboard)'!$D$9*(1+'Input sheet(dashboard)'!$E$22)^B644,0)</f>
        <v>0</v>
      </c>
      <c r="M644" s="3">
        <f>IF(B644=1,'Input sheet(dashboard)'!$D$3*'Input sheet(dashboard)'!$D$10,0)</f>
        <v>0</v>
      </c>
      <c r="N644" s="3">
        <f>IF(B644='Input sheet(dashboard)'!$D$27*12,J644*'Input sheet(dashboard)'!$D$11,0)</f>
        <v>0</v>
      </c>
      <c r="O644" s="3">
        <f>IF(SUM(F644:F655)&gt;=150000,150000/12*'Input sheet(dashboard)'!$D$28,SUM(F644:F655)/12*'Input sheet(dashboard)'!$D$28)</f>
        <v>3.1999785009094998E-12</v>
      </c>
      <c r="P644" s="3">
        <f t="shared" si="87"/>
        <v>0</v>
      </c>
      <c r="Q644" s="3">
        <f>IF(B644&lt;='Input sheet(dashboard)'!$D$27*12,'Input sheet(dashboard)'!$D$12/12,0)</f>
        <v>0</v>
      </c>
      <c r="R644" s="3">
        <f>IF(B644&lt;='Input sheet(dashboard)'!$D$27*12,('Input sheet(dashboard)'!$D$15/12)*(1+'Input sheet(dashboard)'!$E$22)^Calculations!B644,0)</f>
        <v>0</v>
      </c>
      <c r="S644" s="3">
        <f>IF(B644&lt;='Input sheet(dashboard)'!$D$27*12,(E644+G644+K644+L644-O644+M644+Q644+R644),0)</f>
        <v>0</v>
      </c>
      <c r="T644" s="3">
        <f>IF(B644&lt;='Input sheet(dashboard)'!$D$27*12,IF(D644=12,SUM(S633:S644),0),0)</f>
        <v>0</v>
      </c>
      <c r="U644" s="3">
        <f>IF(B644&lt;='Input sheet(dashboard)'!$D$27*12,IF(S644&lt;AD644,AD644-S644,0),0)</f>
        <v>0</v>
      </c>
      <c r="V644" s="3">
        <f>IF(B644&lt;='Input sheet(dashboard)'!$D$27*12,V643*(1+'Input sheet(dashboard)'!$E$25)+U644,0)</f>
        <v>0</v>
      </c>
      <c r="W644" s="17">
        <f>IF(B644&lt;='Input sheet(dashboard)'!$D$27*12,J644-I644+V644-N644,0)</f>
        <v>0</v>
      </c>
      <c r="X644" s="3">
        <f>IF(B644&lt;='Input sheet(dashboard)'!$D$27*12,'Input sheet(dashboard)'!$D$17*(1+'Input sheet(dashboard)'!$E$23)^(B644-1),0)</f>
        <v>0</v>
      </c>
      <c r="Y644" s="3"/>
      <c r="Z644" s="18"/>
      <c r="AA644" s="18"/>
      <c r="AB644" s="3">
        <f>IF(B644=1,'Input sheet(dashboard)'!$D$18*Calculations!X644,IF(Calculations!B644=12*'Input sheet(dashboard)'!$D$27,'Input sheet(dashboard)'!$D$18*-Calculations!X644,0))</f>
        <v>0</v>
      </c>
      <c r="AC644" s="3">
        <f>IF(B644&lt;='Input sheet(dashboard)'!$D$27*12,IF(MOD(B643,'Input sheet(dashboard)'!$D$19*12),0,'Input sheet(dashboard)'!$D$20*(1+'Input sheet(dashboard)'!$E$22)^Calculations!B644),0)</f>
        <v>0</v>
      </c>
      <c r="AD644" s="17">
        <f t="shared" ref="AD644:AD707" si="93">X644+Y644+AB644+AC644</f>
        <v>0</v>
      </c>
      <c r="AE644" s="17">
        <f>IF(B644&lt;='Input sheet(dashboard)'!$D$27*12,IF(D644=12,SUM(AD633:AD644),0),0)</f>
        <v>0</v>
      </c>
      <c r="AF644" s="17">
        <f t="shared" ref="AF644:AF707" si="94">S644-AD644</f>
        <v>0</v>
      </c>
      <c r="AG644" s="17">
        <f t="shared" ref="AG644:AG707" si="95">IF(AF644&gt;0,AF644,0)</f>
        <v>0</v>
      </c>
      <c r="AH644" s="3" t="str">
        <f>IF(B644&lt;='Input sheet(dashboard)'!$D$27*12,AH643*(1+'Input sheet(dashboard)'!$E$25)+AG644," ")</f>
        <v xml:space="preserve"> </v>
      </c>
    </row>
    <row r="645" spans="2:34">
      <c r="B645">
        <f t="shared" si="90"/>
        <v>642</v>
      </c>
      <c r="C645">
        <f t="shared" si="88"/>
        <v>54</v>
      </c>
      <c r="D645">
        <f t="shared" si="89"/>
        <v>6</v>
      </c>
      <c r="E645" s="15">
        <f>IF(C645&lt;='Input sheet(dashboard)'!$D$6, -PMT('Input sheet(dashboard)'!$E$5,'Input sheet(dashboard)'!$D$6*12,'Input sheet(dashboard)'!$D$3*'Input sheet(dashboard)'!$D$4),0)</f>
        <v>0</v>
      </c>
      <c r="F645" s="3">
        <f>I644*'Input sheet(dashboard)'!$E$5</f>
        <v>2.0985307166331767E-11</v>
      </c>
      <c r="G645" s="3">
        <f>IF(C645&lt;='Input sheet(dashboard)'!$D$6,E645*'Input sheet(dashboard)'!$D$7,0)</f>
        <v>0</v>
      </c>
      <c r="H645" s="3">
        <f t="shared" si="91"/>
        <v>-2.0985307166331767E-11</v>
      </c>
      <c r="I645" s="3">
        <f t="shared" si="92"/>
        <v>5.7817661972668364E-9</v>
      </c>
      <c r="J645" s="3">
        <f>IF(B645&lt;='Input sheet(dashboard)'!$D$27*12,'Input sheet(dashboard)'!$D$3*(1+'Input sheet(dashboard)'!$E$24)^B645,0)</f>
        <v>0</v>
      </c>
      <c r="K645" s="3">
        <f>IF(B645&lt;='Input sheet(dashboard)'!$D$27*12,J645*'Input sheet(dashboard)'!$E$8,0)</f>
        <v>0</v>
      </c>
      <c r="L645" s="3">
        <f>IF(B645&lt;='Input sheet(dashboard)'!$D$27*12,'Input sheet(dashboard)'!$D$9*(1+'Input sheet(dashboard)'!$E$22)^B645,0)</f>
        <v>0</v>
      </c>
      <c r="M645" s="3">
        <f>IF(B645=1,'Input sheet(dashboard)'!$D$3*'Input sheet(dashboard)'!$D$10,0)</f>
        <v>0</v>
      </c>
      <c r="N645" s="3">
        <f>IF(B645='Input sheet(dashboard)'!$D$27*12,J645*'Input sheet(dashboard)'!$D$11,0)</f>
        <v>0</v>
      </c>
      <c r="O645" s="3">
        <f>IF(SUM(F645:F656)&gt;=150000,150000/12*'Input sheet(dashboard)'!$D$28,SUM(F645:F656)/12*'Input sheet(dashboard)'!$D$28)</f>
        <v>3.2116353462310505E-12</v>
      </c>
      <c r="P645" s="3">
        <f t="shared" si="87"/>
        <v>0</v>
      </c>
      <c r="Q645" s="3">
        <f>IF(B645&lt;='Input sheet(dashboard)'!$D$27*12,'Input sheet(dashboard)'!$D$12/12,0)</f>
        <v>0</v>
      </c>
      <c r="R645" s="3">
        <f>IF(B645&lt;='Input sheet(dashboard)'!$D$27*12,('Input sheet(dashboard)'!$D$15/12)*(1+'Input sheet(dashboard)'!$E$22)^Calculations!B645,0)</f>
        <v>0</v>
      </c>
      <c r="S645" s="3">
        <f>IF(B645&lt;='Input sheet(dashboard)'!$D$27*12,(E645+G645+K645+L645-O645+M645+Q645+R645),0)</f>
        <v>0</v>
      </c>
      <c r="T645" s="3">
        <f>IF(B645&lt;='Input sheet(dashboard)'!$D$27*12,IF(D645=12,SUM(S634:S645),0),0)</f>
        <v>0</v>
      </c>
      <c r="U645" s="3">
        <f>IF(B645&lt;='Input sheet(dashboard)'!$D$27*12,IF(S645&lt;AD645,AD645-S645,0),0)</f>
        <v>0</v>
      </c>
      <c r="V645" s="3">
        <f>IF(B645&lt;='Input sheet(dashboard)'!$D$27*12,V644*(1+'Input sheet(dashboard)'!$E$25)+U645,0)</f>
        <v>0</v>
      </c>
      <c r="W645" s="17">
        <f>IF(B645&lt;='Input sheet(dashboard)'!$D$27*12,J645-I645+V645-N645,0)</f>
        <v>0</v>
      </c>
      <c r="X645" s="3">
        <f>IF(B645&lt;='Input sheet(dashboard)'!$D$27*12,'Input sheet(dashboard)'!$D$17*(1+'Input sheet(dashboard)'!$E$23)^(B645-1),0)</f>
        <v>0</v>
      </c>
      <c r="Y645" s="3"/>
      <c r="Z645" s="18"/>
      <c r="AA645" s="18"/>
      <c r="AB645" s="3">
        <f>IF(B645=1,'Input sheet(dashboard)'!$D$18*Calculations!X645,IF(Calculations!B645=12*'Input sheet(dashboard)'!$D$27,'Input sheet(dashboard)'!$D$18*-Calculations!X645,0))</f>
        <v>0</v>
      </c>
      <c r="AC645" s="3">
        <f>IF(B645&lt;='Input sheet(dashboard)'!$D$27*12,IF(MOD(B644,'Input sheet(dashboard)'!$D$19*12),0,'Input sheet(dashboard)'!$D$20*(1+'Input sheet(dashboard)'!$E$22)^Calculations!B645),0)</f>
        <v>0</v>
      </c>
      <c r="AD645" s="17">
        <f t="shared" si="93"/>
        <v>0</v>
      </c>
      <c r="AE645" s="17">
        <f>IF(B645&lt;='Input sheet(dashboard)'!$D$27*12,IF(D645=12,SUM(AD634:AD645),0),0)</f>
        <v>0</v>
      </c>
      <c r="AF645" s="17">
        <f t="shared" si="94"/>
        <v>0</v>
      </c>
      <c r="AG645" s="17">
        <f t="shared" si="95"/>
        <v>0</v>
      </c>
      <c r="AH645" s="3" t="str">
        <f>IF(B645&lt;='Input sheet(dashboard)'!$D$27*12,AH644*(1+'Input sheet(dashboard)'!$E$25)+AG645," ")</f>
        <v xml:space="preserve"> </v>
      </c>
    </row>
    <row r="646" spans="2:34">
      <c r="B646">
        <f t="shared" si="90"/>
        <v>643</v>
      </c>
      <c r="C646">
        <f t="shared" si="88"/>
        <v>54</v>
      </c>
      <c r="D646">
        <f t="shared" si="89"/>
        <v>7</v>
      </c>
      <c r="E646" s="15">
        <f>IF(C646&lt;='Input sheet(dashboard)'!$D$6, -PMT('Input sheet(dashboard)'!$E$5,'Input sheet(dashboard)'!$D$6*12,'Input sheet(dashboard)'!$D$3*'Input sheet(dashboard)'!$D$4),0)</f>
        <v>0</v>
      </c>
      <c r="F646" s="3">
        <f>I645*'Input sheet(dashboard)'!$E$5</f>
        <v>2.1061752204819874E-11</v>
      </c>
      <c r="G646" s="3">
        <f>IF(C646&lt;='Input sheet(dashboard)'!$D$6,E646*'Input sheet(dashboard)'!$D$7,0)</f>
        <v>0</v>
      </c>
      <c r="H646" s="3">
        <f t="shared" si="91"/>
        <v>-2.1061752204819874E-11</v>
      </c>
      <c r="I646" s="3">
        <f t="shared" si="92"/>
        <v>5.8028279494716562E-9</v>
      </c>
      <c r="J646" s="3">
        <f>IF(B646&lt;='Input sheet(dashboard)'!$D$27*12,'Input sheet(dashboard)'!$D$3*(1+'Input sheet(dashboard)'!$E$24)^B646,0)</f>
        <v>0</v>
      </c>
      <c r="K646" s="3">
        <f>IF(B646&lt;='Input sheet(dashboard)'!$D$27*12,J646*'Input sheet(dashboard)'!$E$8,0)</f>
        <v>0</v>
      </c>
      <c r="L646" s="3">
        <f>IF(B646&lt;='Input sheet(dashboard)'!$D$27*12,'Input sheet(dashboard)'!$D$9*(1+'Input sheet(dashboard)'!$E$22)^B646,0)</f>
        <v>0</v>
      </c>
      <c r="M646" s="3">
        <f>IF(B646=1,'Input sheet(dashboard)'!$D$3*'Input sheet(dashboard)'!$D$10,0)</f>
        <v>0</v>
      </c>
      <c r="N646" s="3">
        <f>IF(B646='Input sheet(dashboard)'!$D$27*12,J646*'Input sheet(dashboard)'!$D$11,0)</f>
        <v>0</v>
      </c>
      <c r="O646" s="3">
        <f>IF(SUM(F646:F657)&gt;=150000,150000/12*'Input sheet(dashboard)'!$D$28,SUM(F646:F657)/12*'Input sheet(dashboard)'!$D$28)</f>
        <v>3.2233346549762786E-12</v>
      </c>
      <c r="P646" s="3">
        <f t="shared" si="87"/>
        <v>0</v>
      </c>
      <c r="Q646" s="3">
        <f>IF(B646&lt;='Input sheet(dashboard)'!$D$27*12,'Input sheet(dashboard)'!$D$12/12,0)</f>
        <v>0</v>
      </c>
      <c r="R646" s="3">
        <f>IF(B646&lt;='Input sheet(dashboard)'!$D$27*12,('Input sheet(dashboard)'!$D$15/12)*(1+'Input sheet(dashboard)'!$E$22)^Calculations!B646,0)</f>
        <v>0</v>
      </c>
      <c r="S646" s="3">
        <f>IF(B646&lt;='Input sheet(dashboard)'!$D$27*12,(E646+G646+K646+L646-O646+M646+Q646+R646),0)</f>
        <v>0</v>
      </c>
      <c r="T646" s="3">
        <f>IF(B646&lt;='Input sheet(dashboard)'!$D$27*12,IF(D646=12,SUM(S635:S646),0),0)</f>
        <v>0</v>
      </c>
      <c r="U646" s="3">
        <f>IF(B646&lt;='Input sheet(dashboard)'!$D$27*12,IF(S646&lt;AD646,AD646-S646,0),0)</f>
        <v>0</v>
      </c>
      <c r="V646" s="3">
        <f>IF(B646&lt;='Input sheet(dashboard)'!$D$27*12,V645*(1+'Input sheet(dashboard)'!$E$25)+U646,0)</f>
        <v>0</v>
      </c>
      <c r="W646" s="17">
        <f>IF(B646&lt;='Input sheet(dashboard)'!$D$27*12,J646-I646+V646-N646,0)</f>
        <v>0</v>
      </c>
      <c r="X646" s="3">
        <f>IF(B646&lt;='Input sheet(dashboard)'!$D$27*12,'Input sheet(dashboard)'!$D$17*(1+'Input sheet(dashboard)'!$E$23)^(B646-1),0)</f>
        <v>0</v>
      </c>
      <c r="Y646" s="3"/>
      <c r="Z646" s="18"/>
      <c r="AA646" s="18"/>
      <c r="AB646" s="3">
        <f>IF(B646=1,'Input sheet(dashboard)'!$D$18*Calculations!X646,IF(Calculations!B646=12*'Input sheet(dashboard)'!$D$27,'Input sheet(dashboard)'!$D$18*-Calculations!X646,0))</f>
        <v>0</v>
      </c>
      <c r="AC646" s="3">
        <f>IF(B646&lt;='Input sheet(dashboard)'!$D$27*12,IF(MOD(B645,'Input sheet(dashboard)'!$D$19*12),0,'Input sheet(dashboard)'!$D$20*(1+'Input sheet(dashboard)'!$E$22)^Calculations!B646),0)</f>
        <v>0</v>
      </c>
      <c r="AD646" s="17">
        <f t="shared" si="93"/>
        <v>0</v>
      </c>
      <c r="AE646" s="17">
        <f>IF(B646&lt;='Input sheet(dashboard)'!$D$27*12,IF(D646=12,SUM(AD635:AD646),0),0)</f>
        <v>0</v>
      </c>
      <c r="AF646" s="17">
        <f t="shared" si="94"/>
        <v>0</v>
      </c>
      <c r="AG646" s="17">
        <f t="shared" si="95"/>
        <v>0</v>
      </c>
      <c r="AH646" s="3" t="str">
        <f>IF(B646&lt;='Input sheet(dashboard)'!$D$27*12,AH645*(1+'Input sheet(dashboard)'!$E$25)+AG646," ")</f>
        <v xml:space="preserve"> </v>
      </c>
    </row>
    <row r="647" spans="2:34">
      <c r="B647">
        <f t="shared" si="90"/>
        <v>644</v>
      </c>
      <c r="C647">
        <f t="shared" si="88"/>
        <v>54</v>
      </c>
      <c r="D647">
        <f t="shared" si="89"/>
        <v>8</v>
      </c>
      <c r="E647" s="15">
        <f>IF(C647&lt;='Input sheet(dashboard)'!$D$6, -PMT('Input sheet(dashboard)'!$E$5,'Input sheet(dashboard)'!$D$6*12,'Input sheet(dashboard)'!$D$3*'Input sheet(dashboard)'!$D$4),0)</f>
        <v>0</v>
      </c>
      <c r="F647" s="3">
        <f>I646*'Input sheet(dashboard)'!$E$5</f>
        <v>2.1138475716425538E-11</v>
      </c>
      <c r="G647" s="3">
        <f>IF(C647&lt;='Input sheet(dashboard)'!$D$6,E647*'Input sheet(dashboard)'!$D$7,0)</f>
        <v>0</v>
      </c>
      <c r="H647" s="3">
        <f t="shared" si="91"/>
        <v>-2.1138475716425538E-11</v>
      </c>
      <c r="I647" s="3">
        <f t="shared" si="92"/>
        <v>5.8239664251880821E-9</v>
      </c>
      <c r="J647" s="3">
        <f>IF(B647&lt;='Input sheet(dashboard)'!$D$27*12,'Input sheet(dashboard)'!$D$3*(1+'Input sheet(dashboard)'!$E$24)^B647,0)</f>
        <v>0</v>
      </c>
      <c r="K647" s="3">
        <f>IF(B647&lt;='Input sheet(dashboard)'!$D$27*12,J647*'Input sheet(dashboard)'!$E$8,0)</f>
        <v>0</v>
      </c>
      <c r="L647" s="3">
        <f>IF(B647&lt;='Input sheet(dashboard)'!$D$27*12,'Input sheet(dashboard)'!$D$9*(1+'Input sheet(dashboard)'!$E$22)^B647,0)</f>
        <v>0</v>
      </c>
      <c r="M647" s="3">
        <f>IF(B647=1,'Input sheet(dashboard)'!$D$3*'Input sheet(dashboard)'!$D$10,0)</f>
        <v>0</v>
      </c>
      <c r="N647" s="3">
        <f>IF(B647='Input sheet(dashboard)'!$D$27*12,J647*'Input sheet(dashboard)'!$D$11,0)</f>
        <v>0</v>
      </c>
      <c r="O647" s="3">
        <f>IF(SUM(F647:F658)&gt;=150000,150000/12*'Input sheet(dashboard)'!$D$28,SUM(F647:F658)/12*'Input sheet(dashboard)'!$D$28)</f>
        <v>3.2350765818304674E-12</v>
      </c>
      <c r="P647" s="3">
        <f t="shared" si="87"/>
        <v>0</v>
      </c>
      <c r="Q647" s="3">
        <f>IF(B647&lt;='Input sheet(dashboard)'!$D$27*12,'Input sheet(dashboard)'!$D$12/12,0)</f>
        <v>0</v>
      </c>
      <c r="R647" s="3">
        <f>IF(B647&lt;='Input sheet(dashboard)'!$D$27*12,('Input sheet(dashboard)'!$D$15/12)*(1+'Input sheet(dashboard)'!$E$22)^Calculations!B647,0)</f>
        <v>0</v>
      </c>
      <c r="S647" s="3">
        <f>IF(B647&lt;='Input sheet(dashboard)'!$D$27*12,(E647+G647+K647+L647-O647+M647+Q647+R647),0)</f>
        <v>0</v>
      </c>
      <c r="T647" s="3">
        <f>IF(B647&lt;='Input sheet(dashboard)'!$D$27*12,IF(D647=12,SUM(S636:S647),0),0)</f>
        <v>0</v>
      </c>
      <c r="U647" s="3">
        <f>IF(B647&lt;='Input sheet(dashboard)'!$D$27*12,IF(S647&lt;AD647,AD647-S647,0),0)</f>
        <v>0</v>
      </c>
      <c r="V647" s="3">
        <f>IF(B647&lt;='Input sheet(dashboard)'!$D$27*12,V646*(1+'Input sheet(dashboard)'!$E$25)+U647,0)</f>
        <v>0</v>
      </c>
      <c r="W647" s="17">
        <f>IF(B647&lt;='Input sheet(dashboard)'!$D$27*12,J647-I647+V647-N647,0)</f>
        <v>0</v>
      </c>
      <c r="X647" s="3">
        <f>IF(B647&lt;='Input sheet(dashboard)'!$D$27*12,'Input sheet(dashboard)'!$D$17*(1+'Input sheet(dashboard)'!$E$23)^(B647-1),0)</f>
        <v>0</v>
      </c>
      <c r="Y647" s="3"/>
      <c r="Z647" s="18"/>
      <c r="AA647" s="18"/>
      <c r="AB647" s="3">
        <f>IF(B647=1,'Input sheet(dashboard)'!$D$18*Calculations!X647,IF(Calculations!B647=12*'Input sheet(dashboard)'!$D$27,'Input sheet(dashboard)'!$D$18*-Calculations!X647,0))</f>
        <v>0</v>
      </c>
      <c r="AC647" s="3">
        <f>IF(B647&lt;='Input sheet(dashboard)'!$D$27*12,IF(MOD(B646,'Input sheet(dashboard)'!$D$19*12),0,'Input sheet(dashboard)'!$D$20*(1+'Input sheet(dashboard)'!$E$22)^Calculations!B647),0)</f>
        <v>0</v>
      </c>
      <c r="AD647" s="17">
        <f t="shared" si="93"/>
        <v>0</v>
      </c>
      <c r="AE647" s="17">
        <f>IF(B647&lt;='Input sheet(dashboard)'!$D$27*12,IF(D647=12,SUM(AD636:AD647),0),0)</f>
        <v>0</v>
      </c>
      <c r="AF647" s="17">
        <f t="shared" si="94"/>
        <v>0</v>
      </c>
      <c r="AG647" s="17">
        <f t="shared" si="95"/>
        <v>0</v>
      </c>
      <c r="AH647" s="3" t="str">
        <f>IF(B647&lt;='Input sheet(dashboard)'!$D$27*12,AH646*(1+'Input sheet(dashboard)'!$E$25)+AG647," ")</f>
        <v xml:space="preserve"> </v>
      </c>
    </row>
    <row r="648" spans="2:34">
      <c r="B648">
        <f t="shared" si="90"/>
        <v>645</v>
      </c>
      <c r="C648">
        <f t="shared" si="88"/>
        <v>54</v>
      </c>
      <c r="D648">
        <f t="shared" si="89"/>
        <v>9</v>
      </c>
      <c r="E648" s="15">
        <f>IF(C648&lt;='Input sheet(dashboard)'!$D$6, -PMT('Input sheet(dashboard)'!$E$5,'Input sheet(dashboard)'!$D$6*12,'Input sheet(dashboard)'!$D$3*'Input sheet(dashboard)'!$D$4),0)</f>
        <v>0</v>
      </c>
      <c r="F648" s="3">
        <f>I647*'Input sheet(dashboard)'!$E$5</f>
        <v>2.1215478715567464E-11</v>
      </c>
      <c r="G648" s="3">
        <f>IF(C648&lt;='Input sheet(dashboard)'!$D$6,E648*'Input sheet(dashboard)'!$D$7,0)</f>
        <v>0</v>
      </c>
      <c r="H648" s="3">
        <f t="shared" si="91"/>
        <v>-2.1215478715567464E-11</v>
      </c>
      <c r="I648" s="3">
        <f t="shared" si="92"/>
        <v>5.8451819039036494E-9</v>
      </c>
      <c r="J648" s="3">
        <f>IF(B648&lt;='Input sheet(dashboard)'!$D$27*12,'Input sheet(dashboard)'!$D$3*(1+'Input sheet(dashboard)'!$E$24)^B648,0)</f>
        <v>0</v>
      </c>
      <c r="K648" s="3">
        <f>IF(B648&lt;='Input sheet(dashboard)'!$D$27*12,J648*'Input sheet(dashboard)'!$E$8,0)</f>
        <v>0</v>
      </c>
      <c r="L648" s="3">
        <f>IF(B648&lt;='Input sheet(dashboard)'!$D$27*12,'Input sheet(dashboard)'!$D$9*(1+'Input sheet(dashboard)'!$E$22)^B648,0)</f>
        <v>0</v>
      </c>
      <c r="M648" s="3">
        <f>IF(B648=1,'Input sheet(dashboard)'!$D$3*'Input sheet(dashboard)'!$D$10,0)</f>
        <v>0</v>
      </c>
      <c r="N648" s="3">
        <f>IF(B648='Input sheet(dashboard)'!$D$27*12,J648*'Input sheet(dashboard)'!$D$11,0)</f>
        <v>0</v>
      </c>
      <c r="O648" s="3">
        <f>IF(SUM(F648:F659)&gt;=150000,150000/12*'Input sheet(dashboard)'!$D$28,SUM(F648:F659)/12*'Input sheet(dashboard)'!$D$28)</f>
        <v>3.2468612820423739E-12</v>
      </c>
      <c r="P648" s="3">
        <f t="shared" si="87"/>
        <v>0</v>
      </c>
      <c r="Q648" s="3">
        <f>IF(B648&lt;='Input sheet(dashboard)'!$D$27*12,'Input sheet(dashboard)'!$D$12/12,0)</f>
        <v>0</v>
      </c>
      <c r="R648" s="3">
        <f>IF(B648&lt;='Input sheet(dashboard)'!$D$27*12,('Input sheet(dashboard)'!$D$15/12)*(1+'Input sheet(dashboard)'!$E$22)^Calculations!B648,0)</f>
        <v>0</v>
      </c>
      <c r="S648" s="3">
        <f>IF(B648&lt;='Input sheet(dashboard)'!$D$27*12,(E648+G648+K648+L648-O648+M648+Q648+R648),0)</f>
        <v>0</v>
      </c>
      <c r="T648" s="3">
        <f>IF(B648&lt;='Input sheet(dashboard)'!$D$27*12,IF(D648=12,SUM(S637:S648),0),0)</f>
        <v>0</v>
      </c>
      <c r="U648" s="3">
        <f>IF(B648&lt;='Input sheet(dashboard)'!$D$27*12,IF(S648&lt;AD648,AD648-S648,0),0)</f>
        <v>0</v>
      </c>
      <c r="V648" s="3">
        <f>IF(B648&lt;='Input sheet(dashboard)'!$D$27*12,V647*(1+'Input sheet(dashboard)'!$E$25)+U648,0)</f>
        <v>0</v>
      </c>
      <c r="W648" s="17">
        <f>IF(B648&lt;='Input sheet(dashboard)'!$D$27*12,J648-I648+V648-N648,0)</f>
        <v>0</v>
      </c>
      <c r="X648" s="3">
        <f>IF(B648&lt;='Input sheet(dashboard)'!$D$27*12,'Input sheet(dashboard)'!$D$17*(1+'Input sheet(dashboard)'!$E$23)^(B648-1),0)</f>
        <v>0</v>
      </c>
      <c r="Y648" s="3"/>
      <c r="Z648" s="18"/>
      <c r="AA648" s="18"/>
      <c r="AB648" s="3">
        <f>IF(B648=1,'Input sheet(dashboard)'!$D$18*Calculations!X648,IF(Calculations!B648=12*'Input sheet(dashboard)'!$D$27,'Input sheet(dashboard)'!$D$18*-Calculations!X648,0))</f>
        <v>0</v>
      </c>
      <c r="AC648" s="3">
        <f>IF(B648&lt;='Input sheet(dashboard)'!$D$27*12,IF(MOD(B647,'Input sheet(dashboard)'!$D$19*12),0,'Input sheet(dashboard)'!$D$20*(1+'Input sheet(dashboard)'!$E$22)^Calculations!B648),0)</f>
        <v>0</v>
      </c>
      <c r="AD648" s="17">
        <f t="shared" si="93"/>
        <v>0</v>
      </c>
      <c r="AE648" s="17">
        <f>IF(B648&lt;='Input sheet(dashboard)'!$D$27*12,IF(D648=12,SUM(AD637:AD648),0),0)</f>
        <v>0</v>
      </c>
      <c r="AF648" s="17">
        <f t="shared" si="94"/>
        <v>0</v>
      </c>
      <c r="AG648" s="17">
        <f t="shared" si="95"/>
        <v>0</v>
      </c>
      <c r="AH648" s="3" t="str">
        <f>IF(B648&lt;='Input sheet(dashboard)'!$D$27*12,AH647*(1+'Input sheet(dashboard)'!$E$25)+AG648," ")</f>
        <v xml:space="preserve"> </v>
      </c>
    </row>
    <row r="649" spans="2:34">
      <c r="B649">
        <f t="shared" si="90"/>
        <v>646</v>
      </c>
      <c r="C649">
        <f t="shared" si="88"/>
        <v>54</v>
      </c>
      <c r="D649">
        <f t="shared" si="89"/>
        <v>10</v>
      </c>
      <c r="E649" s="15">
        <f>IF(C649&lt;='Input sheet(dashboard)'!$D$6, -PMT('Input sheet(dashboard)'!$E$5,'Input sheet(dashboard)'!$D$6*12,'Input sheet(dashboard)'!$D$3*'Input sheet(dashboard)'!$D$4),0)</f>
        <v>0</v>
      </c>
      <c r="F649" s="3">
        <f>I648*'Input sheet(dashboard)'!$E$5</f>
        <v>2.1292762220359674E-11</v>
      </c>
      <c r="G649" s="3">
        <f>IF(C649&lt;='Input sheet(dashboard)'!$D$6,E649*'Input sheet(dashboard)'!$D$7,0)</f>
        <v>0</v>
      </c>
      <c r="H649" s="3">
        <f t="shared" si="91"/>
        <v>-2.1292762220359674E-11</v>
      </c>
      <c r="I649" s="3">
        <f t="shared" si="92"/>
        <v>5.8664746661240093E-9</v>
      </c>
      <c r="J649" s="3">
        <f>IF(B649&lt;='Input sheet(dashboard)'!$D$27*12,'Input sheet(dashboard)'!$D$3*(1+'Input sheet(dashboard)'!$E$24)^B649,0)</f>
        <v>0</v>
      </c>
      <c r="K649" s="3">
        <f>IF(B649&lt;='Input sheet(dashboard)'!$D$27*12,J649*'Input sheet(dashboard)'!$E$8,0)</f>
        <v>0</v>
      </c>
      <c r="L649" s="3">
        <f>IF(B649&lt;='Input sheet(dashboard)'!$D$27*12,'Input sheet(dashboard)'!$D$9*(1+'Input sheet(dashboard)'!$E$22)^B649,0)</f>
        <v>0</v>
      </c>
      <c r="M649" s="3">
        <f>IF(B649=1,'Input sheet(dashboard)'!$D$3*'Input sheet(dashboard)'!$D$10,0)</f>
        <v>0</v>
      </c>
      <c r="N649" s="3">
        <f>IF(B649='Input sheet(dashboard)'!$D$27*12,J649*'Input sheet(dashboard)'!$D$11,0)</f>
        <v>0</v>
      </c>
      <c r="O649" s="3">
        <f>IF(SUM(F649:F660)&gt;=150000,150000/12*'Input sheet(dashboard)'!$D$28,SUM(F649:F660)/12*'Input sheet(dashboard)'!$D$28)</f>
        <v>3.2586889114263029E-12</v>
      </c>
      <c r="P649" s="3">
        <f t="shared" si="87"/>
        <v>0</v>
      </c>
      <c r="Q649" s="3">
        <f>IF(B649&lt;='Input sheet(dashboard)'!$D$27*12,'Input sheet(dashboard)'!$D$12/12,0)</f>
        <v>0</v>
      </c>
      <c r="R649" s="3">
        <f>IF(B649&lt;='Input sheet(dashboard)'!$D$27*12,('Input sheet(dashboard)'!$D$15/12)*(1+'Input sheet(dashboard)'!$E$22)^Calculations!B649,0)</f>
        <v>0</v>
      </c>
      <c r="S649" s="3">
        <f>IF(B649&lt;='Input sheet(dashboard)'!$D$27*12,(E649+G649+K649+L649-O649+M649+Q649+R649),0)</f>
        <v>0</v>
      </c>
      <c r="T649" s="3">
        <f>IF(B649&lt;='Input sheet(dashboard)'!$D$27*12,IF(D649=12,SUM(S638:S649),0),0)</f>
        <v>0</v>
      </c>
      <c r="U649" s="3">
        <f>IF(B649&lt;='Input sheet(dashboard)'!$D$27*12,IF(S649&lt;AD649,AD649-S649,0),0)</f>
        <v>0</v>
      </c>
      <c r="V649" s="3">
        <f>IF(B649&lt;='Input sheet(dashboard)'!$D$27*12,V648*(1+'Input sheet(dashboard)'!$E$25)+U649,0)</f>
        <v>0</v>
      </c>
      <c r="W649" s="17">
        <f>IF(B649&lt;='Input sheet(dashboard)'!$D$27*12,J649-I649+V649-N649,0)</f>
        <v>0</v>
      </c>
      <c r="X649" s="3">
        <f>IF(B649&lt;='Input sheet(dashboard)'!$D$27*12,'Input sheet(dashboard)'!$D$17*(1+'Input sheet(dashboard)'!$E$23)^(B649-1),0)</f>
        <v>0</v>
      </c>
      <c r="Y649" s="3"/>
      <c r="Z649" s="18"/>
      <c r="AA649" s="18"/>
      <c r="AB649" s="3">
        <f>IF(B649=1,'Input sheet(dashboard)'!$D$18*Calculations!X649,IF(Calculations!B649=12*'Input sheet(dashboard)'!$D$27,'Input sheet(dashboard)'!$D$18*-Calculations!X649,0))</f>
        <v>0</v>
      </c>
      <c r="AC649" s="3">
        <f>IF(B649&lt;='Input sheet(dashboard)'!$D$27*12,IF(MOD(B648,'Input sheet(dashboard)'!$D$19*12),0,'Input sheet(dashboard)'!$D$20*(1+'Input sheet(dashboard)'!$E$22)^Calculations!B649),0)</f>
        <v>0</v>
      </c>
      <c r="AD649" s="17">
        <f t="shared" si="93"/>
        <v>0</v>
      </c>
      <c r="AE649" s="17">
        <f>IF(B649&lt;='Input sheet(dashboard)'!$D$27*12,IF(D649=12,SUM(AD638:AD649),0),0)</f>
        <v>0</v>
      </c>
      <c r="AF649" s="17">
        <f t="shared" si="94"/>
        <v>0</v>
      </c>
      <c r="AG649" s="17">
        <f t="shared" si="95"/>
        <v>0</v>
      </c>
      <c r="AH649" s="3" t="str">
        <f>IF(B649&lt;='Input sheet(dashboard)'!$D$27*12,AH648*(1+'Input sheet(dashboard)'!$E$25)+AG649," ")</f>
        <v xml:space="preserve"> </v>
      </c>
    </row>
    <row r="650" spans="2:34">
      <c r="B650">
        <f t="shared" si="90"/>
        <v>647</v>
      </c>
      <c r="C650">
        <f t="shared" si="88"/>
        <v>54</v>
      </c>
      <c r="D650">
        <f t="shared" si="89"/>
        <v>11</v>
      </c>
      <c r="E650" s="15">
        <f>IF(C650&lt;='Input sheet(dashboard)'!$D$6, -PMT('Input sheet(dashboard)'!$E$5,'Input sheet(dashboard)'!$D$6*12,'Input sheet(dashboard)'!$D$3*'Input sheet(dashboard)'!$D$4),0)</f>
        <v>0</v>
      </c>
      <c r="F650" s="3">
        <f>I649*'Input sheet(dashboard)'!$E$5</f>
        <v>2.1370327252624967E-11</v>
      </c>
      <c r="G650" s="3">
        <f>IF(C650&lt;='Input sheet(dashboard)'!$D$6,E650*'Input sheet(dashboard)'!$D$7,0)</f>
        <v>0</v>
      </c>
      <c r="H650" s="3">
        <f t="shared" si="91"/>
        <v>-2.1370327252624967E-11</v>
      </c>
      <c r="I650" s="3">
        <f t="shared" si="92"/>
        <v>5.8878449933766339E-9</v>
      </c>
      <c r="J650" s="3">
        <f>IF(B650&lt;='Input sheet(dashboard)'!$D$27*12,'Input sheet(dashboard)'!$D$3*(1+'Input sheet(dashboard)'!$E$24)^B650,0)</f>
        <v>0</v>
      </c>
      <c r="K650" s="3">
        <f>IF(B650&lt;='Input sheet(dashboard)'!$D$27*12,J650*'Input sheet(dashboard)'!$E$8,0)</f>
        <v>0</v>
      </c>
      <c r="L650" s="3">
        <f>IF(B650&lt;='Input sheet(dashboard)'!$D$27*12,'Input sheet(dashboard)'!$D$9*(1+'Input sheet(dashboard)'!$E$22)^B650,0)</f>
        <v>0</v>
      </c>
      <c r="M650" s="3">
        <f>IF(B650=1,'Input sheet(dashboard)'!$D$3*'Input sheet(dashboard)'!$D$10,0)</f>
        <v>0</v>
      </c>
      <c r="N650" s="3">
        <f>IF(B650='Input sheet(dashboard)'!$D$27*12,J650*'Input sheet(dashboard)'!$D$11,0)</f>
        <v>0</v>
      </c>
      <c r="O650" s="3">
        <f>IF(SUM(F650:F661)&gt;=150000,150000/12*'Input sheet(dashboard)'!$D$28,SUM(F650:F661)/12*'Input sheet(dashboard)'!$D$28)</f>
        <v>3.2705596263641528E-12</v>
      </c>
      <c r="P650" s="3">
        <f t="shared" si="87"/>
        <v>0</v>
      </c>
      <c r="Q650" s="3">
        <f>IF(B650&lt;='Input sheet(dashboard)'!$D$27*12,'Input sheet(dashboard)'!$D$12/12,0)</f>
        <v>0</v>
      </c>
      <c r="R650" s="3">
        <f>IF(B650&lt;='Input sheet(dashboard)'!$D$27*12,('Input sheet(dashboard)'!$D$15/12)*(1+'Input sheet(dashboard)'!$E$22)^Calculations!B650,0)</f>
        <v>0</v>
      </c>
      <c r="S650" s="3">
        <f>IF(B650&lt;='Input sheet(dashboard)'!$D$27*12,(E650+G650+K650+L650-O650+M650+Q650+R650),0)</f>
        <v>0</v>
      </c>
      <c r="T650" s="3">
        <f>IF(B650&lt;='Input sheet(dashboard)'!$D$27*12,IF(D650=12,SUM(S639:S650),0),0)</f>
        <v>0</v>
      </c>
      <c r="U650" s="3">
        <f>IF(B650&lt;='Input sheet(dashboard)'!$D$27*12,IF(S650&lt;AD650,AD650-S650,0),0)</f>
        <v>0</v>
      </c>
      <c r="V650" s="3">
        <f>IF(B650&lt;='Input sheet(dashboard)'!$D$27*12,V649*(1+'Input sheet(dashboard)'!$E$25)+U650,0)</f>
        <v>0</v>
      </c>
      <c r="W650" s="17">
        <f>IF(B650&lt;='Input sheet(dashboard)'!$D$27*12,J650-I650+V650-N650,0)</f>
        <v>0</v>
      </c>
      <c r="X650" s="3">
        <f>IF(B650&lt;='Input sheet(dashboard)'!$D$27*12,'Input sheet(dashboard)'!$D$17*(1+'Input sheet(dashboard)'!$E$23)^(B650-1),0)</f>
        <v>0</v>
      </c>
      <c r="Y650" s="3"/>
      <c r="Z650" s="18"/>
      <c r="AA650" s="18"/>
      <c r="AB650" s="3">
        <f>IF(B650=1,'Input sheet(dashboard)'!$D$18*Calculations!X650,IF(Calculations!B650=12*'Input sheet(dashboard)'!$D$27,'Input sheet(dashboard)'!$D$18*-Calculations!X650,0))</f>
        <v>0</v>
      </c>
      <c r="AC650" s="3">
        <f>IF(B650&lt;='Input sheet(dashboard)'!$D$27*12,IF(MOD(B649,'Input sheet(dashboard)'!$D$19*12),0,'Input sheet(dashboard)'!$D$20*(1+'Input sheet(dashboard)'!$E$22)^Calculations!B650),0)</f>
        <v>0</v>
      </c>
      <c r="AD650" s="17">
        <f t="shared" si="93"/>
        <v>0</v>
      </c>
      <c r="AE650" s="17">
        <f>IF(B650&lt;='Input sheet(dashboard)'!$D$27*12,IF(D650=12,SUM(AD639:AD650),0),0)</f>
        <v>0</v>
      </c>
      <c r="AF650" s="17">
        <f t="shared" si="94"/>
        <v>0</v>
      </c>
      <c r="AG650" s="17">
        <f t="shared" si="95"/>
        <v>0</v>
      </c>
      <c r="AH650" s="3" t="str">
        <f>IF(B650&lt;='Input sheet(dashboard)'!$D$27*12,AH649*(1+'Input sheet(dashboard)'!$E$25)+AG650," ")</f>
        <v xml:space="preserve"> </v>
      </c>
    </row>
    <row r="651" spans="2:34">
      <c r="B651">
        <f t="shared" si="90"/>
        <v>648</v>
      </c>
      <c r="C651">
        <f t="shared" si="88"/>
        <v>54</v>
      </c>
      <c r="D651">
        <f t="shared" si="89"/>
        <v>12</v>
      </c>
      <c r="E651" s="15">
        <f>IF(C651&lt;='Input sheet(dashboard)'!$D$6, -PMT('Input sheet(dashboard)'!$E$5,'Input sheet(dashboard)'!$D$6*12,'Input sheet(dashboard)'!$D$3*'Input sheet(dashboard)'!$D$4),0)</f>
        <v>0</v>
      </c>
      <c r="F651" s="3">
        <f>I650*'Input sheet(dashboard)'!$E$5</f>
        <v>2.1448174837908415E-11</v>
      </c>
      <c r="G651" s="3">
        <f>IF(C651&lt;='Input sheet(dashboard)'!$D$6,E651*'Input sheet(dashboard)'!$D$7,0)</f>
        <v>0</v>
      </c>
      <c r="H651" s="3">
        <f t="shared" si="91"/>
        <v>-2.1448174837908415E-11</v>
      </c>
      <c r="I651" s="3">
        <f t="shared" si="92"/>
        <v>5.9092931682145421E-9</v>
      </c>
      <c r="J651" s="3">
        <f>IF(B651&lt;='Input sheet(dashboard)'!$D$27*12,'Input sheet(dashboard)'!$D$3*(1+'Input sheet(dashboard)'!$E$24)^B651,0)</f>
        <v>0</v>
      </c>
      <c r="K651" s="3">
        <f>IF(B651&lt;='Input sheet(dashboard)'!$D$27*12,J651*'Input sheet(dashboard)'!$E$8,0)</f>
        <v>0</v>
      </c>
      <c r="L651" s="3">
        <f>IF(B651&lt;='Input sheet(dashboard)'!$D$27*12,'Input sheet(dashboard)'!$D$9*(1+'Input sheet(dashboard)'!$E$22)^B651,0)</f>
        <v>0</v>
      </c>
      <c r="M651" s="3">
        <f>IF(B651=1,'Input sheet(dashboard)'!$D$3*'Input sheet(dashboard)'!$D$10,0)</f>
        <v>0</v>
      </c>
      <c r="N651" s="3">
        <f>IF(B651='Input sheet(dashboard)'!$D$27*12,J651*'Input sheet(dashboard)'!$D$11,0)</f>
        <v>0</v>
      </c>
      <c r="O651" s="3">
        <f>IF(SUM(F651:F662)&gt;=150000,150000/12*'Input sheet(dashboard)'!$D$28,SUM(F651:F662)/12*'Input sheet(dashboard)'!$D$28)</f>
        <v>3.2824735838074919E-12</v>
      </c>
      <c r="P651" s="3">
        <f t="shared" si="87"/>
        <v>4.1074218057970399E-11</v>
      </c>
      <c r="Q651" s="3">
        <f>IF(B651&lt;='Input sheet(dashboard)'!$D$27*12,'Input sheet(dashboard)'!$D$12/12,0)</f>
        <v>0</v>
      </c>
      <c r="R651" s="3">
        <f>IF(B651&lt;='Input sheet(dashboard)'!$D$27*12,('Input sheet(dashboard)'!$D$15/12)*(1+'Input sheet(dashboard)'!$E$22)^Calculations!B651,0)</f>
        <v>0</v>
      </c>
      <c r="S651" s="3">
        <f>IF(B651&lt;='Input sheet(dashboard)'!$D$27*12,(E651+G651+K651+L651-O651+M651+Q651+R651),0)</f>
        <v>0</v>
      </c>
      <c r="T651" s="3">
        <f>IF(B651&lt;='Input sheet(dashboard)'!$D$27*12,IF(D651=12,SUM(S640:S651),0),0)</f>
        <v>0</v>
      </c>
      <c r="U651" s="3">
        <f>IF(B651&lt;='Input sheet(dashboard)'!$D$27*12,IF(S651&lt;AD651,AD651-S651,0),0)</f>
        <v>0</v>
      </c>
      <c r="V651" s="3">
        <f>IF(B651&lt;='Input sheet(dashboard)'!$D$27*12,V650*(1+'Input sheet(dashboard)'!$E$25)+U651,0)</f>
        <v>0</v>
      </c>
      <c r="W651" s="17">
        <f>IF(B651&lt;='Input sheet(dashboard)'!$D$27*12,J651-I651+V651-N651,0)</f>
        <v>0</v>
      </c>
      <c r="X651" s="3">
        <f>IF(B651&lt;='Input sheet(dashboard)'!$D$27*12,'Input sheet(dashboard)'!$D$17*(1+'Input sheet(dashboard)'!$E$23)^(B651-1),0)</f>
        <v>0</v>
      </c>
      <c r="Y651" s="3"/>
      <c r="Z651" s="18"/>
      <c r="AA651" s="18"/>
      <c r="AB651" s="3">
        <f>IF(B651=1,'Input sheet(dashboard)'!$D$18*Calculations!X651,IF(Calculations!B651=12*'Input sheet(dashboard)'!$D$27,'Input sheet(dashboard)'!$D$18*-Calculations!X651,0))</f>
        <v>0</v>
      </c>
      <c r="AC651" s="3">
        <f>IF(B651&lt;='Input sheet(dashboard)'!$D$27*12,IF(MOD(B650,'Input sheet(dashboard)'!$D$19*12),0,'Input sheet(dashboard)'!$D$20*(1+'Input sheet(dashboard)'!$E$22)^Calculations!B651),0)</f>
        <v>0</v>
      </c>
      <c r="AD651" s="17">
        <f t="shared" si="93"/>
        <v>0</v>
      </c>
      <c r="AE651" s="17">
        <f>IF(B651&lt;='Input sheet(dashboard)'!$D$27*12,IF(D651=12,SUM(AD640:AD651),0),0)</f>
        <v>0</v>
      </c>
      <c r="AF651" s="17">
        <f t="shared" si="94"/>
        <v>0</v>
      </c>
      <c r="AG651" s="17">
        <f t="shared" si="95"/>
        <v>0</v>
      </c>
      <c r="AH651" s="3" t="str">
        <f>IF(B651&lt;='Input sheet(dashboard)'!$D$27*12,AH650*(1+'Input sheet(dashboard)'!$E$25)+AG651," ")</f>
        <v xml:space="preserve"> </v>
      </c>
    </row>
    <row r="652" spans="2:34">
      <c r="B652">
        <f t="shared" si="90"/>
        <v>649</v>
      </c>
      <c r="C652">
        <f t="shared" si="88"/>
        <v>55</v>
      </c>
      <c r="D652">
        <f t="shared" si="89"/>
        <v>1</v>
      </c>
      <c r="E652" s="15">
        <f>IF(C652&lt;='Input sheet(dashboard)'!$D$6, -PMT('Input sheet(dashboard)'!$E$5,'Input sheet(dashboard)'!$D$6*12,'Input sheet(dashboard)'!$D$3*'Input sheet(dashboard)'!$D$4),0)</f>
        <v>0</v>
      </c>
      <c r="F652" s="3">
        <f>I651*'Input sheet(dashboard)'!$E$5</f>
        <v>2.1526306005490947E-11</v>
      </c>
      <c r="G652" s="3">
        <f>IF(C652&lt;='Input sheet(dashboard)'!$D$6,E652*'Input sheet(dashboard)'!$D$7,0)</f>
        <v>0</v>
      </c>
      <c r="H652" s="3">
        <f t="shared" si="91"/>
        <v>-2.1526306005490947E-11</v>
      </c>
      <c r="I652" s="3">
        <f t="shared" si="92"/>
        <v>5.9308194742200326E-9</v>
      </c>
      <c r="J652" s="3">
        <f>IF(B652&lt;='Input sheet(dashboard)'!$D$27*12,'Input sheet(dashboard)'!$D$3*(1+'Input sheet(dashboard)'!$E$24)^B652,0)</f>
        <v>0</v>
      </c>
      <c r="K652" s="3">
        <f>IF(B652&lt;='Input sheet(dashboard)'!$D$27*12,J652*'Input sheet(dashboard)'!$E$8,0)</f>
        <v>0</v>
      </c>
      <c r="L652" s="3">
        <f>IF(B652&lt;='Input sheet(dashboard)'!$D$27*12,'Input sheet(dashboard)'!$D$9*(1+'Input sheet(dashboard)'!$E$22)^B652,0)</f>
        <v>0</v>
      </c>
      <c r="M652" s="3">
        <f>IF(B652=1,'Input sheet(dashboard)'!$D$3*'Input sheet(dashboard)'!$D$10,0)</f>
        <v>0</v>
      </c>
      <c r="N652" s="3">
        <f>IF(B652='Input sheet(dashboard)'!$D$27*12,J652*'Input sheet(dashboard)'!$D$11,0)</f>
        <v>0</v>
      </c>
      <c r="O652" s="3">
        <f>IF(SUM(F652:F663)&gt;=150000,150000/12*'Input sheet(dashboard)'!$D$28,SUM(F652:F663)/12*'Input sheet(dashboard)'!$D$28)</f>
        <v>3.2944309412796256E-12</v>
      </c>
      <c r="P652" s="3">
        <f t="shared" si="87"/>
        <v>0</v>
      </c>
      <c r="Q652" s="3">
        <f>IF(B652&lt;='Input sheet(dashboard)'!$D$27*12,'Input sheet(dashboard)'!$D$12/12,0)</f>
        <v>0</v>
      </c>
      <c r="R652" s="3">
        <f>IF(B652&lt;='Input sheet(dashboard)'!$D$27*12,('Input sheet(dashboard)'!$D$15/12)*(1+'Input sheet(dashboard)'!$E$22)^Calculations!B652,0)</f>
        <v>0</v>
      </c>
      <c r="S652" s="3">
        <f>IF(B652&lt;='Input sheet(dashboard)'!$D$27*12,(E652+G652+K652+L652-O652+M652+Q652+R652),0)</f>
        <v>0</v>
      </c>
      <c r="T652" s="3">
        <f>IF(B652&lt;='Input sheet(dashboard)'!$D$27*12,IF(D652=12,SUM(S641:S652),0),0)</f>
        <v>0</v>
      </c>
      <c r="U652" s="3">
        <f>IF(B652&lt;='Input sheet(dashboard)'!$D$27*12,IF(S652&lt;AD652,AD652-S652,0),0)</f>
        <v>0</v>
      </c>
      <c r="V652" s="3">
        <f>IF(B652&lt;='Input sheet(dashboard)'!$D$27*12,V651*(1+'Input sheet(dashboard)'!$E$25)+U652,0)</f>
        <v>0</v>
      </c>
      <c r="W652" s="17">
        <f>IF(B652&lt;='Input sheet(dashboard)'!$D$27*12,J652-I652+V652-N652,0)</f>
        <v>0</v>
      </c>
      <c r="X652" s="3">
        <f>IF(B652&lt;='Input sheet(dashboard)'!$D$27*12,'Input sheet(dashboard)'!$D$17*(1+'Input sheet(dashboard)'!$E$23)^(B652-1),0)</f>
        <v>0</v>
      </c>
      <c r="Y652" s="3"/>
      <c r="Z652" s="18"/>
      <c r="AA652" s="18"/>
      <c r="AB652" s="3">
        <f>IF(B652=1,'Input sheet(dashboard)'!$D$18*Calculations!X652,IF(Calculations!B652=12*'Input sheet(dashboard)'!$D$27,'Input sheet(dashboard)'!$D$18*-Calculations!X652,0))</f>
        <v>0</v>
      </c>
      <c r="AC652" s="3">
        <f>IF(B652&lt;='Input sheet(dashboard)'!$D$27*12,IF(MOD(B651,'Input sheet(dashboard)'!$D$19*12),0,'Input sheet(dashboard)'!$D$20*(1+'Input sheet(dashboard)'!$E$22)^Calculations!B652),0)</f>
        <v>0</v>
      </c>
      <c r="AD652" s="17">
        <f t="shared" si="93"/>
        <v>0</v>
      </c>
      <c r="AE652" s="17">
        <f>IF(B652&lt;='Input sheet(dashboard)'!$D$27*12,IF(D652=12,SUM(AD641:AD652),0),0)</f>
        <v>0</v>
      </c>
      <c r="AF652" s="17">
        <f t="shared" si="94"/>
        <v>0</v>
      </c>
      <c r="AG652" s="17">
        <f t="shared" si="95"/>
        <v>0</v>
      </c>
      <c r="AH652" s="3" t="str">
        <f>IF(B652&lt;='Input sheet(dashboard)'!$D$27*12,AH651*(1+'Input sheet(dashboard)'!$E$25)+AG652," ")</f>
        <v xml:space="preserve"> </v>
      </c>
    </row>
    <row r="653" spans="2:34">
      <c r="B653">
        <f t="shared" si="90"/>
        <v>650</v>
      </c>
      <c r="C653">
        <f t="shared" si="88"/>
        <v>55</v>
      </c>
      <c r="D653">
        <f t="shared" si="89"/>
        <v>2</v>
      </c>
      <c r="E653" s="15">
        <f>IF(C653&lt;='Input sheet(dashboard)'!$D$6, -PMT('Input sheet(dashboard)'!$E$5,'Input sheet(dashboard)'!$D$6*12,'Input sheet(dashboard)'!$D$3*'Input sheet(dashboard)'!$D$4),0)</f>
        <v>0</v>
      </c>
      <c r="F653" s="3">
        <f>I652*'Input sheet(dashboard)'!$E$5</f>
        <v>2.1604721788402938E-11</v>
      </c>
      <c r="G653" s="3">
        <f>IF(C653&lt;='Input sheet(dashboard)'!$D$6,E653*'Input sheet(dashboard)'!$D$7,0)</f>
        <v>0</v>
      </c>
      <c r="H653" s="3">
        <f t="shared" si="91"/>
        <v>-2.1604721788402938E-11</v>
      </c>
      <c r="I653" s="3">
        <f t="shared" si="92"/>
        <v>5.9524241960084355E-9</v>
      </c>
      <c r="J653" s="3">
        <f>IF(B653&lt;='Input sheet(dashboard)'!$D$27*12,'Input sheet(dashboard)'!$D$3*(1+'Input sheet(dashboard)'!$E$24)^B653,0)</f>
        <v>0</v>
      </c>
      <c r="K653" s="3">
        <f>IF(B653&lt;='Input sheet(dashboard)'!$D$27*12,J653*'Input sheet(dashboard)'!$E$8,0)</f>
        <v>0</v>
      </c>
      <c r="L653" s="3">
        <f>IF(B653&lt;='Input sheet(dashboard)'!$D$27*12,'Input sheet(dashboard)'!$D$9*(1+'Input sheet(dashboard)'!$E$22)^B653,0)</f>
        <v>0</v>
      </c>
      <c r="M653" s="3">
        <f>IF(B653=1,'Input sheet(dashboard)'!$D$3*'Input sheet(dashboard)'!$D$10,0)</f>
        <v>0</v>
      </c>
      <c r="N653" s="3">
        <f>IF(B653='Input sheet(dashboard)'!$D$27*12,J653*'Input sheet(dashboard)'!$D$11,0)</f>
        <v>0</v>
      </c>
      <c r="O653" s="3">
        <f>IF(SUM(F653:F664)&gt;=150000,150000/12*'Input sheet(dashboard)'!$D$28,SUM(F653:F664)/12*'Input sheet(dashboard)'!$D$28)</f>
        <v>3.306431856877686E-12</v>
      </c>
      <c r="P653" s="3">
        <f t="shared" si="87"/>
        <v>0</v>
      </c>
      <c r="Q653" s="3">
        <f>IF(B653&lt;='Input sheet(dashboard)'!$D$27*12,'Input sheet(dashboard)'!$D$12/12,0)</f>
        <v>0</v>
      </c>
      <c r="R653" s="3">
        <f>IF(B653&lt;='Input sheet(dashboard)'!$D$27*12,('Input sheet(dashboard)'!$D$15/12)*(1+'Input sheet(dashboard)'!$E$22)^Calculations!B653,0)</f>
        <v>0</v>
      </c>
      <c r="S653" s="3">
        <f>IF(B653&lt;='Input sheet(dashboard)'!$D$27*12,(E653+G653+K653+L653-O653+M653+Q653+R653),0)</f>
        <v>0</v>
      </c>
      <c r="T653" s="3">
        <f>IF(B653&lt;='Input sheet(dashboard)'!$D$27*12,IF(D653=12,SUM(S642:S653),0),0)</f>
        <v>0</v>
      </c>
      <c r="U653" s="3">
        <f>IF(B653&lt;='Input sheet(dashboard)'!$D$27*12,IF(S653&lt;AD653,AD653-S653,0),0)</f>
        <v>0</v>
      </c>
      <c r="V653" s="3">
        <f>IF(B653&lt;='Input sheet(dashboard)'!$D$27*12,V652*(1+'Input sheet(dashboard)'!$E$25)+U653,0)</f>
        <v>0</v>
      </c>
      <c r="W653" s="17">
        <f>IF(B653&lt;='Input sheet(dashboard)'!$D$27*12,J653-I653+V653-N653,0)</f>
        <v>0</v>
      </c>
      <c r="X653" s="3">
        <f>IF(B653&lt;='Input sheet(dashboard)'!$D$27*12,'Input sheet(dashboard)'!$D$17*(1+'Input sheet(dashboard)'!$E$23)^(B653-1),0)</f>
        <v>0</v>
      </c>
      <c r="Y653" s="3"/>
      <c r="Z653" s="18"/>
      <c r="AA653" s="18"/>
      <c r="AB653" s="3">
        <f>IF(B653=1,'Input sheet(dashboard)'!$D$18*Calculations!X653,IF(Calculations!B653=12*'Input sheet(dashboard)'!$D$27,'Input sheet(dashboard)'!$D$18*-Calculations!X653,0))</f>
        <v>0</v>
      </c>
      <c r="AC653" s="3">
        <f>IF(B653&lt;='Input sheet(dashboard)'!$D$27*12,IF(MOD(B652,'Input sheet(dashboard)'!$D$19*12),0,'Input sheet(dashboard)'!$D$20*(1+'Input sheet(dashboard)'!$E$22)^Calculations!B653),0)</f>
        <v>0</v>
      </c>
      <c r="AD653" s="17">
        <f t="shared" si="93"/>
        <v>0</v>
      </c>
      <c r="AE653" s="17">
        <f>IF(B653&lt;='Input sheet(dashboard)'!$D$27*12,IF(D653=12,SUM(AD642:AD653),0),0)</f>
        <v>0</v>
      </c>
      <c r="AF653" s="17">
        <f t="shared" si="94"/>
        <v>0</v>
      </c>
      <c r="AG653" s="17">
        <f t="shared" si="95"/>
        <v>0</v>
      </c>
      <c r="AH653" s="3" t="str">
        <f>IF(B653&lt;='Input sheet(dashboard)'!$D$27*12,AH652*(1+'Input sheet(dashboard)'!$E$25)+AG653," ")</f>
        <v xml:space="preserve"> </v>
      </c>
    </row>
    <row r="654" spans="2:34">
      <c r="B654">
        <f t="shared" si="90"/>
        <v>651</v>
      </c>
      <c r="C654">
        <f t="shared" si="88"/>
        <v>55</v>
      </c>
      <c r="D654">
        <f t="shared" si="89"/>
        <v>3</v>
      </c>
      <c r="E654" s="15">
        <f>IF(C654&lt;='Input sheet(dashboard)'!$D$6, -PMT('Input sheet(dashboard)'!$E$5,'Input sheet(dashboard)'!$D$6*12,'Input sheet(dashboard)'!$D$3*'Input sheet(dashboard)'!$D$4),0)</f>
        <v>0</v>
      </c>
      <c r="F654" s="3">
        <f>I653*'Input sheet(dashboard)'!$E$5</f>
        <v>2.168342322343788E-11</v>
      </c>
      <c r="G654" s="3">
        <f>IF(C654&lt;='Input sheet(dashboard)'!$D$6,E654*'Input sheet(dashboard)'!$D$7,0)</f>
        <v>0</v>
      </c>
      <c r="H654" s="3">
        <f t="shared" si="91"/>
        <v>-2.168342322343788E-11</v>
      </c>
      <c r="I654" s="3">
        <f t="shared" si="92"/>
        <v>5.9741076192318738E-9</v>
      </c>
      <c r="J654" s="3">
        <f>IF(B654&lt;='Input sheet(dashboard)'!$D$27*12,'Input sheet(dashboard)'!$D$3*(1+'Input sheet(dashboard)'!$E$24)^B654,0)</f>
        <v>0</v>
      </c>
      <c r="K654" s="3">
        <f>IF(B654&lt;='Input sheet(dashboard)'!$D$27*12,J654*'Input sheet(dashboard)'!$E$8,0)</f>
        <v>0</v>
      </c>
      <c r="L654" s="3">
        <f>IF(B654&lt;='Input sheet(dashboard)'!$D$27*12,'Input sheet(dashboard)'!$D$9*(1+'Input sheet(dashboard)'!$E$22)^B654,0)</f>
        <v>0</v>
      </c>
      <c r="M654" s="3">
        <f>IF(B654=1,'Input sheet(dashboard)'!$D$3*'Input sheet(dashboard)'!$D$10,0)</f>
        <v>0</v>
      </c>
      <c r="N654" s="3">
        <f>IF(B654='Input sheet(dashboard)'!$D$27*12,J654*'Input sheet(dashboard)'!$D$11,0)</f>
        <v>0</v>
      </c>
      <c r="O654" s="3">
        <f>IF(SUM(F654:F665)&gt;=150000,150000/12*'Input sheet(dashboard)'!$D$28,SUM(F654:F665)/12*'Input sheet(dashboard)'!$D$28)</f>
        <v>3.3184764892747215E-12</v>
      </c>
      <c r="P654" s="3">
        <f t="shared" si="87"/>
        <v>0</v>
      </c>
      <c r="Q654" s="3">
        <f>IF(B654&lt;='Input sheet(dashboard)'!$D$27*12,'Input sheet(dashboard)'!$D$12/12,0)</f>
        <v>0</v>
      </c>
      <c r="R654" s="3">
        <f>IF(B654&lt;='Input sheet(dashboard)'!$D$27*12,('Input sheet(dashboard)'!$D$15/12)*(1+'Input sheet(dashboard)'!$E$22)^Calculations!B654,0)</f>
        <v>0</v>
      </c>
      <c r="S654" s="3">
        <f>IF(B654&lt;='Input sheet(dashboard)'!$D$27*12,(E654+G654+K654+L654-O654+M654+Q654+R654),0)</f>
        <v>0</v>
      </c>
      <c r="T654" s="3">
        <f>IF(B654&lt;='Input sheet(dashboard)'!$D$27*12,IF(D654=12,SUM(S643:S654),0),0)</f>
        <v>0</v>
      </c>
      <c r="U654" s="3">
        <f>IF(B654&lt;='Input sheet(dashboard)'!$D$27*12,IF(S654&lt;AD654,AD654-S654,0),0)</f>
        <v>0</v>
      </c>
      <c r="V654" s="3">
        <f>IF(B654&lt;='Input sheet(dashboard)'!$D$27*12,V653*(1+'Input sheet(dashboard)'!$E$25)+U654,0)</f>
        <v>0</v>
      </c>
      <c r="W654" s="17">
        <f>IF(B654&lt;='Input sheet(dashboard)'!$D$27*12,J654-I654+V654-N654,0)</f>
        <v>0</v>
      </c>
      <c r="X654" s="3">
        <f>IF(B654&lt;='Input sheet(dashboard)'!$D$27*12,'Input sheet(dashboard)'!$D$17*(1+'Input sheet(dashboard)'!$E$23)^(B654-1),0)</f>
        <v>0</v>
      </c>
      <c r="Y654" s="3"/>
      <c r="Z654" s="18"/>
      <c r="AA654" s="18"/>
      <c r="AB654" s="3">
        <f>IF(B654=1,'Input sheet(dashboard)'!$D$18*Calculations!X654,IF(Calculations!B654=12*'Input sheet(dashboard)'!$D$27,'Input sheet(dashboard)'!$D$18*-Calculations!X654,0))</f>
        <v>0</v>
      </c>
      <c r="AC654" s="3">
        <f>IF(B654&lt;='Input sheet(dashboard)'!$D$27*12,IF(MOD(B653,'Input sheet(dashboard)'!$D$19*12),0,'Input sheet(dashboard)'!$D$20*(1+'Input sheet(dashboard)'!$E$22)^Calculations!B654),0)</f>
        <v>0</v>
      </c>
      <c r="AD654" s="17">
        <f t="shared" si="93"/>
        <v>0</v>
      </c>
      <c r="AE654" s="17">
        <f>IF(B654&lt;='Input sheet(dashboard)'!$D$27*12,IF(D654=12,SUM(AD643:AD654),0),0)</f>
        <v>0</v>
      </c>
      <c r="AF654" s="17">
        <f t="shared" si="94"/>
        <v>0</v>
      </c>
      <c r="AG654" s="17">
        <f t="shared" si="95"/>
        <v>0</v>
      </c>
      <c r="AH654" s="3" t="str">
        <f>IF(B654&lt;='Input sheet(dashboard)'!$D$27*12,AH653*(1+'Input sheet(dashboard)'!$E$25)+AG654," ")</f>
        <v xml:space="preserve"> </v>
      </c>
    </row>
    <row r="655" spans="2:34">
      <c r="B655">
        <f t="shared" si="90"/>
        <v>652</v>
      </c>
      <c r="C655">
        <f t="shared" si="88"/>
        <v>55</v>
      </c>
      <c r="D655">
        <f t="shared" si="89"/>
        <v>4</v>
      </c>
      <c r="E655" s="15">
        <f>IF(C655&lt;='Input sheet(dashboard)'!$D$6, -PMT('Input sheet(dashboard)'!$E$5,'Input sheet(dashboard)'!$D$6*12,'Input sheet(dashboard)'!$D$3*'Input sheet(dashboard)'!$D$4),0)</f>
        <v>0</v>
      </c>
      <c r="F655" s="3">
        <f>I654*'Input sheet(dashboard)'!$E$5</f>
        <v>2.1762411351166078E-11</v>
      </c>
      <c r="G655" s="3">
        <f>IF(C655&lt;='Input sheet(dashboard)'!$D$6,E655*'Input sheet(dashboard)'!$D$7,0)</f>
        <v>0</v>
      </c>
      <c r="H655" s="3">
        <f t="shared" si="91"/>
        <v>-2.1762411351166078E-11</v>
      </c>
      <c r="I655" s="3">
        <f t="shared" si="92"/>
        <v>5.9958700305830397E-9</v>
      </c>
      <c r="J655" s="3">
        <f>IF(B655&lt;='Input sheet(dashboard)'!$D$27*12,'Input sheet(dashboard)'!$D$3*(1+'Input sheet(dashboard)'!$E$24)^B655,0)</f>
        <v>0</v>
      </c>
      <c r="K655" s="3">
        <f>IF(B655&lt;='Input sheet(dashboard)'!$D$27*12,J655*'Input sheet(dashboard)'!$E$8,0)</f>
        <v>0</v>
      </c>
      <c r="L655" s="3">
        <f>IF(B655&lt;='Input sheet(dashboard)'!$D$27*12,'Input sheet(dashboard)'!$D$9*(1+'Input sheet(dashboard)'!$E$22)^B655,0)</f>
        <v>0</v>
      </c>
      <c r="M655" s="3">
        <f>IF(B655=1,'Input sheet(dashboard)'!$D$3*'Input sheet(dashboard)'!$D$10,0)</f>
        <v>0</v>
      </c>
      <c r="N655" s="3">
        <f>IF(B655='Input sheet(dashboard)'!$D$27*12,J655*'Input sheet(dashboard)'!$D$11,0)</f>
        <v>0</v>
      </c>
      <c r="O655" s="3">
        <f>IF(SUM(F655:F666)&gt;=150000,150000/12*'Input sheet(dashboard)'!$D$28,SUM(F655:F666)/12*'Input sheet(dashboard)'!$D$28)</f>
        <v>3.3305649977217882E-12</v>
      </c>
      <c r="P655" s="3">
        <f t="shared" ref="P655:P718" si="96">IF(D655=12,IF(SUM(F644:F656)&gt;=150000,150000*0.15,SUM(F644:F656)*0.15),0)</f>
        <v>0</v>
      </c>
      <c r="Q655" s="3">
        <f>IF(B655&lt;='Input sheet(dashboard)'!$D$27*12,'Input sheet(dashboard)'!$D$12/12,0)</f>
        <v>0</v>
      </c>
      <c r="R655" s="3">
        <f>IF(B655&lt;='Input sheet(dashboard)'!$D$27*12,('Input sheet(dashboard)'!$D$15/12)*(1+'Input sheet(dashboard)'!$E$22)^Calculations!B655,0)</f>
        <v>0</v>
      </c>
      <c r="S655" s="3">
        <f>IF(B655&lt;='Input sheet(dashboard)'!$D$27*12,(E655+G655+K655+L655-O655+M655+Q655+R655),0)</f>
        <v>0</v>
      </c>
      <c r="T655" s="3">
        <f>IF(B655&lt;='Input sheet(dashboard)'!$D$27*12,IF(D655=12,SUM(S644:S655),0),0)</f>
        <v>0</v>
      </c>
      <c r="U655" s="3">
        <f>IF(B655&lt;='Input sheet(dashboard)'!$D$27*12,IF(S655&lt;AD655,AD655-S655,0),0)</f>
        <v>0</v>
      </c>
      <c r="V655" s="3">
        <f>IF(B655&lt;='Input sheet(dashboard)'!$D$27*12,V654*(1+'Input sheet(dashboard)'!$E$25)+U655,0)</f>
        <v>0</v>
      </c>
      <c r="W655" s="17">
        <f>IF(B655&lt;='Input sheet(dashboard)'!$D$27*12,J655-I655+V655-N655,0)</f>
        <v>0</v>
      </c>
      <c r="X655" s="3">
        <f>IF(B655&lt;='Input sheet(dashboard)'!$D$27*12,'Input sheet(dashboard)'!$D$17*(1+'Input sheet(dashboard)'!$E$23)^(B655-1),0)</f>
        <v>0</v>
      </c>
      <c r="Y655" s="3"/>
      <c r="Z655" s="18"/>
      <c r="AA655" s="18"/>
      <c r="AB655" s="3">
        <f>IF(B655=1,'Input sheet(dashboard)'!$D$18*Calculations!X655,IF(Calculations!B655=12*'Input sheet(dashboard)'!$D$27,'Input sheet(dashboard)'!$D$18*-Calculations!X655,0))</f>
        <v>0</v>
      </c>
      <c r="AC655" s="3">
        <f>IF(B655&lt;='Input sheet(dashboard)'!$D$27*12,IF(MOD(B654,'Input sheet(dashboard)'!$D$19*12),0,'Input sheet(dashboard)'!$D$20*(1+'Input sheet(dashboard)'!$E$22)^Calculations!B655),0)</f>
        <v>0</v>
      </c>
      <c r="AD655" s="17">
        <f t="shared" si="93"/>
        <v>0</v>
      </c>
      <c r="AE655" s="17">
        <f>IF(B655&lt;='Input sheet(dashboard)'!$D$27*12,IF(D655=12,SUM(AD644:AD655),0),0)</f>
        <v>0</v>
      </c>
      <c r="AF655" s="17">
        <f t="shared" si="94"/>
        <v>0</v>
      </c>
      <c r="AG655" s="17">
        <f t="shared" si="95"/>
        <v>0</v>
      </c>
      <c r="AH655" s="3" t="str">
        <f>IF(B655&lt;='Input sheet(dashboard)'!$D$27*12,AH654*(1+'Input sheet(dashboard)'!$E$25)+AG655," ")</f>
        <v xml:space="preserve"> </v>
      </c>
    </row>
    <row r="656" spans="2:34">
      <c r="B656">
        <f t="shared" si="90"/>
        <v>653</v>
      </c>
      <c r="C656">
        <f t="shared" ref="C656:C719" si="97">C644+1</f>
        <v>55</v>
      </c>
      <c r="D656">
        <f t="shared" ref="D656:D719" si="98">D644</f>
        <v>5</v>
      </c>
      <c r="E656" s="15">
        <f>IF(C656&lt;='Input sheet(dashboard)'!$D$6, -PMT('Input sheet(dashboard)'!$E$5,'Input sheet(dashboard)'!$D$6*12,'Input sheet(dashboard)'!$D$3*'Input sheet(dashboard)'!$D$4),0)</f>
        <v>0</v>
      </c>
      <c r="F656" s="3">
        <f>I655*'Input sheet(dashboard)'!$E$5</f>
        <v>2.1841687215948414E-11</v>
      </c>
      <c r="G656" s="3">
        <f>IF(C656&lt;='Input sheet(dashboard)'!$D$6,E656*'Input sheet(dashboard)'!$D$7,0)</f>
        <v>0</v>
      </c>
      <c r="H656" s="3">
        <f t="shared" si="91"/>
        <v>-2.1841687215948414E-11</v>
      </c>
      <c r="I656" s="3">
        <f t="shared" si="92"/>
        <v>6.0177117177989883E-9</v>
      </c>
      <c r="J656" s="3">
        <f>IF(B656&lt;='Input sheet(dashboard)'!$D$27*12,'Input sheet(dashboard)'!$D$3*(1+'Input sheet(dashboard)'!$E$24)^B656,0)</f>
        <v>0</v>
      </c>
      <c r="K656" s="3">
        <f>IF(B656&lt;='Input sheet(dashboard)'!$D$27*12,J656*'Input sheet(dashboard)'!$E$8,0)</f>
        <v>0</v>
      </c>
      <c r="L656" s="3">
        <f>IF(B656&lt;='Input sheet(dashboard)'!$D$27*12,'Input sheet(dashboard)'!$D$9*(1+'Input sheet(dashboard)'!$E$22)^B656,0)</f>
        <v>0</v>
      </c>
      <c r="M656" s="3">
        <f>IF(B656=1,'Input sheet(dashboard)'!$D$3*'Input sheet(dashboard)'!$D$10,0)</f>
        <v>0</v>
      </c>
      <c r="N656" s="3">
        <f>IF(B656='Input sheet(dashboard)'!$D$27*12,J656*'Input sheet(dashboard)'!$D$11,0)</f>
        <v>0</v>
      </c>
      <c r="O656" s="3">
        <f>IF(SUM(F656:F667)&gt;=150000,150000/12*'Input sheet(dashboard)'!$D$28,SUM(F656:F667)/12*'Input sheet(dashboard)'!$D$28)</f>
        <v>3.3426975420500633E-12</v>
      </c>
      <c r="P656" s="3">
        <f t="shared" si="96"/>
        <v>0</v>
      </c>
      <c r="Q656" s="3">
        <f>IF(B656&lt;='Input sheet(dashboard)'!$D$27*12,'Input sheet(dashboard)'!$D$12/12,0)</f>
        <v>0</v>
      </c>
      <c r="R656" s="3">
        <f>IF(B656&lt;='Input sheet(dashboard)'!$D$27*12,('Input sheet(dashboard)'!$D$15/12)*(1+'Input sheet(dashboard)'!$E$22)^Calculations!B656,0)</f>
        <v>0</v>
      </c>
      <c r="S656" s="3">
        <f>IF(B656&lt;='Input sheet(dashboard)'!$D$27*12,(E656+G656+K656+L656-O656+M656+Q656+R656),0)</f>
        <v>0</v>
      </c>
      <c r="T656" s="3">
        <f>IF(B656&lt;='Input sheet(dashboard)'!$D$27*12,IF(D656=12,SUM(S645:S656),0),0)</f>
        <v>0</v>
      </c>
      <c r="U656" s="3">
        <f>IF(B656&lt;='Input sheet(dashboard)'!$D$27*12,IF(S656&lt;AD656,AD656-S656,0),0)</f>
        <v>0</v>
      </c>
      <c r="V656" s="3">
        <f>IF(B656&lt;='Input sheet(dashboard)'!$D$27*12,V655*(1+'Input sheet(dashboard)'!$E$25)+U656,0)</f>
        <v>0</v>
      </c>
      <c r="W656" s="17">
        <f>IF(B656&lt;='Input sheet(dashboard)'!$D$27*12,J656-I656+V656-N656,0)</f>
        <v>0</v>
      </c>
      <c r="X656" s="3">
        <f>IF(B656&lt;='Input sheet(dashboard)'!$D$27*12,'Input sheet(dashboard)'!$D$17*(1+'Input sheet(dashboard)'!$E$23)^(B656-1),0)</f>
        <v>0</v>
      </c>
      <c r="Y656" s="3"/>
      <c r="Z656" s="18"/>
      <c r="AA656" s="18"/>
      <c r="AB656" s="3">
        <f>IF(B656=1,'Input sheet(dashboard)'!$D$18*Calculations!X656,IF(Calculations!B656=12*'Input sheet(dashboard)'!$D$27,'Input sheet(dashboard)'!$D$18*-Calculations!X656,0))</f>
        <v>0</v>
      </c>
      <c r="AC656" s="3">
        <f>IF(B656&lt;='Input sheet(dashboard)'!$D$27*12,IF(MOD(B655,'Input sheet(dashboard)'!$D$19*12),0,'Input sheet(dashboard)'!$D$20*(1+'Input sheet(dashboard)'!$E$22)^Calculations!B656),0)</f>
        <v>0</v>
      </c>
      <c r="AD656" s="17">
        <f t="shared" si="93"/>
        <v>0</v>
      </c>
      <c r="AE656" s="17">
        <f>IF(B656&lt;='Input sheet(dashboard)'!$D$27*12,IF(D656=12,SUM(AD645:AD656),0),0)</f>
        <v>0</v>
      </c>
      <c r="AF656" s="17">
        <f t="shared" si="94"/>
        <v>0</v>
      </c>
      <c r="AG656" s="17">
        <f t="shared" si="95"/>
        <v>0</v>
      </c>
      <c r="AH656" s="3" t="str">
        <f>IF(B656&lt;='Input sheet(dashboard)'!$D$27*12,AH655*(1+'Input sheet(dashboard)'!$E$25)+AG656," ")</f>
        <v xml:space="preserve"> </v>
      </c>
    </row>
    <row r="657" spans="2:34">
      <c r="B657">
        <f t="shared" si="90"/>
        <v>654</v>
      </c>
      <c r="C657">
        <f t="shared" si="97"/>
        <v>55</v>
      </c>
      <c r="D657">
        <f t="shared" si="98"/>
        <v>6</v>
      </c>
      <c r="E657" s="15">
        <f>IF(C657&lt;='Input sheet(dashboard)'!$D$6, -PMT('Input sheet(dashboard)'!$E$5,'Input sheet(dashboard)'!$D$6*12,'Input sheet(dashboard)'!$D$3*'Input sheet(dashboard)'!$D$4),0)</f>
        <v>0</v>
      </c>
      <c r="F657" s="3">
        <f>I656*'Input sheet(dashboard)'!$E$5</f>
        <v>2.1921251865950166E-11</v>
      </c>
      <c r="G657" s="3">
        <f>IF(C657&lt;='Input sheet(dashboard)'!$D$6,E657*'Input sheet(dashboard)'!$D$7,0)</f>
        <v>0</v>
      </c>
      <c r="H657" s="3">
        <f t="shared" si="91"/>
        <v>-2.1921251865950166E-11</v>
      </c>
      <c r="I657" s="3">
        <f t="shared" si="92"/>
        <v>6.0396329696649389E-9</v>
      </c>
      <c r="J657" s="3">
        <f>IF(B657&lt;='Input sheet(dashboard)'!$D$27*12,'Input sheet(dashboard)'!$D$3*(1+'Input sheet(dashboard)'!$E$24)^B657,0)</f>
        <v>0</v>
      </c>
      <c r="K657" s="3">
        <f>IF(B657&lt;='Input sheet(dashboard)'!$D$27*12,J657*'Input sheet(dashboard)'!$E$8,0)</f>
        <v>0</v>
      </c>
      <c r="L657" s="3">
        <f>IF(B657&lt;='Input sheet(dashboard)'!$D$27*12,'Input sheet(dashboard)'!$D$9*(1+'Input sheet(dashboard)'!$E$22)^B657,0)</f>
        <v>0</v>
      </c>
      <c r="M657" s="3">
        <f>IF(B657=1,'Input sheet(dashboard)'!$D$3*'Input sheet(dashboard)'!$D$10,0)</f>
        <v>0</v>
      </c>
      <c r="N657" s="3">
        <f>IF(B657='Input sheet(dashboard)'!$D$27*12,J657*'Input sheet(dashboard)'!$D$11,0)</f>
        <v>0</v>
      </c>
      <c r="O657" s="3">
        <f>IF(SUM(F657:F668)&gt;=150000,150000/12*'Input sheet(dashboard)'!$D$28,SUM(F657:F668)/12*'Input sheet(dashboard)'!$D$28)</f>
        <v>3.3548742826729547E-12</v>
      </c>
      <c r="P657" s="3">
        <f t="shared" si="96"/>
        <v>0</v>
      </c>
      <c r="Q657" s="3">
        <f>IF(B657&lt;='Input sheet(dashboard)'!$D$27*12,'Input sheet(dashboard)'!$D$12/12,0)</f>
        <v>0</v>
      </c>
      <c r="R657" s="3">
        <f>IF(B657&lt;='Input sheet(dashboard)'!$D$27*12,('Input sheet(dashboard)'!$D$15/12)*(1+'Input sheet(dashboard)'!$E$22)^Calculations!B657,0)</f>
        <v>0</v>
      </c>
      <c r="S657" s="3">
        <f>IF(B657&lt;='Input sheet(dashboard)'!$D$27*12,(E657+G657+K657+L657-O657+M657+Q657+R657),0)</f>
        <v>0</v>
      </c>
      <c r="T657" s="3">
        <f>IF(B657&lt;='Input sheet(dashboard)'!$D$27*12,IF(D657=12,SUM(S646:S657),0),0)</f>
        <v>0</v>
      </c>
      <c r="U657" s="3">
        <f>IF(B657&lt;='Input sheet(dashboard)'!$D$27*12,IF(S657&lt;AD657,AD657-S657,0),0)</f>
        <v>0</v>
      </c>
      <c r="V657" s="3">
        <f>IF(B657&lt;='Input sheet(dashboard)'!$D$27*12,V656*(1+'Input sheet(dashboard)'!$E$25)+U657,0)</f>
        <v>0</v>
      </c>
      <c r="W657" s="17">
        <f>IF(B657&lt;='Input sheet(dashboard)'!$D$27*12,J657-I657+V657-N657,0)</f>
        <v>0</v>
      </c>
      <c r="X657" s="3">
        <f>IF(B657&lt;='Input sheet(dashboard)'!$D$27*12,'Input sheet(dashboard)'!$D$17*(1+'Input sheet(dashboard)'!$E$23)^(B657-1),0)</f>
        <v>0</v>
      </c>
      <c r="Y657" s="3"/>
      <c r="Z657" s="18"/>
      <c r="AA657" s="18"/>
      <c r="AB657" s="3">
        <f>IF(B657=1,'Input sheet(dashboard)'!$D$18*Calculations!X657,IF(Calculations!B657=12*'Input sheet(dashboard)'!$D$27,'Input sheet(dashboard)'!$D$18*-Calculations!X657,0))</f>
        <v>0</v>
      </c>
      <c r="AC657" s="3">
        <f>IF(B657&lt;='Input sheet(dashboard)'!$D$27*12,IF(MOD(B656,'Input sheet(dashboard)'!$D$19*12),0,'Input sheet(dashboard)'!$D$20*(1+'Input sheet(dashboard)'!$E$22)^Calculations!B657),0)</f>
        <v>0</v>
      </c>
      <c r="AD657" s="17">
        <f t="shared" si="93"/>
        <v>0</v>
      </c>
      <c r="AE657" s="17">
        <f>IF(B657&lt;='Input sheet(dashboard)'!$D$27*12,IF(D657=12,SUM(AD646:AD657),0),0)</f>
        <v>0</v>
      </c>
      <c r="AF657" s="17">
        <f t="shared" si="94"/>
        <v>0</v>
      </c>
      <c r="AG657" s="17">
        <f t="shared" si="95"/>
        <v>0</v>
      </c>
      <c r="AH657" s="3" t="str">
        <f>IF(B657&lt;='Input sheet(dashboard)'!$D$27*12,AH656*(1+'Input sheet(dashboard)'!$E$25)+AG657," ")</f>
        <v xml:space="preserve"> </v>
      </c>
    </row>
    <row r="658" spans="2:34">
      <c r="B658">
        <f t="shared" si="90"/>
        <v>655</v>
      </c>
      <c r="C658">
        <f t="shared" si="97"/>
        <v>55</v>
      </c>
      <c r="D658">
        <f t="shared" si="98"/>
        <v>7</v>
      </c>
      <c r="E658" s="15">
        <f>IF(C658&lt;='Input sheet(dashboard)'!$D$6, -PMT('Input sheet(dashboard)'!$E$5,'Input sheet(dashboard)'!$D$6*12,'Input sheet(dashboard)'!$D$3*'Input sheet(dashboard)'!$D$4),0)</f>
        <v>0</v>
      </c>
      <c r="F658" s="3">
        <f>I657*'Input sheet(dashboard)'!$E$5</f>
        <v>2.2001106353154846E-11</v>
      </c>
      <c r="G658" s="3">
        <f>IF(C658&lt;='Input sheet(dashboard)'!$D$6,E658*'Input sheet(dashboard)'!$D$7,0)</f>
        <v>0</v>
      </c>
      <c r="H658" s="3">
        <f t="shared" si="91"/>
        <v>-2.2001106353154846E-11</v>
      </c>
      <c r="I658" s="3">
        <f t="shared" si="92"/>
        <v>6.0616340760180934E-9</v>
      </c>
      <c r="J658" s="3">
        <f>IF(B658&lt;='Input sheet(dashboard)'!$D$27*12,'Input sheet(dashboard)'!$D$3*(1+'Input sheet(dashboard)'!$E$24)^B658,0)</f>
        <v>0</v>
      </c>
      <c r="K658" s="3">
        <f>IF(B658&lt;='Input sheet(dashboard)'!$D$27*12,J658*'Input sheet(dashboard)'!$E$8,0)</f>
        <v>0</v>
      </c>
      <c r="L658" s="3">
        <f>IF(B658&lt;='Input sheet(dashboard)'!$D$27*12,'Input sheet(dashboard)'!$D$9*(1+'Input sheet(dashboard)'!$E$22)^B658,0)</f>
        <v>0</v>
      </c>
      <c r="M658" s="3">
        <f>IF(B658=1,'Input sheet(dashboard)'!$D$3*'Input sheet(dashboard)'!$D$10,0)</f>
        <v>0</v>
      </c>
      <c r="N658" s="3">
        <f>IF(B658='Input sheet(dashboard)'!$D$27*12,J658*'Input sheet(dashboard)'!$D$11,0)</f>
        <v>0</v>
      </c>
      <c r="O658" s="3">
        <f>IF(SUM(F658:F669)&gt;=150000,150000/12*'Input sheet(dashboard)'!$D$28,SUM(F658:F669)/12*'Input sheet(dashboard)'!$D$28)</f>
        <v>3.3670953805882224E-12</v>
      </c>
      <c r="P658" s="3">
        <f t="shared" si="96"/>
        <v>0</v>
      </c>
      <c r="Q658" s="3">
        <f>IF(B658&lt;='Input sheet(dashboard)'!$D$27*12,'Input sheet(dashboard)'!$D$12/12,0)</f>
        <v>0</v>
      </c>
      <c r="R658" s="3">
        <f>IF(B658&lt;='Input sheet(dashboard)'!$D$27*12,('Input sheet(dashboard)'!$D$15/12)*(1+'Input sheet(dashboard)'!$E$22)^Calculations!B658,0)</f>
        <v>0</v>
      </c>
      <c r="S658" s="3">
        <f>IF(B658&lt;='Input sheet(dashboard)'!$D$27*12,(E658+G658+K658+L658-O658+M658+Q658+R658),0)</f>
        <v>0</v>
      </c>
      <c r="T658" s="3">
        <f>IF(B658&lt;='Input sheet(dashboard)'!$D$27*12,IF(D658=12,SUM(S647:S658),0),0)</f>
        <v>0</v>
      </c>
      <c r="U658" s="3">
        <f>IF(B658&lt;='Input sheet(dashboard)'!$D$27*12,IF(S658&lt;AD658,AD658-S658,0),0)</f>
        <v>0</v>
      </c>
      <c r="V658" s="3">
        <f>IF(B658&lt;='Input sheet(dashboard)'!$D$27*12,V657*(1+'Input sheet(dashboard)'!$E$25)+U658,0)</f>
        <v>0</v>
      </c>
      <c r="W658" s="17">
        <f>IF(B658&lt;='Input sheet(dashboard)'!$D$27*12,J658-I658+V658-N658,0)</f>
        <v>0</v>
      </c>
      <c r="X658" s="3">
        <f>IF(B658&lt;='Input sheet(dashboard)'!$D$27*12,'Input sheet(dashboard)'!$D$17*(1+'Input sheet(dashboard)'!$E$23)^(B658-1),0)</f>
        <v>0</v>
      </c>
      <c r="Y658" s="3"/>
      <c r="Z658" s="18"/>
      <c r="AA658" s="18"/>
      <c r="AB658" s="3">
        <f>IF(B658=1,'Input sheet(dashboard)'!$D$18*Calculations!X658,IF(Calculations!B658=12*'Input sheet(dashboard)'!$D$27,'Input sheet(dashboard)'!$D$18*-Calculations!X658,0))</f>
        <v>0</v>
      </c>
      <c r="AC658" s="3">
        <f>IF(B658&lt;='Input sheet(dashboard)'!$D$27*12,IF(MOD(B657,'Input sheet(dashboard)'!$D$19*12),0,'Input sheet(dashboard)'!$D$20*(1+'Input sheet(dashboard)'!$E$22)^Calculations!B658),0)</f>
        <v>0</v>
      </c>
      <c r="AD658" s="17">
        <f t="shared" si="93"/>
        <v>0</v>
      </c>
      <c r="AE658" s="17">
        <f>IF(B658&lt;='Input sheet(dashboard)'!$D$27*12,IF(D658=12,SUM(AD647:AD658),0),0)</f>
        <v>0</v>
      </c>
      <c r="AF658" s="17">
        <f t="shared" si="94"/>
        <v>0</v>
      </c>
      <c r="AG658" s="17">
        <f t="shared" si="95"/>
        <v>0</v>
      </c>
      <c r="AH658" s="3" t="str">
        <f>IF(B658&lt;='Input sheet(dashboard)'!$D$27*12,AH657*(1+'Input sheet(dashboard)'!$E$25)+AG658," ")</f>
        <v xml:space="preserve"> </v>
      </c>
    </row>
    <row r="659" spans="2:34">
      <c r="B659">
        <f t="shared" si="90"/>
        <v>656</v>
      </c>
      <c r="C659">
        <f t="shared" si="97"/>
        <v>55</v>
      </c>
      <c r="D659">
        <f t="shared" si="98"/>
        <v>8</v>
      </c>
      <c r="E659" s="15">
        <f>IF(C659&lt;='Input sheet(dashboard)'!$D$6, -PMT('Input sheet(dashboard)'!$E$5,'Input sheet(dashboard)'!$D$6*12,'Input sheet(dashboard)'!$D$3*'Input sheet(dashboard)'!$D$4),0)</f>
        <v>0</v>
      </c>
      <c r="F659" s="3">
        <f>I658*'Input sheet(dashboard)'!$E$5</f>
        <v>2.2081251733378122E-11</v>
      </c>
      <c r="G659" s="3">
        <f>IF(C659&lt;='Input sheet(dashboard)'!$D$6,E659*'Input sheet(dashboard)'!$D$7,0)</f>
        <v>0</v>
      </c>
      <c r="H659" s="3">
        <f t="shared" si="91"/>
        <v>-2.2081251733378122E-11</v>
      </c>
      <c r="I659" s="3">
        <f t="shared" si="92"/>
        <v>6.0837153277514715E-9</v>
      </c>
      <c r="J659" s="3">
        <f>IF(B659&lt;='Input sheet(dashboard)'!$D$27*12,'Input sheet(dashboard)'!$D$3*(1+'Input sheet(dashboard)'!$E$24)^B659,0)</f>
        <v>0</v>
      </c>
      <c r="K659" s="3">
        <f>IF(B659&lt;='Input sheet(dashboard)'!$D$27*12,J659*'Input sheet(dashboard)'!$E$8,0)</f>
        <v>0</v>
      </c>
      <c r="L659" s="3">
        <f>IF(B659&lt;='Input sheet(dashboard)'!$D$27*12,'Input sheet(dashboard)'!$D$9*(1+'Input sheet(dashboard)'!$E$22)^B659,0)</f>
        <v>0</v>
      </c>
      <c r="M659" s="3">
        <f>IF(B659=1,'Input sheet(dashboard)'!$D$3*'Input sheet(dashboard)'!$D$10,0)</f>
        <v>0</v>
      </c>
      <c r="N659" s="3">
        <f>IF(B659='Input sheet(dashboard)'!$D$27*12,J659*'Input sheet(dashboard)'!$D$11,0)</f>
        <v>0</v>
      </c>
      <c r="O659" s="3">
        <f>IF(SUM(F659:F670)&gt;=150000,150000/12*'Input sheet(dashboard)'!$D$28,SUM(F659:F670)/12*'Input sheet(dashboard)'!$D$28)</f>
        <v>3.3793609973801058E-12</v>
      </c>
      <c r="P659" s="3">
        <f t="shared" si="96"/>
        <v>0</v>
      </c>
      <c r="Q659" s="3">
        <f>IF(B659&lt;='Input sheet(dashboard)'!$D$27*12,'Input sheet(dashboard)'!$D$12/12,0)</f>
        <v>0</v>
      </c>
      <c r="R659" s="3">
        <f>IF(B659&lt;='Input sheet(dashboard)'!$D$27*12,('Input sheet(dashboard)'!$D$15/12)*(1+'Input sheet(dashboard)'!$E$22)^Calculations!B659,0)</f>
        <v>0</v>
      </c>
      <c r="S659" s="3">
        <f>IF(B659&lt;='Input sheet(dashboard)'!$D$27*12,(E659+G659+K659+L659-O659+M659+Q659+R659),0)</f>
        <v>0</v>
      </c>
      <c r="T659" s="3">
        <f>IF(B659&lt;='Input sheet(dashboard)'!$D$27*12,IF(D659=12,SUM(S648:S659),0),0)</f>
        <v>0</v>
      </c>
      <c r="U659" s="3">
        <f>IF(B659&lt;='Input sheet(dashboard)'!$D$27*12,IF(S659&lt;AD659,AD659-S659,0),0)</f>
        <v>0</v>
      </c>
      <c r="V659" s="3">
        <f>IF(B659&lt;='Input sheet(dashboard)'!$D$27*12,V658*(1+'Input sheet(dashboard)'!$E$25)+U659,0)</f>
        <v>0</v>
      </c>
      <c r="W659" s="17">
        <f>IF(B659&lt;='Input sheet(dashboard)'!$D$27*12,J659-I659+V659-N659,0)</f>
        <v>0</v>
      </c>
      <c r="X659" s="3">
        <f>IF(B659&lt;='Input sheet(dashboard)'!$D$27*12,'Input sheet(dashboard)'!$D$17*(1+'Input sheet(dashboard)'!$E$23)^(B659-1),0)</f>
        <v>0</v>
      </c>
      <c r="Y659" s="3"/>
      <c r="Z659" s="18"/>
      <c r="AA659" s="18"/>
      <c r="AB659" s="3">
        <f>IF(B659=1,'Input sheet(dashboard)'!$D$18*Calculations!X659,IF(Calculations!B659=12*'Input sheet(dashboard)'!$D$27,'Input sheet(dashboard)'!$D$18*-Calculations!X659,0))</f>
        <v>0</v>
      </c>
      <c r="AC659" s="3">
        <f>IF(B659&lt;='Input sheet(dashboard)'!$D$27*12,IF(MOD(B658,'Input sheet(dashboard)'!$D$19*12),0,'Input sheet(dashboard)'!$D$20*(1+'Input sheet(dashboard)'!$E$22)^Calculations!B659),0)</f>
        <v>0</v>
      </c>
      <c r="AD659" s="17">
        <f t="shared" si="93"/>
        <v>0</v>
      </c>
      <c r="AE659" s="17">
        <f>IF(B659&lt;='Input sheet(dashboard)'!$D$27*12,IF(D659=12,SUM(AD648:AD659),0),0)</f>
        <v>0</v>
      </c>
      <c r="AF659" s="17">
        <f t="shared" si="94"/>
        <v>0</v>
      </c>
      <c r="AG659" s="17">
        <f t="shared" si="95"/>
        <v>0</v>
      </c>
      <c r="AH659" s="3" t="str">
        <f>IF(B659&lt;='Input sheet(dashboard)'!$D$27*12,AH658*(1+'Input sheet(dashboard)'!$E$25)+AG659," ")</f>
        <v xml:space="preserve"> </v>
      </c>
    </row>
    <row r="660" spans="2:34">
      <c r="B660">
        <f t="shared" si="90"/>
        <v>657</v>
      </c>
      <c r="C660">
        <f t="shared" si="97"/>
        <v>55</v>
      </c>
      <c r="D660">
        <f t="shared" si="98"/>
        <v>9</v>
      </c>
      <c r="E660" s="15">
        <f>IF(C660&lt;='Input sheet(dashboard)'!$D$6, -PMT('Input sheet(dashboard)'!$E$5,'Input sheet(dashboard)'!$D$6*12,'Input sheet(dashboard)'!$D$3*'Input sheet(dashboard)'!$D$4),0)</f>
        <v>0</v>
      </c>
      <c r="F660" s="3">
        <f>I659*'Input sheet(dashboard)'!$E$5</f>
        <v>2.2161689066281776E-11</v>
      </c>
      <c r="G660" s="3">
        <f>IF(C660&lt;='Input sheet(dashboard)'!$D$6,E660*'Input sheet(dashboard)'!$D$7,0)</f>
        <v>0</v>
      </c>
      <c r="H660" s="3">
        <f t="shared" si="91"/>
        <v>-2.2161689066281776E-11</v>
      </c>
      <c r="I660" s="3">
        <f t="shared" si="92"/>
        <v>6.105877016817753E-9</v>
      </c>
      <c r="J660" s="3">
        <f>IF(B660&lt;='Input sheet(dashboard)'!$D$27*12,'Input sheet(dashboard)'!$D$3*(1+'Input sheet(dashboard)'!$E$24)^B660,0)</f>
        <v>0</v>
      </c>
      <c r="K660" s="3">
        <f>IF(B660&lt;='Input sheet(dashboard)'!$D$27*12,J660*'Input sheet(dashboard)'!$E$8,0)</f>
        <v>0</v>
      </c>
      <c r="L660" s="3">
        <f>IF(B660&lt;='Input sheet(dashboard)'!$D$27*12,'Input sheet(dashboard)'!$D$9*(1+'Input sheet(dashboard)'!$E$22)^B660,0)</f>
        <v>0</v>
      </c>
      <c r="M660" s="3">
        <f>IF(B660=1,'Input sheet(dashboard)'!$D$3*'Input sheet(dashboard)'!$D$10,0)</f>
        <v>0</v>
      </c>
      <c r="N660" s="3">
        <f>IF(B660='Input sheet(dashboard)'!$D$27*12,J660*'Input sheet(dashboard)'!$D$11,0)</f>
        <v>0</v>
      </c>
      <c r="O660" s="3">
        <f>IF(SUM(F660:F671)&gt;=150000,150000/12*'Input sheet(dashboard)'!$D$28,SUM(F660:F671)/12*'Input sheet(dashboard)'!$D$28)</f>
        <v>3.391671295221465E-12</v>
      </c>
      <c r="P660" s="3">
        <f t="shared" si="96"/>
        <v>0</v>
      </c>
      <c r="Q660" s="3">
        <f>IF(B660&lt;='Input sheet(dashboard)'!$D$27*12,'Input sheet(dashboard)'!$D$12/12,0)</f>
        <v>0</v>
      </c>
      <c r="R660" s="3">
        <f>IF(B660&lt;='Input sheet(dashboard)'!$D$27*12,('Input sheet(dashboard)'!$D$15/12)*(1+'Input sheet(dashboard)'!$E$22)^Calculations!B660,0)</f>
        <v>0</v>
      </c>
      <c r="S660" s="3">
        <f>IF(B660&lt;='Input sheet(dashboard)'!$D$27*12,(E660+G660+K660+L660-O660+M660+Q660+R660),0)</f>
        <v>0</v>
      </c>
      <c r="T660" s="3">
        <f>IF(B660&lt;='Input sheet(dashboard)'!$D$27*12,IF(D660=12,SUM(S649:S660),0),0)</f>
        <v>0</v>
      </c>
      <c r="U660" s="3">
        <f>IF(B660&lt;='Input sheet(dashboard)'!$D$27*12,IF(S660&lt;AD660,AD660-S660,0),0)</f>
        <v>0</v>
      </c>
      <c r="V660" s="3">
        <f>IF(B660&lt;='Input sheet(dashboard)'!$D$27*12,V659*(1+'Input sheet(dashboard)'!$E$25)+U660,0)</f>
        <v>0</v>
      </c>
      <c r="W660" s="17">
        <f>IF(B660&lt;='Input sheet(dashboard)'!$D$27*12,J660-I660+V660-N660,0)</f>
        <v>0</v>
      </c>
      <c r="X660" s="3">
        <f>IF(B660&lt;='Input sheet(dashboard)'!$D$27*12,'Input sheet(dashboard)'!$D$17*(1+'Input sheet(dashboard)'!$E$23)^(B660-1),0)</f>
        <v>0</v>
      </c>
      <c r="Y660" s="3"/>
      <c r="Z660" s="18"/>
      <c r="AA660" s="18"/>
      <c r="AB660" s="3">
        <f>IF(B660=1,'Input sheet(dashboard)'!$D$18*Calculations!X660,IF(Calculations!B660=12*'Input sheet(dashboard)'!$D$27,'Input sheet(dashboard)'!$D$18*-Calculations!X660,0))</f>
        <v>0</v>
      </c>
      <c r="AC660" s="3">
        <f>IF(B660&lt;='Input sheet(dashboard)'!$D$27*12,IF(MOD(B659,'Input sheet(dashboard)'!$D$19*12),0,'Input sheet(dashboard)'!$D$20*(1+'Input sheet(dashboard)'!$E$22)^Calculations!B660),0)</f>
        <v>0</v>
      </c>
      <c r="AD660" s="17">
        <f t="shared" si="93"/>
        <v>0</v>
      </c>
      <c r="AE660" s="17">
        <f>IF(B660&lt;='Input sheet(dashboard)'!$D$27*12,IF(D660=12,SUM(AD649:AD660),0),0)</f>
        <v>0</v>
      </c>
      <c r="AF660" s="17">
        <f t="shared" si="94"/>
        <v>0</v>
      </c>
      <c r="AG660" s="17">
        <f t="shared" si="95"/>
        <v>0</v>
      </c>
      <c r="AH660" s="3" t="str">
        <f>IF(B660&lt;='Input sheet(dashboard)'!$D$27*12,AH659*(1+'Input sheet(dashboard)'!$E$25)+AG660," ")</f>
        <v xml:space="preserve"> </v>
      </c>
    </row>
    <row r="661" spans="2:34">
      <c r="B661">
        <f t="shared" si="90"/>
        <v>658</v>
      </c>
      <c r="C661">
        <f t="shared" si="97"/>
        <v>55</v>
      </c>
      <c r="D661">
        <f t="shared" si="98"/>
        <v>10</v>
      </c>
      <c r="E661" s="15">
        <f>IF(C661&lt;='Input sheet(dashboard)'!$D$6, -PMT('Input sheet(dashboard)'!$E$5,'Input sheet(dashboard)'!$D$6*12,'Input sheet(dashboard)'!$D$3*'Input sheet(dashboard)'!$D$4),0)</f>
        <v>0</v>
      </c>
      <c r="F661" s="3">
        <f>I660*'Input sheet(dashboard)'!$E$5</f>
        <v>2.2242419415387721E-11</v>
      </c>
      <c r="G661" s="3">
        <f>IF(C661&lt;='Input sheet(dashboard)'!$D$6,E661*'Input sheet(dashboard)'!$D$7,0)</f>
        <v>0</v>
      </c>
      <c r="H661" s="3">
        <f t="shared" si="91"/>
        <v>-2.2242419415387721E-11</v>
      </c>
      <c r="I661" s="3">
        <f t="shared" si="92"/>
        <v>6.1281194362331408E-9</v>
      </c>
      <c r="J661" s="3">
        <f>IF(B661&lt;='Input sheet(dashboard)'!$D$27*12,'Input sheet(dashboard)'!$D$3*(1+'Input sheet(dashboard)'!$E$24)^B661,0)</f>
        <v>0</v>
      </c>
      <c r="K661" s="3">
        <f>IF(B661&lt;='Input sheet(dashboard)'!$D$27*12,J661*'Input sheet(dashboard)'!$E$8,0)</f>
        <v>0</v>
      </c>
      <c r="L661" s="3">
        <f>IF(B661&lt;='Input sheet(dashboard)'!$D$27*12,'Input sheet(dashboard)'!$D$9*(1+'Input sheet(dashboard)'!$E$22)^B661,0)</f>
        <v>0</v>
      </c>
      <c r="M661" s="3">
        <f>IF(B661=1,'Input sheet(dashboard)'!$D$3*'Input sheet(dashboard)'!$D$10,0)</f>
        <v>0</v>
      </c>
      <c r="N661" s="3">
        <f>IF(B661='Input sheet(dashboard)'!$D$27*12,J661*'Input sheet(dashboard)'!$D$11,0)</f>
        <v>0</v>
      </c>
      <c r="O661" s="3">
        <f>IF(SUM(F661:F672)&gt;=150000,150000/12*'Input sheet(dashboard)'!$D$28,SUM(F661:F672)/12*'Input sheet(dashboard)'!$D$28)</f>
        <v>3.4040264368759164E-12</v>
      </c>
      <c r="P661" s="3">
        <f t="shared" si="96"/>
        <v>0</v>
      </c>
      <c r="Q661" s="3">
        <f>IF(B661&lt;='Input sheet(dashboard)'!$D$27*12,'Input sheet(dashboard)'!$D$12/12,0)</f>
        <v>0</v>
      </c>
      <c r="R661" s="3">
        <f>IF(B661&lt;='Input sheet(dashboard)'!$D$27*12,('Input sheet(dashboard)'!$D$15/12)*(1+'Input sheet(dashboard)'!$E$22)^Calculations!B661,0)</f>
        <v>0</v>
      </c>
      <c r="S661" s="3">
        <f>IF(B661&lt;='Input sheet(dashboard)'!$D$27*12,(E661+G661+K661+L661-O661+M661+Q661+R661),0)</f>
        <v>0</v>
      </c>
      <c r="T661" s="3">
        <f>IF(B661&lt;='Input sheet(dashboard)'!$D$27*12,IF(D661=12,SUM(S650:S661),0),0)</f>
        <v>0</v>
      </c>
      <c r="U661" s="3">
        <f>IF(B661&lt;='Input sheet(dashboard)'!$D$27*12,IF(S661&lt;AD661,AD661-S661,0),0)</f>
        <v>0</v>
      </c>
      <c r="V661" s="3">
        <f>IF(B661&lt;='Input sheet(dashboard)'!$D$27*12,V660*(1+'Input sheet(dashboard)'!$E$25)+U661,0)</f>
        <v>0</v>
      </c>
      <c r="W661" s="17">
        <f>IF(B661&lt;='Input sheet(dashboard)'!$D$27*12,J661-I661+V661-N661,0)</f>
        <v>0</v>
      </c>
      <c r="X661" s="3">
        <f>IF(B661&lt;='Input sheet(dashboard)'!$D$27*12,'Input sheet(dashboard)'!$D$17*(1+'Input sheet(dashboard)'!$E$23)^(B661-1),0)</f>
        <v>0</v>
      </c>
      <c r="Y661" s="3"/>
      <c r="Z661" s="18"/>
      <c r="AA661" s="18"/>
      <c r="AB661" s="3">
        <f>IF(B661=1,'Input sheet(dashboard)'!$D$18*Calculations!X661,IF(Calculations!B661=12*'Input sheet(dashboard)'!$D$27,'Input sheet(dashboard)'!$D$18*-Calculations!X661,0))</f>
        <v>0</v>
      </c>
      <c r="AC661" s="3">
        <f>IF(B661&lt;='Input sheet(dashboard)'!$D$27*12,IF(MOD(B660,'Input sheet(dashboard)'!$D$19*12),0,'Input sheet(dashboard)'!$D$20*(1+'Input sheet(dashboard)'!$E$22)^Calculations!B661),0)</f>
        <v>0</v>
      </c>
      <c r="AD661" s="17">
        <f t="shared" si="93"/>
        <v>0</v>
      </c>
      <c r="AE661" s="17">
        <f>IF(B661&lt;='Input sheet(dashboard)'!$D$27*12,IF(D661=12,SUM(AD650:AD661),0),0)</f>
        <v>0</v>
      </c>
      <c r="AF661" s="17">
        <f t="shared" si="94"/>
        <v>0</v>
      </c>
      <c r="AG661" s="17">
        <f t="shared" si="95"/>
        <v>0</v>
      </c>
      <c r="AH661" s="3" t="str">
        <f>IF(B661&lt;='Input sheet(dashboard)'!$D$27*12,AH660*(1+'Input sheet(dashboard)'!$E$25)+AG661," ")</f>
        <v xml:space="preserve"> </v>
      </c>
    </row>
    <row r="662" spans="2:34">
      <c r="B662">
        <f t="shared" si="90"/>
        <v>659</v>
      </c>
      <c r="C662">
        <f t="shared" si="97"/>
        <v>55</v>
      </c>
      <c r="D662">
        <f t="shared" si="98"/>
        <v>11</v>
      </c>
      <c r="E662" s="15">
        <f>IF(C662&lt;='Input sheet(dashboard)'!$D$6, -PMT('Input sheet(dashboard)'!$E$5,'Input sheet(dashboard)'!$D$6*12,'Input sheet(dashboard)'!$D$3*'Input sheet(dashboard)'!$D$4),0)</f>
        <v>0</v>
      </c>
      <c r="F662" s="3">
        <f>I661*'Input sheet(dashboard)'!$E$5</f>
        <v>2.2323443848092043E-11</v>
      </c>
      <c r="G662" s="3">
        <f>IF(C662&lt;='Input sheet(dashboard)'!$D$6,E662*'Input sheet(dashboard)'!$D$7,0)</f>
        <v>0</v>
      </c>
      <c r="H662" s="3">
        <f t="shared" si="91"/>
        <v>-2.2323443848092043E-11</v>
      </c>
      <c r="I662" s="3">
        <f t="shared" si="92"/>
        <v>6.150442880081233E-9</v>
      </c>
      <c r="J662" s="3">
        <f>IF(B662&lt;='Input sheet(dashboard)'!$D$27*12,'Input sheet(dashboard)'!$D$3*(1+'Input sheet(dashboard)'!$E$24)^B662,0)</f>
        <v>0</v>
      </c>
      <c r="K662" s="3">
        <f>IF(B662&lt;='Input sheet(dashboard)'!$D$27*12,J662*'Input sheet(dashboard)'!$E$8,0)</f>
        <v>0</v>
      </c>
      <c r="L662" s="3">
        <f>IF(B662&lt;='Input sheet(dashboard)'!$D$27*12,'Input sheet(dashboard)'!$D$9*(1+'Input sheet(dashboard)'!$E$22)^B662,0)</f>
        <v>0</v>
      </c>
      <c r="M662" s="3">
        <f>IF(B662=1,'Input sheet(dashboard)'!$D$3*'Input sheet(dashboard)'!$D$10,0)</f>
        <v>0</v>
      </c>
      <c r="N662" s="3">
        <f>IF(B662='Input sheet(dashboard)'!$D$27*12,J662*'Input sheet(dashboard)'!$D$11,0)</f>
        <v>0</v>
      </c>
      <c r="O662" s="3">
        <f>IF(SUM(F662:F673)&gt;=150000,150000/12*'Input sheet(dashboard)'!$D$28,SUM(F662:F673)/12*'Input sheet(dashboard)'!$D$28)</f>
        <v>3.4164265856999951E-12</v>
      </c>
      <c r="P662" s="3">
        <f t="shared" si="96"/>
        <v>0</v>
      </c>
      <c r="Q662" s="3">
        <f>IF(B662&lt;='Input sheet(dashboard)'!$D$27*12,'Input sheet(dashboard)'!$D$12/12,0)</f>
        <v>0</v>
      </c>
      <c r="R662" s="3">
        <f>IF(B662&lt;='Input sheet(dashboard)'!$D$27*12,('Input sheet(dashboard)'!$D$15/12)*(1+'Input sheet(dashboard)'!$E$22)^Calculations!B662,0)</f>
        <v>0</v>
      </c>
      <c r="S662" s="3">
        <f>IF(B662&lt;='Input sheet(dashboard)'!$D$27*12,(E662+G662+K662+L662-O662+M662+Q662+R662),0)</f>
        <v>0</v>
      </c>
      <c r="T662" s="3">
        <f>IF(B662&lt;='Input sheet(dashboard)'!$D$27*12,IF(D662=12,SUM(S651:S662),0),0)</f>
        <v>0</v>
      </c>
      <c r="U662" s="3">
        <f>IF(B662&lt;='Input sheet(dashboard)'!$D$27*12,IF(S662&lt;AD662,AD662-S662,0),0)</f>
        <v>0</v>
      </c>
      <c r="V662" s="3">
        <f>IF(B662&lt;='Input sheet(dashboard)'!$D$27*12,V661*(1+'Input sheet(dashboard)'!$E$25)+U662,0)</f>
        <v>0</v>
      </c>
      <c r="W662" s="17">
        <f>IF(B662&lt;='Input sheet(dashboard)'!$D$27*12,J662-I662+V662-N662,0)</f>
        <v>0</v>
      </c>
      <c r="X662" s="3">
        <f>IF(B662&lt;='Input sheet(dashboard)'!$D$27*12,'Input sheet(dashboard)'!$D$17*(1+'Input sheet(dashboard)'!$E$23)^(B662-1),0)</f>
        <v>0</v>
      </c>
      <c r="Y662" s="3"/>
      <c r="Z662" s="18"/>
      <c r="AA662" s="18"/>
      <c r="AB662" s="3">
        <f>IF(B662=1,'Input sheet(dashboard)'!$D$18*Calculations!X662,IF(Calculations!B662=12*'Input sheet(dashboard)'!$D$27,'Input sheet(dashboard)'!$D$18*-Calculations!X662,0))</f>
        <v>0</v>
      </c>
      <c r="AC662" s="3">
        <f>IF(B662&lt;='Input sheet(dashboard)'!$D$27*12,IF(MOD(B661,'Input sheet(dashboard)'!$D$19*12),0,'Input sheet(dashboard)'!$D$20*(1+'Input sheet(dashboard)'!$E$22)^Calculations!B662),0)</f>
        <v>0</v>
      </c>
      <c r="AD662" s="17">
        <f t="shared" si="93"/>
        <v>0</v>
      </c>
      <c r="AE662" s="17">
        <f>IF(B662&lt;='Input sheet(dashboard)'!$D$27*12,IF(D662=12,SUM(AD651:AD662),0),0)</f>
        <v>0</v>
      </c>
      <c r="AF662" s="17">
        <f t="shared" si="94"/>
        <v>0</v>
      </c>
      <c r="AG662" s="17">
        <f t="shared" si="95"/>
        <v>0</v>
      </c>
      <c r="AH662" s="3" t="str">
        <f>IF(B662&lt;='Input sheet(dashboard)'!$D$27*12,AH661*(1+'Input sheet(dashboard)'!$E$25)+AG662," ")</f>
        <v xml:space="preserve"> </v>
      </c>
    </row>
    <row r="663" spans="2:34">
      <c r="B663">
        <f t="shared" si="90"/>
        <v>660</v>
      </c>
      <c r="C663">
        <f t="shared" si="97"/>
        <v>55</v>
      </c>
      <c r="D663">
        <f t="shared" si="98"/>
        <v>12</v>
      </c>
      <c r="E663" s="15">
        <f>IF(C663&lt;='Input sheet(dashboard)'!$D$6, -PMT('Input sheet(dashboard)'!$E$5,'Input sheet(dashboard)'!$D$6*12,'Input sheet(dashboard)'!$D$3*'Input sheet(dashboard)'!$D$4),0)</f>
        <v>0</v>
      </c>
      <c r="F663" s="3">
        <f>I662*'Input sheet(dashboard)'!$E$5</f>
        <v>2.2404763435679135E-11</v>
      </c>
      <c r="G663" s="3">
        <f>IF(C663&lt;='Input sheet(dashboard)'!$D$6,E663*'Input sheet(dashboard)'!$D$7,0)</f>
        <v>0</v>
      </c>
      <c r="H663" s="3">
        <f t="shared" si="91"/>
        <v>-2.2404763435679135E-11</v>
      </c>
      <c r="I663" s="3">
        <f t="shared" si="92"/>
        <v>6.1728476435169119E-9</v>
      </c>
      <c r="J663" s="3">
        <f>IF(B663&lt;='Input sheet(dashboard)'!$D$27*12,'Input sheet(dashboard)'!$D$3*(1+'Input sheet(dashboard)'!$E$24)^B663,0)</f>
        <v>0</v>
      </c>
      <c r="K663" s="3">
        <f>IF(B663&lt;='Input sheet(dashboard)'!$D$27*12,J663*'Input sheet(dashboard)'!$E$8,0)</f>
        <v>0</v>
      </c>
      <c r="L663" s="3">
        <f>IF(B663&lt;='Input sheet(dashboard)'!$D$27*12,'Input sheet(dashboard)'!$D$9*(1+'Input sheet(dashboard)'!$E$22)^B663,0)</f>
        <v>0</v>
      </c>
      <c r="M663" s="3">
        <f>IF(B663=1,'Input sheet(dashboard)'!$D$3*'Input sheet(dashboard)'!$D$10,0)</f>
        <v>0</v>
      </c>
      <c r="N663" s="3">
        <f>IF(B663='Input sheet(dashboard)'!$D$27*12,J663*'Input sheet(dashboard)'!$D$11,0)</f>
        <v>0</v>
      </c>
      <c r="O663" s="3">
        <f>IF(SUM(F663:F674)&gt;=150000,150000/12*'Input sheet(dashboard)'!$D$28,SUM(F663:F674)/12*'Input sheet(dashboard)'!$D$28)</f>
        <v>3.4288719056453069E-12</v>
      </c>
      <c r="P663" s="3">
        <f t="shared" si="96"/>
        <v>4.2906128183355883E-11</v>
      </c>
      <c r="Q663" s="3">
        <f>IF(B663&lt;='Input sheet(dashboard)'!$D$27*12,'Input sheet(dashboard)'!$D$12/12,0)</f>
        <v>0</v>
      </c>
      <c r="R663" s="3">
        <f>IF(B663&lt;='Input sheet(dashboard)'!$D$27*12,('Input sheet(dashboard)'!$D$15/12)*(1+'Input sheet(dashboard)'!$E$22)^Calculations!B663,0)</f>
        <v>0</v>
      </c>
      <c r="S663" s="3">
        <f>IF(B663&lt;='Input sheet(dashboard)'!$D$27*12,(E663+G663+K663+L663-O663+M663+Q663+R663),0)</f>
        <v>0</v>
      </c>
      <c r="T663" s="3">
        <f>IF(B663&lt;='Input sheet(dashboard)'!$D$27*12,IF(D663=12,SUM(S652:S663),0),0)</f>
        <v>0</v>
      </c>
      <c r="U663" s="3">
        <f>IF(B663&lt;='Input sheet(dashboard)'!$D$27*12,IF(S663&lt;AD663,AD663-S663,0),0)</f>
        <v>0</v>
      </c>
      <c r="V663" s="3">
        <f>IF(B663&lt;='Input sheet(dashboard)'!$D$27*12,V662*(1+'Input sheet(dashboard)'!$E$25)+U663,0)</f>
        <v>0</v>
      </c>
      <c r="W663" s="17">
        <f>IF(B663&lt;='Input sheet(dashboard)'!$D$27*12,J663-I663+V663-N663,0)</f>
        <v>0</v>
      </c>
      <c r="X663" s="3">
        <f>IF(B663&lt;='Input sheet(dashboard)'!$D$27*12,'Input sheet(dashboard)'!$D$17*(1+'Input sheet(dashboard)'!$E$23)^(B663-1),0)</f>
        <v>0</v>
      </c>
      <c r="Y663" s="3"/>
      <c r="Z663" s="18"/>
      <c r="AA663" s="18"/>
      <c r="AB663" s="3">
        <f>IF(B663=1,'Input sheet(dashboard)'!$D$18*Calculations!X663,IF(Calculations!B663=12*'Input sheet(dashboard)'!$D$27,'Input sheet(dashboard)'!$D$18*-Calculations!X663,0))</f>
        <v>0</v>
      </c>
      <c r="AC663" s="3">
        <f>IF(B663&lt;='Input sheet(dashboard)'!$D$27*12,IF(MOD(B662,'Input sheet(dashboard)'!$D$19*12),0,'Input sheet(dashboard)'!$D$20*(1+'Input sheet(dashboard)'!$E$22)^Calculations!B663),0)</f>
        <v>0</v>
      </c>
      <c r="AD663" s="17">
        <f t="shared" si="93"/>
        <v>0</v>
      </c>
      <c r="AE663" s="17">
        <f>IF(B663&lt;='Input sheet(dashboard)'!$D$27*12,IF(D663=12,SUM(AD652:AD663),0),0)</f>
        <v>0</v>
      </c>
      <c r="AF663" s="17">
        <f t="shared" si="94"/>
        <v>0</v>
      </c>
      <c r="AG663" s="17">
        <f t="shared" si="95"/>
        <v>0</v>
      </c>
      <c r="AH663" s="3" t="str">
        <f>IF(B663&lt;='Input sheet(dashboard)'!$D$27*12,AH662*(1+'Input sheet(dashboard)'!$E$25)+AG663," ")</f>
        <v xml:space="preserve"> </v>
      </c>
    </row>
    <row r="664" spans="2:34">
      <c r="B664">
        <f t="shared" si="90"/>
        <v>661</v>
      </c>
      <c r="C664">
        <f t="shared" si="97"/>
        <v>56</v>
      </c>
      <c r="D664">
        <f t="shared" si="98"/>
        <v>1</v>
      </c>
      <c r="E664" s="15">
        <f>IF(C664&lt;='Input sheet(dashboard)'!$D$6, -PMT('Input sheet(dashboard)'!$E$5,'Input sheet(dashboard)'!$D$6*12,'Input sheet(dashboard)'!$D$3*'Input sheet(dashboard)'!$D$4),0)</f>
        <v>0</v>
      </c>
      <c r="F664" s="3">
        <f>I663*'Input sheet(dashboard)'!$E$5</f>
        <v>2.2486379253335848E-11</v>
      </c>
      <c r="G664" s="3">
        <f>IF(C664&lt;='Input sheet(dashboard)'!$D$6,E664*'Input sheet(dashboard)'!$D$7,0)</f>
        <v>0</v>
      </c>
      <c r="H664" s="3">
        <f t="shared" si="91"/>
        <v>-2.2486379253335848E-11</v>
      </c>
      <c r="I664" s="3">
        <f t="shared" si="92"/>
        <v>6.1953340227702474E-9</v>
      </c>
      <c r="J664" s="3">
        <f>IF(B664&lt;='Input sheet(dashboard)'!$D$27*12,'Input sheet(dashboard)'!$D$3*(1+'Input sheet(dashboard)'!$E$24)^B664,0)</f>
        <v>0</v>
      </c>
      <c r="K664" s="3">
        <f>IF(B664&lt;='Input sheet(dashboard)'!$D$27*12,J664*'Input sheet(dashboard)'!$E$8,0)</f>
        <v>0</v>
      </c>
      <c r="L664" s="3">
        <f>IF(B664&lt;='Input sheet(dashboard)'!$D$27*12,'Input sheet(dashboard)'!$D$9*(1+'Input sheet(dashboard)'!$E$22)^B664,0)</f>
        <v>0</v>
      </c>
      <c r="M664" s="3">
        <f>IF(B664=1,'Input sheet(dashboard)'!$D$3*'Input sheet(dashboard)'!$D$10,0)</f>
        <v>0</v>
      </c>
      <c r="N664" s="3">
        <f>IF(B664='Input sheet(dashboard)'!$D$27*12,J664*'Input sheet(dashboard)'!$D$11,0)</f>
        <v>0</v>
      </c>
      <c r="O664" s="3">
        <f>IF(SUM(F664:F675)&gt;=150000,150000/12*'Input sheet(dashboard)'!$D$28,SUM(F664:F675)/12*'Input sheet(dashboard)'!$D$28)</f>
        <v>3.4413625612606969E-12</v>
      </c>
      <c r="P664" s="3">
        <f t="shared" si="96"/>
        <v>0</v>
      </c>
      <c r="Q664" s="3">
        <f>IF(B664&lt;='Input sheet(dashboard)'!$D$27*12,'Input sheet(dashboard)'!$D$12/12,0)</f>
        <v>0</v>
      </c>
      <c r="R664" s="3">
        <f>IF(B664&lt;='Input sheet(dashboard)'!$D$27*12,('Input sheet(dashboard)'!$D$15/12)*(1+'Input sheet(dashboard)'!$E$22)^Calculations!B664,0)</f>
        <v>0</v>
      </c>
      <c r="S664" s="3">
        <f>IF(B664&lt;='Input sheet(dashboard)'!$D$27*12,(E664+G664+K664+L664-O664+M664+Q664+R664),0)</f>
        <v>0</v>
      </c>
      <c r="T664" s="3">
        <f>IF(B664&lt;='Input sheet(dashboard)'!$D$27*12,IF(D664=12,SUM(S653:S664),0),0)</f>
        <v>0</v>
      </c>
      <c r="U664" s="3">
        <f>IF(B664&lt;='Input sheet(dashboard)'!$D$27*12,IF(S664&lt;AD664,AD664-S664,0),0)</f>
        <v>0</v>
      </c>
      <c r="V664" s="3">
        <f>IF(B664&lt;='Input sheet(dashboard)'!$D$27*12,V663*(1+'Input sheet(dashboard)'!$E$25)+U664,0)</f>
        <v>0</v>
      </c>
      <c r="W664" s="17">
        <f>IF(B664&lt;='Input sheet(dashboard)'!$D$27*12,J664-I664+V664-N664,0)</f>
        <v>0</v>
      </c>
      <c r="X664" s="3">
        <f>IF(B664&lt;='Input sheet(dashboard)'!$D$27*12,'Input sheet(dashboard)'!$D$17*(1+'Input sheet(dashboard)'!$E$23)^(B664-1),0)</f>
        <v>0</v>
      </c>
      <c r="Y664" s="3"/>
      <c r="Z664" s="18"/>
      <c r="AA664" s="18"/>
      <c r="AB664" s="3">
        <f>IF(B664=1,'Input sheet(dashboard)'!$D$18*Calculations!X664,IF(Calculations!B664=12*'Input sheet(dashboard)'!$D$27,'Input sheet(dashboard)'!$D$18*-Calculations!X664,0))</f>
        <v>0</v>
      </c>
      <c r="AC664" s="3">
        <f>IF(B664&lt;='Input sheet(dashboard)'!$D$27*12,IF(MOD(B663,'Input sheet(dashboard)'!$D$19*12),0,'Input sheet(dashboard)'!$D$20*(1+'Input sheet(dashboard)'!$E$22)^Calculations!B664),0)</f>
        <v>0</v>
      </c>
      <c r="AD664" s="17">
        <f t="shared" si="93"/>
        <v>0</v>
      </c>
      <c r="AE664" s="17">
        <f>IF(B664&lt;='Input sheet(dashboard)'!$D$27*12,IF(D664=12,SUM(AD653:AD664),0),0)</f>
        <v>0</v>
      </c>
      <c r="AF664" s="17">
        <f t="shared" si="94"/>
        <v>0</v>
      </c>
      <c r="AG664" s="17">
        <f t="shared" si="95"/>
        <v>0</v>
      </c>
      <c r="AH664" s="3" t="str">
        <f>IF(B664&lt;='Input sheet(dashboard)'!$D$27*12,AH663*(1+'Input sheet(dashboard)'!$E$25)+AG664," ")</f>
        <v xml:space="preserve"> </v>
      </c>
    </row>
    <row r="665" spans="2:34">
      <c r="B665">
        <f t="shared" si="90"/>
        <v>662</v>
      </c>
      <c r="C665">
        <f t="shared" si="97"/>
        <v>56</v>
      </c>
      <c r="D665">
        <f t="shared" si="98"/>
        <v>2</v>
      </c>
      <c r="E665" s="15">
        <f>IF(C665&lt;='Input sheet(dashboard)'!$D$6, -PMT('Input sheet(dashboard)'!$E$5,'Input sheet(dashboard)'!$D$6*12,'Input sheet(dashboard)'!$D$3*'Input sheet(dashboard)'!$D$4),0)</f>
        <v>0</v>
      </c>
      <c r="F665" s="3">
        <f>I664*'Input sheet(dashboard)'!$E$5</f>
        <v>2.2568292380165714E-11</v>
      </c>
      <c r="G665" s="3">
        <f>IF(C665&lt;='Input sheet(dashboard)'!$D$6,E665*'Input sheet(dashboard)'!$D$7,0)</f>
        <v>0</v>
      </c>
      <c r="H665" s="3">
        <f t="shared" si="91"/>
        <v>-2.2568292380165714E-11</v>
      </c>
      <c r="I665" s="3">
        <f t="shared" si="92"/>
        <v>6.2179023151504127E-9</v>
      </c>
      <c r="J665" s="3">
        <f>IF(B665&lt;='Input sheet(dashboard)'!$D$27*12,'Input sheet(dashboard)'!$D$3*(1+'Input sheet(dashboard)'!$E$24)^B665,0)</f>
        <v>0</v>
      </c>
      <c r="K665" s="3">
        <f>IF(B665&lt;='Input sheet(dashboard)'!$D$27*12,J665*'Input sheet(dashboard)'!$E$8,0)</f>
        <v>0</v>
      </c>
      <c r="L665" s="3">
        <f>IF(B665&lt;='Input sheet(dashboard)'!$D$27*12,'Input sheet(dashboard)'!$D$9*(1+'Input sheet(dashboard)'!$E$22)^B665,0)</f>
        <v>0</v>
      </c>
      <c r="M665" s="3">
        <f>IF(B665=1,'Input sheet(dashboard)'!$D$3*'Input sheet(dashboard)'!$D$10,0)</f>
        <v>0</v>
      </c>
      <c r="N665" s="3">
        <f>IF(B665='Input sheet(dashboard)'!$D$27*12,J665*'Input sheet(dashboard)'!$D$11,0)</f>
        <v>0</v>
      </c>
      <c r="O665" s="3">
        <f>IF(SUM(F665:F676)&gt;=150000,150000/12*'Input sheet(dashboard)'!$D$28,SUM(F665:F676)/12*'Input sheet(dashboard)'!$D$28)</f>
        <v>3.453898717694433E-12</v>
      </c>
      <c r="P665" s="3">
        <f t="shared" si="96"/>
        <v>0</v>
      </c>
      <c r="Q665" s="3">
        <f>IF(B665&lt;='Input sheet(dashboard)'!$D$27*12,'Input sheet(dashboard)'!$D$12/12,0)</f>
        <v>0</v>
      </c>
      <c r="R665" s="3">
        <f>IF(B665&lt;='Input sheet(dashboard)'!$D$27*12,('Input sheet(dashboard)'!$D$15/12)*(1+'Input sheet(dashboard)'!$E$22)^Calculations!B665,0)</f>
        <v>0</v>
      </c>
      <c r="S665" s="3">
        <f>IF(B665&lt;='Input sheet(dashboard)'!$D$27*12,(E665+G665+K665+L665-O665+M665+Q665+R665),0)</f>
        <v>0</v>
      </c>
      <c r="T665" s="3">
        <f>IF(B665&lt;='Input sheet(dashboard)'!$D$27*12,IF(D665=12,SUM(S654:S665),0),0)</f>
        <v>0</v>
      </c>
      <c r="U665" s="3">
        <f>IF(B665&lt;='Input sheet(dashboard)'!$D$27*12,IF(S665&lt;AD665,AD665-S665,0),0)</f>
        <v>0</v>
      </c>
      <c r="V665" s="3">
        <f>IF(B665&lt;='Input sheet(dashboard)'!$D$27*12,V664*(1+'Input sheet(dashboard)'!$E$25)+U665,0)</f>
        <v>0</v>
      </c>
      <c r="W665" s="17">
        <f>IF(B665&lt;='Input sheet(dashboard)'!$D$27*12,J665-I665+V665-N665,0)</f>
        <v>0</v>
      </c>
      <c r="X665" s="3">
        <f>IF(B665&lt;='Input sheet(dashboard)'!$D$27*12,'Input sheet(dashboard)'!$D$17*(1+'Input sheet(dashboard)'!$E$23)^(B665-1),0)</f>
        <v>0</v>
      </c>
      <c r="Y665" s="3"/>
      <c r="Z665" s="18"/>
      <c r="AA665" s="18"/>
      <c r="AB665" s="3">
        <f>IF(B665=1,'Input sheet(dashboard)'!$D$18*Calculations!X665,IF(Calculations!B665=12*'Input sheet(dashboard)'!$D$27,'Input sheet(dashboard)'!$D$18*-Calculations!X665,0))</f>
        <v>0</v>
      </c>
      <c r="AC665" s="3">
        <f>IF(B665&lt;='Input sheet(dashboard)'!$D$27*12,IF(MOD(B664,'Input sheet(dashboard)'!$D$19*12),0,'Input sheet(dashboard)'!$D$20*(1+'Input sheet(dashboard)'!$E$22)^Calculations!B665),0)</f>
        <v>0</v>
      </c>
      <c r="AD665" s="17">
        <f t="shared" si="93"/>
        <v>0</v>
      </c>
      <c r="AE665" s="17">
        <f>IF(B665&lt;='Input sheet(dashboard)'!$D$27*12,IF(D665=12,SUM(AD654:AD665),0),0)</f>
        <v>0</v>
      </c>
      <c r="AF665" s="17">
        <f t="shared" si="94"/>
        <v>0</v>
      </c>
      <c r="AG665" s="17">
        <f t="shared" si="95"/>
        <v>0</v>
      </c>
      <c r="AH665" s="3" t="str">
        <f>IF(B665&lt;='Input sheet(dashboard)'!$D$27*12,AH664*(1+'Input sheet(dashboard)'!$E$25)+AG665," ")</f>
        <v xml:space="preserve"> </v>
      </c>
    </row>
    <row r="666" spans="2:34">
      <c r="B666">
        <f t="shared" si="90"/>
        <v>663</v>
      </c>
      <c r="C666">
        <f t="shared" si="97"/>
        <v>56</v>
      </c>
      <c r="D666">
        <f t="shared" si="98"/>
        <v>3</v>
      </c>
      <c r="E666" s="15">
        <f>IF(C666&lt;='Input sheet(dashboard)'!$D$6, -PMT('Input sheet(dashboard)'!$E$5,'Input sheet(dashboard)'!$D$6*12,'Input sheet(dashboard)'!$D$3*'Input sheet(dashboard)'!$D$4),0)</f>
        <v>0</v>
      </c>
      <c r="F666" s="3">
        <f>I665*'Input sheet(dashboard)'!$E$5</f>
        <v>2.2650503899203213E-11</v>
      </c>
      <c r="G666" s="3">
        <f>IF(C666&lt;='Input sheet(dashboard)'!$D$6,E666*'Input sheet(dashboard)'!$D$7,0)</f>
        <v>0</v>
      </c>
      <c r="H666" s="3">
        <f t="shared" si="91"/>
        <v>-2.2650503899203213E-11</v>
      </c>
      <c r="I666" s="3">
        <f t="shared" si="92"/>
        <v>6.2405528190496163E-9</v>
      </c>
      <c r="J666" s="3">
        <f>IF(B666&lt;='Input sheet(dashboard)'!$D$27*12,'Input sheet(dashboard)'!$D$3*(1+'Input sheet(dashboard)'!$E$24)^B666,0)</f>
        <v>0</v>
      </c>
      <c r="K666" s="3">
        <f>IF(B666&lt;='Input sheet(dashboard)'!$D$27*12,J666*'Input sheet(dashboard)'!$E$8,0)</f>
        <v>0</v>
      </c>
      <c r="L666" s="3">
        <f>IF(B666&lt;='Input sheet(dashboard)'!$D$27*12,'Input sheet(dashboard)'!$D$9*(1+'Input sheet(dashboard)'!$E$22)^B666,0)</f>
        <v>0</v>
      </c>
      <c r="M666" s="3">
        <f>IF(B666=1,'Input sheet(dashboard)'!$D$3*'Input sheet(dashboard)'!$D$10,0)</f>
        <v>0</v>
      </c>
      <c r="N666" s="3">
        <f>IF(B666='Input sheet(dashboard)'!$D$27*12,J666*'Input sheet(dashboard)'!$D$11,0)</f>
        <v>0</v>
      </c>
      <c r="O666" s="3">
        <f>IF(SUM(F666:F677)&gt;=150000,150000/12*'Input sheet(dashboard)'!$D$28,SUM(F666:F677)/12*'Input sheet(dashboard)'!$D$28)</f>
        <v>3.4664805406963748E-12</v>
      </c>
      <c r="P666" s="3">
        <f t="shared" si="96"/>
        <v>0</v>
      </c>
      <c r="Q666" s="3">
        <f>IF(B666&lt;='Input sheet(dashboard)'!$D$27*12,'Input sheet(dashboard)'!$D$12/12,0)</f>
        <v>0</v>
      </c>
      <c r="R666" s="3">
        <f>IF(B666&lt;='Input sheet(dashboard)'!$D$27*12,('Input sheet(dashboard)'!$D$15/12)*(1+'Input sheet(dashboard)'!$E$22)^Calculations!B666,0)</f>
        <v>0</v>
      </c>
      <c r="S666" s="3">
        <f>IF(B666&lt;='Input sheet(dashboard)'!$D$27*12,(E666+G666+K666+L666-O666+M666+Q666+R666),0)</f>
        <v>0</v>
      </c>
      <c r="T666" s="3">
        <f>IF(B666&lt;='Input sheet(dashboard)'!$D$27*12,IF(D666=12,SUM(S655:S666),0),0)</f>
        <v>0</v>
      </c>
      <c r="U666" s="3">
        <f>IF(B666&lt;='Input sheet(dashboard)'!$D$27*12,IF(S666&lt;AD666,AD666-S666,0),0)</f>
        <v>0</v>
      </c>
      <c r="V666" s="3">
        <f>IF(B666&lt;='Input sheet(dashboard)'!$D$27*12,V665*(1+'Input sheet(dashboard)'!$E$25)+U666,0)</f>
        <v>0</v>
      </c>
      <c r="W666" s="17">
        <f>IF(B666&lt;='Input sheet(dashboard)'!$D$27*12,J666-I666+V666-N666,0)</f>
        <v>0</v>
      </c>
      <c r="X666" s="3">
        <f>IF(B666&lt;='Input sheet(dashboard)'!$D$27*12,'Input sheet(dashboard)'!$D$17*(1+'Input sheet(dashboard)'!$E$23)^(B666-1),0)</f>
        <v>0</v>
      </c>
      <c r="Y666" s="3"/>
      <c r="Z666" s="18"/>
      <c r="AA666" s="18"/>
      <c r="AB666" s="3">
        <f>IF(B666=1,'Input sheet(dashboard)'!$D$18*Calculations!X666,IF(Calculations!B666=12*'Input sheet(dashboard)'!$D$27,'Input sheet(dashboard)'!$D$18*-Calculations!X666,0))</f>
        <v>0</v>
      </c>
      <c r="AC666" s="3">
        <f>IF(B666&lt;='Input sheet(dashboard)'!$D$27*12,IF(MOD(B665,'Input sheet(dashboard)'!$D$19*12),0,'Input sheet(dashboard)'!$D$20*(1+'Input sheet(dashboard)'!$E$22)^Calculations!B666),0)</f>
        <v>0</v>
      </c>
      <c r="AD666" s="17">
        <f t="shared" si="93"/>
        <v>0</v>
      </c>
      <c r="AE666" s="17">
        <f>IF(B666&lt;='Input sheet(dashboard)'!$D$27*12,IF(D666=12,SUM(AD655:AD666),0),0)</f>
        <v>0</v>
      </c>
      <c r="AF666" s="17">
        <f t="shared" si="94"/>
        <v>0</v>
      </c>
      <c r="AG666" s="17">
        <f t="shared" si="95"/>
        <v>0</v>
      </c>
      <c r="AH666" s="3" t="str">
        <f>IF(B666&lt;='Input sheet(dashboard)'!$D$27*12,AH665*(1+'Input sheet(dashboard)'!$E$25)+AG666," ")</f>
        <v xml:space="preserve"> </v>
      </c>
    </row>
    <row r="667" spans="2:34">
      <c r="B667">
        <f t="shared" si="90"/>
        <v>664</v>
      </c>
      <c r="C667">
        <f t="shared" si="97"/>
        <v>56</v>
      </c>
      <c r="D667">
        <f t="shared" si="98"/>
        <v>4</v>
      </c>
      <c r="E667" s="15">
        <f>IF(C667&lt;='Input sheet(dashboard)'!$D$6, -PMT('Input sheet(dashboard)'!$E$5,'Input sheet(dashboard)'!$D$6*12,'Input sheet(dashboard)'!$D$3*'Input sheet(dashboard)'!$D$4),0)</f>
        <v>0</v>
      </c>
      <c r="F667" s="3">
        <f>I666*'Input sheet(dashboard)'!$E$5</f>
        <v>2.2733014897428089E-11</v>
      </c>
      <c r="G667" s="3">
        <f>IF(C667&lt;='Input sheet(dashboard)'!$D$6,E667*'Input sheet(dashboard)'!$D$7,0)</f>
        <v>0</v>
      </c>
      <c r="H667" s="3">
        <f t="shared" si="91"/>
        <v>-2.2733014897428089E-11</v>
      </c>
      <c r="I667" s="3">
        <f t="shared" si="92"/>
        <v>6.2632858339470445E-9</v>
      </c>
      <c r="J667" s="3">
        <f>IF(B667&lt;='Input sheet(dashboard)'!$D$27*12,'Input sheet(dashboard)'!$D$3*(1+'Input sheet(dashboard)'!$E$24)^B667,0)</f>
        <v>0</v>
      </c>
      <c r="K667" s="3">
        <f>IF(B667&lt;='Input sheet(dashboard)'!$D$27*12,J667*'Input sheet(dashboard)'!$E$8,0)</f>
        <v>0</v>
      </c>
      <c r="L667" s="3">
        <f>IF(B667&lt;='Input sheet(dashboard)'!$D$27*12,'Input sheet(dashboard)'!$D$9*(1+'Input sheet(dashboard)'!$E$22)^B667,0)</f>
        <v>0</v>
      </c>
      <c r="M667" s="3">
        <f>IF(B667=1,'Input sheet(dashboard)'!$D$3*'Input sheet(dashboard)'!$D$10,0)</f>
        <v>0</v>
      </c>
      <c r="N667" s="3">
        <f>IF(B667='Input sheet(dashboard)'!$D$27*12,J667*'Input sheet(dashboard)'!$D$11,0)</f>
        <v>0</v>
      </c>
      <c r="O667" s="3">
        <f>IF(SUM(F667:F678)&gt;=150000,150000/12*'Input sheet(dashboard)'!$D$28,SUM(F667:F678)/12*'Input sheet(dashboard)'!$D$28)</f>
        <v>3.4791081966201807E-12</v>
      </c>
      <c r="P667" s="3">
        <f t="shared" si="96"/>
        <v>0</v>
      </c>
      <c r="Q667" s="3">
        <f>IF(B667&lt;='Input sheet(dashboard)'!$D$27*12,'Input sheet(dashboard)'!$D$12/12,0)</f>
        <v>0</v>
      </c>
      <c r="R667" s="3">
        <f>IF(B667&lt;='Input sheet(dashboard)'!$D$27*12,('Input sheet(dashboard)'!$D$15/12)*(1+'Input sheet(dashboard)'!$E$22)^Calculations!B667,0)</f>
        <v>0</v>
      </c>
      <c r="S667" s="3">
        <f>IF(B667&lt;='Input sheet(dashboard)'!$D$27*12,(E667+G667+K667+L667-O667+M667+Q667+R667),0)</f>
        <v>0</v>
      </c>
      <c r="T667" s="3">
        <f>IF(B667&lt;='Input sheet(dashboard)'!$D$27*12,IF(D667=12,SUM(S656:S667),0),0)</f>
        <v>0</v>
      </c>
      <c r="U667" s="3">
        <f>IF(B667&lt;='Input sheet(dashboard)'!$D$27*12,IF(S667&lt;AD667,AD667-S667,0),0)</f>
        <v>0</v>
      </c>
      <c r="V667" s="3">
        <f>IF(B667&lt;='Input sheet(dashboard)'!$D$27*12,V666*(1+'Input sheet(dashboard)'!$E$25)+U667,0)</f>
        <v>0</v>
      </c>
      <c r="W667" s="17">
        <f>IF(B667&lt;='Input sheet(dashboard)'!$D$27*12,J667-I667+V667-N667,0)</f>
        <v>0</v>
      </c>
      <c r="X667" s="3">
        <f>IF(B667&lt;='Input sheet(dashboard)'!$D$27*12,'Input sheet(dashboard)'!$D$17*(1+'Input sheet(dashboard)'!$E$23)^(B667-1),0)</f>
        <v>0</v>
      </c>
      <c r="Y667" s="3"/>
      <c r="Z667" s="18"/>
      <c r="AA667" s="18"/>
      <c r="AB667" s="3">
        <f>IF(B667=1,'Input sheet(dashboard)'!$D$18*Calculations!X667,IF(Calculations!B667=12*'Input sheet(dashboard)'!$D$27,'Input sheet(dashboard)'!$D$18*-Calculations!X667,0))</f>
        <v>0</v>
      </c>
      <c r="AC667" s="3">
        <f>IF(B667&lt;='Input sheet(dashboard)'!$D$27*12,IF(MOD(B666,'Input sheet(dashboard)'!$D$19*12),0,'Input sheet(dashboard)'!$D$20*(1+'Input sheet(dashboard)'!$E$22)^Calculations!B667),0)</f>
        <v>0</v>
      </c>
      <c r="AD667" s="17">
        <f t="shared" si="93"/>
        <v>0</v>
      </c>
      <c r="AE667" s="17">
        <f>IF(B667&lt;='Input sheet(dashboard)'!$D$27*12,IF(D667=12,SUM(AD656:AD667),0),0)</f>
        <v>0</v>
      </c>
      <c r="AF667" s="17">
        <f t="shared" si="94"/>
        <v>0</v>
      </c>
      <c r="AG667" s="17">
        <f t="shared" si="95"/>
        <v>0</v>
      </c>
      <c r="AH667" s="3" t="str">
        <f>IF(B667&lt;='Input sheet(dashboard)'!$D$27*12,AH666*(1+'Input sheet(dashboard)'!$E$25)+AG667," ")</f>
        <v xml:space="preserve"> </v>
      </c>
    </row>
    <row r="668" spans="2:34">
      <c r="B668">
        <f t="shared" si="90"/>
        <v>665</v>
      </c>
      <c r="C668">
        <f t="shared" si="97"/>
        <v>56</v>
      </c>
      <c r="D668">
        <f t="shared" si="98"/>
        <v>5</v>
      </c>
      <c r="E668" s="15">
        <f>IF(C668&lt;='Input sheet(dashboard)'!$D$6, -PMT('Input sheet(dashboard)'!$E$5,'Input sheet(dashboard)'!$D$6*12,'Input sheet(dashboard)'!$D$3*'Input sheet(dashboard)'!$D$4),0)</f>
        <v>0</v>
      </c>
      <c r="F668" s="3">
        <f>I667*'Input sheet(dashboard)'!$E$5</f>
        <v>2.2815826465779719E-11</v>
      </c>
      <c r="G668" s="3">
        <f>IF(C668&lt;='Input sheet(dashboard)'!$D$6,E668*'Input sheet(dashboard)'!$D$7,0)</f>
        <v>0</v>
      </c>
      <c r="H668" s="3">
        <f t="shared" si="91"/>
        <v>-2.2815826465779719E-11</v>
      </c>
      <c r="I668" s="3">
        <f t="shared" si="92"/>
        <v>6.2861016604128243E-9</v>
      </c>
      <c r="J668" s="3">
        <f>IF(B668&lt;='Input sheet(dashboard)'!$D$27*12,'Input sheet(dashboard)'!$D$3*(1+'Input sheet(dashboard)'!$E$24)^B668,0)</f>
        <v>0</v>
      </c>
      <c r="K668" s="3">
        <f>IF(B668&lt;='Input sheet(dashboard)'!$D$27*12,J668*'Input sheet(dashboard)'!$E$8,0)</f>
        <v>0</v>
      </c>
      <c r="L668" s="3">
        <f>IF(B668&lt;='Input sheet(dashboard)'!$D$27*12,'Input sheet(dashboard)'!$D$9*(1+'Input sheet(dashboard)'!$E$22)^B668,0)</f>
        <v>0</v>
      </c>
      <c r="M668" s="3">
        <f>IF(B668=1,'Input sheet(dashboard)'!$D$3*'Input sheet(dashboard)'!$D$10,0)</f>
        <v>0</v>
      </c>
      <c r="N668" s="3">
        <f>IF(B668='Input sheet(dashboard)'!$D$27*12,J668*'Input sheet(dashboard)'!$D$11,0)</f>
        <v>0</v>
      </c>
      <c r="O668" s="3">
        <f>IF(SUM(F668:F679)&gt;=150000,150000/12*'Input sheet(dashboard)'!$D$28,SUM(F668:F679)/12*'Input sheet(dashboard)'!$D$28)</f>
        <v>3.4917818524254961E-12</v>
      </c>
      <c r="P668" s="3">
        <f t="shared" si="96"/>
        <v>0</v>
      </c>
      <c r="Q668" s="3">
        <f>IF(B668&lt;='Input sheet(dashboard)'!$D$27*12,'Input sheet(dashboard)'!$D$12/12,0)</f>
        <v>0</v>
      </c>
      <c r="R668" s="3">
        <f>IF(B668&lt;='Input sheet(dashboard)'!$D$27*12,('Input sheet(dashboard)'!$D$15/12)*(1+'Input sheet(dashboard)'!$E$22)^Calculations!B668,0)</f>
        <v>0</v>
      </c>
      <c r="S668" s="3">
        <f>IF(B668&lt;='Input sheet(dashboard)'!$D$27*12,(E668+G668+K668+L668-O668+M668+Q668+R668),0)</f>
        <v>0</v>
      </c>
      <c r="T668" s="3">
        <f>IF(B668&lt;='Input sheet(dashboard)'!$D$27*12,IF(D668=12,SUM(S657:S668),0),0)</f>
        <v>0</v>
      </c>
      <c r="U668" s="3">
        <f>IF(B668&lt;='Input sheet(dashboard)'!$D$27*12,IF(S668&lt;AD668,AD668-S668,0),0)</f>
        <v>0</v>
      </c>
      <c r="V668" s="3">
        <f>IF(B668&lt;='Input sheet(dashboard)'!$D$27*12,V667*(1+'Input sheet(dashboard)'!$E$25)+U668,0)</f>
        <v>0</v>
      </c>
      <c r="W668" s="17">
        <f>IF(B668&lt;='Input sheet(dashboard)'!$D$27*12,J668-I668+V668-N668,0)</f>
        <v>0</v>
      </c>
      <c r="X668" s="3">
        <f>IF(B668&lt;='Input sheet(dashboard)'!$D$27*12,'Input sheet(dashboard)'!$D$17*(1+'Input sheet(dashboard)'!$E$23)^(B668-1),0)</f>
        <v>0</v>
      </c>
      <c r="Y668" s="3"/>
      <c r="Z668" s="18"/>
      <c r="AA668" s="18"/>
      <c r="AB668" s="3">
        <f>IF(B668=1,'Input sheet(dashboard)'!$D$18*Calculations!X668,IF(Calculations!B668=12*'Input sheet(dashboard)'!$D$27,'Input sheet(dashboard)'!$D$18*-Calculations!X668,0))</f>
        <v>0</v>
      </c>
      <c r="AC668" s="3">
        <f>IF(B668&lt;='Input sheet(dashboard)'!$D$27*12,IF(MOD(B667,'Input sheet(dashboard)'!$D$19*12),0,'Input sheet(dashboard)'!$D$20*(1+'Input sheet(dashboard)'!$E$22)^Calculations!B668),0)</f>
        <v>0</v>
      </c>
      <c r="AD668" s="17">
        <f t="shared" si="93"/>
        <v>0</v>
      </c>
      <c r="AE668" s="17">
        <f>IF(B668&lt;='Input sheet(dashboard)'!$D$27*12,IF(D668=12,SUM(AD657:AD668),0),0)</f>
        <v>0</v>
      </c>
      <c r="AF668" s="17">
        <f t="shared" si="94"/>
        <v>0</v>
      </c>
      <c r="AG668" s="17">
        <f t="shared" si="95"/>
        <v>0</v>
      </c>
      <c r="AH668" s="3" t="str">
        <f>IF(B668&lt;='Input sheet(dashboard)'!$D$27*12,AH667*(1+'Input sheet(dashboard)'!$E$25)+AG668," ")</f>
        <v xml:space="preserve"> </v>
      </c>
    </row>
    <row r="669" spans="2:34">
      <c r="B669">
        <f t="shared" si="90"/>
        <v>666</v>
      </c>
      <c r="C669">
        <f t="shared" si="97"/>
        <v>56</v>
      </c>
      <c r="D669">
        <f t="shared" si="98"/>
        <v>6</v>
      </c>
      <c r="E669" s="15">
        <f>IF(C669&lt;='Input sheet(dashboard)'!$D$6, -PMT('Input sheet(dashboard)'!$E$5,'Input sheet(dashboard)'!$D$6*12,'Input sheet(dashboard)'!$D$3*'Input sheet(dashboard)'!$D$4),0)</f>
        <v>0</v>
      </c>
      <c r="F669" s="3">
        <f>I668*'Input sheet(dashboard)'!$E$5</f>
        <v>2.2898939699171548E-11</v>
      </c>
      <c r="G669" s="3">
        <f>IF(C669&lt;='Input sheet(dashboard)'!$D$6,E669*'Input sheet(dashboard)'!$D$7,0)</f>
        <v>0</v>
      </c>
      <c r="H669" s="3">
        <f t="shared" si="91"/>
        <v>-2.2898939699171548E-11</v>
      </c>
      <c r="I669" s="3">
        <f t="shared" si="92"/>
        <v>6.3090006001119959E-9</v>
      </c>
      <c r="J669" s="3">
        <f>IF(B669&lt;='Input sheet(dashboard)'!$D$27*12,'Input sheet(dashboard)'!$D$3*(1+'Input sheet(dashboard)'!$E$24)^B669,0)</f>
        <v>0</v>
      </c>
      <c r="K669" s="3">
        <f>IF(B669&lt;='Input sheet(dashboard)'!$D$27*12,J669*'Input sheet(dashboard)'!$E$8,0)</f>
        <v>0</v>
      </c>
      <c r="L669" s="3">
        <f>IF(B669&lt;='Input sheet(dashboard)'!$D$27*12,'Input sheet(dashboard)'!$D$9*(1+'Input sheet(dashboard)'!$E$22)^B669,0)</f>
        <v>0</v>
      </c>
      <c r="M669" s="3">
        <f>IF(B669=1,'Input sheet(dashboard)'!$D$3*'Input sheet(dashboard)'!$D$10,0)</f>
        <v>0</v>
      </c>
      <c r="N669" s="3">
        <f>IF(B669='Input sheet(dashboard)'!$D$27*12,J669*'Input sheet(dashboard)'!$D$11,0)</f>
        <v>0</v>
      </c>
      <c r="O669" s="3">
        <f>IF(SUM(F669:F680)&gt;=150000,150000/12*'Input sheet(dashboard)'!$D$28,SUM(F669:F680)/12*'Input sheet(dashboard)'!$D$28)</f>
        <v>3.5045016756801687E-12</v>
      </c>
      <c r="P669" s="3">
        <f t="shared" si="96"/>
        <v>0</v>
      </c>
      <c r="Q669" s="3">
        <f>IF(B669&lt;='Input sheet(dashboard)'!$D$27*12,'Input sheet(dashboard)'!$D$12/12,0)</f>
        <v>0</v>
      </c>
      <c r="R669" s="3">
        <f>IF(B669&lt;='Input sheet(dashboard)'!$D$27*12,('Input sheet(dashboard)'!$D$15/12)*(1+'Input sheet(dashboard)'!$E$22)^Calculations!B669,0)</f>
        <v>0</v>
      </c>
      <c r="S669" s="3">
        <f>IF(B669&lt;='Input sheet(dashboard)'!$D$27*12,(E669+G669+K669+L669-O669+M669+Q669+R669),0)</f>
        <v>0</v>
      </c>
      <c r="T669" s="3">
        <f>IF(B669&lt;='Input sheet(dashboard)'!$D$27*12,IF(D669=12,SUM(S658:S669),0),0)</f>
        <v>0</v>
      </c>
      <c r="U669" s="3">
        <f>IF(B669&lt;='Input sheet(dashboard)'!$D$27*12,IF(S669&lt;AD669,AD669-S669,0),0)</f>
        <v>0</v>
      </c>
      <c r="V669" s="3">
        <f>IF(B669&lt;='Input sheet(dashboard)'!$D$27*12,V668*(1+'Input sheet(dashboard)'!$E$25)+U669,0)</f>
        <v>0</v>
      </c>
      <c r="W669" s="17">
        <f>IF(B669&lt;='Input sheet(dashboard)'!$D$27*12,J669-I669+V669-N669,0)</f>
        <v>0</v>
      </c>
      <c r="X669" s="3">
        <f>IF(B669&lt;='Input sheet(dashboard)'!$D$27*12,'Input sheet(dashboard)'!$D$17*(1+'Input sheet(dashboard)'!$E$23)^(B669-1),0)</f>
        <v>0</v>
      </c>
      <c r="Y669" s="3"/>
      <c r="Z669" s="18"/>
      <c r="AA669" s="18"/>
      <c r="AB669" s="3">
        <f>IF(B669=1,'Input sheet(dashboard)'!$D$18*Calculations!X669,IF(Calculations!B669=12*'Input sheet(dashboard)'!$D$27,'Input sheet(dashboard)'!$D$18*-Calculations!X669,0))</f>
        <v>0</v>
      </c>
      <c r="AC669" s="3">
        <f>IF(B669&lt;='Input sheet(dashboard)'!$D$27*12,IF(MOD(B668,'Input sheet(dashboard)'!$D$19*12),0,'Input sheet(dashboard)'!$D$20*(1+'Input sheet(dashboard)'!$E$22)^Calculations!B669),0)</f>
        <v>0</v>
      </c>
      <c r="AD669" s="17">
        <f t="shared" si="93"/>
        <v>0</v>
      </c>
      <c r="AE669" s="17">
        <f>IF(B669&lt;='Input sheet(dashboard)'!$D$27*12,IF(D669=12,SUM(AD658:AD669),0),0)</f>
        <v>0</v>
      </c>
      <c r="AF669" s="17">
        <f t="shared" si="94"/>
        <v>0</v>
      </c>
      <c r="AG669" s="17">
        <f t="shared" si="95"/>
        <v>0</v>
      </c>
      <c r="AH669" s="3" t="str">
        <f>IF(B669&lt;='Input sheet(dashboard)'!$D$27*12,AH668*(1+'Input sheet(dashboard)'!$E$25)+AG669," ")</f>
        <v xml:space="preserve"> </v>
      </c>
    </row>
    <row r="670" spans="2:34">
      <c r="B670">
        <f t="shared" si="90"/>
        <v>667</v>
      </c>
      <c r="C670">
        <f t="shared" si="97"/>
        <v>56</v>
      </c>
      <c r="D670">
        <f t="shared" si="98"/>
        <v>7</v>
      </c>
      <c r="E670" s="15">
        <f>IF(C670&lt;='Input sheet(dashboard)'!$D$6, -PMT('Input sheet(dashboard)'!$E$5,'Input sheet(dashboard)'!$D$6*12,'Input sheet(dashboard)'!$D$3*'Input sheet(dashboard)'!$D$4),0)</f>
        <v>0</v>
      </c>
      <c r="F670" s="3">
        <f>I669*'Input sheet(dashboard)'!$E$5</f>
        <v>2.2982355696505557E-11</v>
      </c>
      <c r="G670" s="3">
        <f>IF(C670&lt;='Input sheet(dashboard)'!$D$6,E670*'Input sheet(dashboard)'!$D$7,0)</f>
        <v>0</v>
      </c>
      <c r="H670" s="3">
        <f t="shared" si="91"/>
        <v>-2.2982355696505557E-11</v>
      </c>
      <c r="I670" s="3">
        <f t="shared" si="92"/>
        <v>6.3319829558085015E-9</v>
      </c>
      <c r="J670" s="3">
        <f>IF(B670&lt;='Input sheet(dashboard)'!$D$27*12,'Input sheet(dashboard)'!$D$3*(1+'Input sheet(dashboard)'!$E$24)^B670,0)</f>
        <v>0</v>
      </c>
      <c r="K670" s="3">
        <f>IF(B670&lt;='Input sheet(dashboard)'!$D$27*12,J670*'Input sheet(dashboard)'!$E$8,0)</f>
        <v>0</v>
      </c>
      <c r="L670" s="3">
        <f>IF(B670&lt;='Input sheet(dashboard)'!$D$27*12,'Input sheet(dashboard)'!$D$9*(1+'Input sheet(dashboard)'!$E$22)^B670,0)</f>
        <v>0</v>
      </c>
      <c r="M670" s="3">
        <f>IF(B670=1,'Input sheet(dashboard)'!$D$3*'Input sheet(dashboard)'!$D$10,0)</f>
        <v>0</v>
      </c>
      <c r="N670" s="3">
        <f>IF(B670='Input sheet(dashboard)'!$D$27*12,J670*'Input sheet(dashboard)'!$D$11,0)</f>
        <v>0</v>
      </c>
      <c r="O670" s="3">
        <f>IF(SUM(F670:F681)&gt;=150000,150000/12*'Input sheet(dashboard)'!$D$28,SUM(F670:F681)/12*'Input sheet(dashboard)'!$D$28)</f>
        <v>3.5172678345624563E-12</v>
      </c>
      <c r="P670" s="3">
        <f t="shared" si="96"/>
        <v>0</v>
      </c>
      <c r="Q670" s="3">
        <f>IF(B670&lt;='Input sheet(dashboard)'!$D$27*12,'Input sheet(dashboard)'!$D$12/12,0)</f>
        <v>0</v>
      </c>
      <c r="R670" s="3">
        <f>IF(B670&lt;='Input sheet(dashboard)'!$D$27*12,('Input sheet(dashboard)'!$D$15/12)*(1+'Input sheet(dashboard)'!$E$22)^Calculations!B670,0)</f>
        <v>0</v>
      </c>
      <c r="S670" s="3">
        <f>IF(B670&lt;='Input sheet(dashboard)'!$D$27*12,(E670+G670+K670+L670-O670+M670+Q670+R670),0)</f>
        <v>0</v>
      </c>
      <c r="T670" s="3">
        <f>IF(B670&lt;='Input sheet(dashboard)'!$D$27*12,IF(D670=12,SUM(S659:S670),0),0)</f>
        <v>0</v>
      </c>
      <c r="U670" s="3">
        <f>IF(B670&lt;='Input sheet(dashboard)'!$D$27*12,IF(S670&lt;AD670,AD670-S670,0),0)</f>
        <v>0</v>
      </c>
      <c r="V670" s="3">
        <f>IF(B670&lt;='Input sheet(dashboard)'!$D$27*12,V669*(1+'Input sheet(dashboard)'!$E$25)+U670,0)</f>
        <v>0</v>
      </c>
      <c r="W670" s="17">
        <f>IF(B670&lt;='Input sheet(dashboard)'!$D$27*12,J670-I670+V670-N670,0)</f>
        <v>0</v>
      </c>
      <c r="X670" s="3">
        <f>IF(B670&lt;='Input sheet(dashboard)'!$D$27*12,'Input sheet(dashboard)'!$D$17*(1+'Input sheet(dashboard)'!$E$23)^(B670-1),0)</f>
        <v>0</v>
      </c>
      <c r="Y670" s="3"/>
      <c r="Z670" s="18"/>
      <c r="AA670" s="18"/>
      <c r="AB670" s="3">
        <f>IF(B670=1,'Input sheet(dashboard)'!$D$18*Calculations!X670,IF(Calculations!B670=12*'Input sheet(dashboard)'!$D$27,'Input sheet(dashboard)'!$D$18*-Calculations!X670,0))</f>
        <v>0</v>
      </c>
      <c r="AC670" s="3">
        <f>IF(B670&lt;='Input sheet(dashboard)'!$D$27*12,IF(MOD(B669,'Input sheet(dashboard)'!$D$19*12),0,'Input sheet(dashboard)'!$D$20*(1+'Input sheet(dashboard)'!$E$22)^Calculations!B670),0)</f>
        <v>0</v>
      </c>
      <c r="AD670" s="17">
        <f t="shared" si="93"/>
        <v>0</v>
      </c>
      <c r="AE670" s="17">
        <f>IF(B670&lt;='Input sheet(dashboard)'!$D$27*12,IF(D670=12,SUM(AD659:AD670),0),0)</f>
        <v>0</v>
      </c>
      <c r="AF670" s="17">
        <f t="shared" si="94"/>
        <v>0</v>
      </c>
      <c r="AG670" s="17">
        <f t="shared" si="95"/>
        <v>0</v>
      </c>
      <c r="AH670" s="3" t="str">
        <f>IF(B670&lt;='Input sheet(dashboard)'!$D$27*12,AH669*(1+'Input sheet(dashboard)'!$E$25)+AG670," ")</f>
        <v xml:space="preserve"> </v>
      </c>
    </row>
    <row r="671" spans="2:34">
      <c r="B671">
        <f t="shared" si="90"/>
        <v>668</v>
      </c>
      <c r="C671">
        <f t="shared" si="97"/>
        <v>56</v>
      </c>
      <c r="D671">
        <f t="shared" si="98"/>
        <v>8</v>
      </c>
      <c r="E671" s="15">
        <f>IF(C671&lt;='Input sheet(dashboard)'!$D$6, -PMT('Input sheet(dashboard)'!$E$5,'Input sheet(dashboard)'!$D$6*12,'Input sheet(dashboard)'!$D$3*'Input sheet(dashboard)'!$D$4),0)</f>
        <v>0</v>
      </c>
      <c r="F671" s="3">
        <f>I670*'Input sheet(dashboard)'!$E$5</f>
        <v>2.3066075560686791E-11</v>
      </c>
      <c r="G671" s="3">
        <f>IF(C671&lt;='Input sheet(dashboard)'!$D$6,E671*'Input sheet(dashboard)'!$D$7,0)</f>
        <v>0</v>
      </c>
      <c r="H671" s="3">
        <f t="shared" si="91"/>
        <v>-2.3066075560686791E-11</v>
      </c>
      <c r="I671" s="3">
        <f t="shared" si="92"/>
        <v>6.3550490313691881E-9</v>
      </c>
      <c r="J671" s="3">
        <f>IF(B671&lt;='Input sheet(dashboard)'!$D$27*12,'Input sheet(dashboard)'!$D$3*(1+'Input sheet(dashboard)'!$E$24)^B671,0)</f>
        <v>0</v>
      </c>
      <c r="K671" s="3">
        <f>IF(B671&lt;='Input sheet(dashboard)'!$D$27*12,J671*'Input sheet(dashboard)'!$E$8,0)</f>
        <v>0</v>
      </c>
      <c r="L671" s="3">
        <f>IF(B671&lt;='Input sheet(dashboard)'!$D$27*12,'Input sheet(dashboard)'!$D$9*(1+'Input sheet(dashboard)'!$E$22)^B671,0)</f>
        <v>0</v>
      </c>
      <c r="M671" s="3">
        <f>IF(B671=1,'Input sheet(dashboard)'!$D$3*'Input sheet(dashboard)'!$D$10,0)</f>
        <v>0</v>
      </c>
      <c r="N671" s="3">
        <f>IF(B671='Input sheet(dashboard)'!$D$27*12,J671*'Input sheet(dashboard)'!$D$11,0)</f>
        <v>0</v>
      </c>
      <c r="O671" s="3">
        <f>IF(SUM(F671:F682)&gt;=150000,150000/12*'Input sheet(dashboard)'!$D$28,SUM(F671:F682)/12*'Input sheet(dashboard)'!$D$28)</f>
        <v>3.5300804978632589E-12</v>
      </c>
      <c r="P671" s="3">
        <f t="shared" si="96"/>
        <v>0</v>
      </c>
      <c r="Q671" s="3">
        <f>IF(B671&lt;='Input sheet(dashboard)'!$D$27*12,'Input sheet(dashboard)'!$D$12/12,0)</f>
        <v>0</v>
      </c>
      <c r="R671" s="3">
        <f>IF(B671&lt;='Input sheet(dashboard)'!$D$27*12,('Input sheet(dashboard)'!$D$15/12)*(1+'Input sheet(dashboard)'!$E$22)^Calculations!B671,0)</f>
        <v>0</v>
      </c>
      <c r="S671" s="3">
        <f>IF(B671&lt;='Input sheet(dashboard)'!$D$27*12,(E671+G671+K671+L671-O671+M671+Q671+R671),0)</f>
        <v>0</v>
      </c>
      <c r="T671" s="3">
        <f>IF(B671&lt;='Input sheet(dashboard)'!$D$27*12,IF(D671=12,SUM(S660:S671),0),0)</f>
        <v>0</v>
      </c>
      <c r="U671" s="3">
        <f>IF(B671&lt;='Input sheet(dashboard)'!$D$27*12,IF(S671&lt;AD671,AD671-S671,0),0)</f>
        <v>0</v>
      </c>
      <c r="V671" s="3">
        <f>IF(B671&lt;='Input sheet(dashboard)'!$D$27*12,V670*(1+'Input sheet(dashboard)'!$E$25)+U671,0)</f>
        <v>0</v>
      </c>
      <c r="W671" s="17">
        <f>IF(B671&lt;='Input sheet(dashboard)'!$D$27*12,J671-I671+V671-N671,0)</f>
        <v>0</v>
      </c>
      <c r="X671" s="3">
        <f>IF(B671&lt;='Input sheet(dashboard)'!$D$27*12,'Input sheet(dashboard)'!$D$17*(1+'Input sheet(dashboard)'!$E$23)^(B671-1),0)</f>
        <v>0</v>
      </c>
      <c r="Y671" s="3"/>
      <c r="Z671" s="18"/>
      <c r="AA671" s="18"/>
      <c r="AB671" s="3">
        <f>IF(B671=1,'Input sheet(dashboard)'!$D$18*Calculations!X671,IF(Calculations!B671=12*'Input sheet(dashboard)'!$D$27,'Input sheet(dashboard)'!$D$18*-Calculations!X671,0))</f>
        <v>0</v>
      </c>
      <c r="AC671" s="3">
        <f>IF(B671&lt;='Input sheet(dashboard)'!$D$27*12,IF(MOD(B670,'Input sheet(dashboard)'!$D$19*12),0,'Input sheet(dashboard)'!$D$20*(1+'Input sheet(dashboard)'!$E$22)^Calculations!B671),0)</f>
        <v>0</v>
      </c>
      <c r="AD671" s="17">
        <f t="shared" si="93"/>
        <v>0</v>
      </c>
      <c r="AE671" s="17">
        <f>IF(B671&lt;='Input sheet(dashboard)'!$D$27*12,IF(D671=12,SUM(AD660:AD671),0),0)</f>
        <v>0</v>
      </c>
      <c r="AF671" s="17">
        <f t="shared" si="94"/>
        <v>0</v>
      </c>
      <c r="AG671" s="17">
        <f t="shared" si="95"/>
        <v>0</v>
      </c>
      <c r="AH671" s="3" t="str">
        <f>IF(B671&lt;='Input sheet(dashboard)'!$D$27*12,AH670*(1+'Input sheet(dashboard)'!$E$25)+AG671," ")</f>
        <v xml:space="preserve"> </v>
      </c>
    </row>
    <row r="672" spans="2:34">
      <c r="B672">
        <f t="shared" si="90"/>
        <v>669</v>
      </c>
      <c r="C672">
        <f t="shared" si="97"/>
        <v>56</v>
      </c>
      <c r="D672">
        <f t="shared" si="98"/>
        <v>9</v>
      </c>
      <c r="E672" s="15">
        <f>IF(C672&lt;='Input sheet(dashboard)'!$D$6, -PMT('Input sheet(dashboard)'!$E$5,'Input sheet(dashboard)'!$D$6*12,'Input sheet(dashboard)'!$D$3*'Input sheet(dashboard)'!$D$4),0)</f>
        <v>0</v>
      </c>
      <c r="F672" s="3">
        <f>I671*'Input sheet(dashboard)'!$E$5</f>
        <v>2.3150100398637949E-11</v>
      </c>
      <c r="G672" s="3">
        <f>IF(C672&lt;='Input sheet(dashboard)'!$D$6,E672*'Input sheet(dashboard)'!$D$7,0)</f>
        <v>0</v>
      </c>
      <c r="H672" s="3">
        <f t="shared" si="91"/>
        <v>-2.3150100398637949E-11</v>
      </c>
      <c r="I672" s="3">
        <f t="shared" si="92"/>
        <v>6.3781991317678258E-9</v>
      </c>
      <c r="J672" s="3">
        <f>IF(B672&lt;='Input sheet(dashboard)'!$D$27*12,'Input sheet(dashboard)'!$D$3*(1+'Input sheet(dashboard)'!$E$24)^B672,0)</f>
        <v>0</v>
      </c>
      <c r="K672" s="3">
        <f>IF(B672&lt;='Input sheet(dashboard)'!$D$27*12,J672*'Input sheet(dashboard)'!$E$8,0)</f>
        <v>0</v>
      </c>
      <c r="L672" s="3">
        <f>IF(B672&lt;='Input sheet(dashboard)'!$D$27*12,'Input sheet(dashboard)'!$D$9*(1+'Input sheet(dashboard)'!$E$22)^B672,0)</f>
        <v>0</v>
      </c>
      <c r="M672" s="3">
        <f>IF(B672=1,'Input sheet(dashboard)'!$D$3*'Input sheet(dashboard)'!$D$10,0)</f>
        <v>0</v>
      </c>
      <c r="N672" s="3">
        <f>IF(B672='Input sheet(dashboard)'!$D$27*12,J672*'Input sheet(dashboard)'!$D$11,0)</f>
        <v>0</v>
      </c>
      <c r="O672" s="3">
        <f>IF(SUM(F672:F683)&gt;=150000,150000/12*'Input sheet(dashboard)'!$D$28,SUM(F672:F683)/12*'Input sheet(dashboard)'!$D$28)</f>
        <v>3.5429398349883414E-12</v>
      </c>
      <c r="P672" s="3">
        <f t="shared" si="96"/>
        <v>0</v>
      </c>
      <c r="Q672" s="3">
        <f>IF(B672&lt;='Input sheet(dashboard)'!$D$27*12,'Input sheet(dashboard)'!$D$12/12,0)</f>
        <v>0</v>
      </c>
      <c r="R672" s="3">
        <f>IF(B672&lt;='Input sheet(dashboard)'!$D$27*12,('Input sheet(dashboard)'!$D$15/12)*(1+'Input sheet(dashboard)'!$E$22)^Calculations!B672,0)</f>
        <v>0</v>
      </c>
      <c r="S672" s="3">
        <f>IF(B672&lt;='Input sheet(dashboard)'!$D$27*12,(E672+G672+K672+L672-O672+M672+Q672+R672),0)</f>
        <v>0</v>
      </c>
      <c r="T672" s="3">
        <f>IF(B672&lt;='Input sheet(dashboard)'!$D$27*12,IF(D672=12,SUM(S661:S672),0),0)</f>
        <v>0</v>
      </c>
      <c r="U672" s="3">
        <f>IF(B672&lt;='Input sheet(dashboard)'!$D$27*12,IF(S672&lt;AD672,AD672-S672,0),0)</f>
        <v>0</v>
      </c>
      <c r="V672" s="3">
        <f>IF(B672&lt;='Input sheet(dashboard)'!$D$27*12,V671*(1+'Input sheet(dashboard)'!$E$25)+U672,0)</f>
        <v>0</v>
      </c>
      <c r="W672" s="17">
        <f>IF(B672&lt;='Input sheet(dashboard)'!$D$27*12,J672-I672+V672-N672,0)</f>
        <v>0</v>
      </c>
      <c r="X672" s="3">
        <f>IF(B672&lt;='Input sheet(dashboard)'!$D$27*12,'Input sheet(dashboard)'!$D$17*(1+'Input sheet(dashboard)'!$E$23)^(B672-1),0)</f>
        <v>0</v>
      </c>
      <c r="Y672" s="3"/>
      <c r="Z672" s="18"/>
      <c r="AA672" s="18"/>
      <c r="AB672" s="3">
        <f>IF(B672=1,'Input sheet(dashboard)'!$D$18*Calculations!X672,IF(Calculations!B672=12*'Input sheet(dashboard)'!$D$27,'Input sheet(dashboard)'!$D$18*-Calculations!X672,0))</f>
        <v>0</v>
      </c>
      <c r="AC672" s="3">
        <f>IF(B672&lt;='Input sheet(dashboard)'!$D$27*12,IF(MOD(B671,'Input sheet(dashboard)'!$D$19*12),0,'Input sheet(dashboard)'!$D$20*(1+'Input sheet(dashboard)'!$E$22)^Calculations!B672),0)</f>
        <v>0</v>
      </c>
      <c r="AD672" s="17">
        <f t="shared" si="93"/>
        <v>0</v>
      </c>
      <c r="AE672" s="17">
        <f>IF(B672&lt;='Input sheet(dashboard)'!$D$27*12,IF(D672=12,SUM(AD661:AD672),0),0)</f>
        <v>0</v>
      </c>
      <c r="AF672" s="17">
        <f t="shared" si="94"/>
        <v>0</v>
      </c>
      <c r="AG672" s="17">
        <f t="shared" si="95"/>
        <v>0</v>
      </c>
      <c r="AH672" s="3" t="str">
        <f>IF(B672&lt;='Input sheet(dashboard)'!$D$27*12,AH671*(1+'Input sheet(dashboard)'!$E$25)+AG672," ")</f>
        <v xml:space="preserve"> </v>
      </c>
    </row>
    <row r="673" spans="2:34">
      <c r="B673">
        <f t="shared" si="90"/>
        <v>670</v>
      </c>
      <c r="C673">
        <f t="shared" si="97"/>
        <v>56</v>
      </c>
      <c r="D673">
        <f t="shared" si="98"/>
        <v>10</v>
      </c>
      <c r="E673" s="15">
        <f>IF(C673&lt;='Input sheet(dashboard)'!$D$6, -PMT('Input sheet(dashboard)'!$E$5,'Input sheet(dashboard)'!$D$6*12,'Input sheet(dashboard)'!$D$3*'Input sheet(dashboard)'!$D$4),0)</f>
        <v>0</v>
      </c>
      <c r="F673" s="3">
        <f>I672*'Input sheet(dashboard)'!$E$5</f>
        <v>2.3234431321314017E-11</v>
      </c>
      <c r="G673" s="3">
        <f>IF(C673&lt;='Input sheet(dashboard)'!$D$6,E673*'Input sheet(dashboard)'!$D$7,0)</f>
        <v>0</v>
      </c>
      <c r="H673" s="3">
        <f t="shared" si="91"/>
        <v>-2.3234431321314017E-11</v>
      </c>
      <c r="I673" s="3">
        <f t="shared" si="92"/>
        <v>6.4014335630891395E-9</v>
      </c>
      <c r="J673" s="3">
        <f>IF(B673&lt;='Input sheet(dashboard)'!$D$27*12,'Input sheet(dashboard)'!$D$3*(1+'Input sheet(dashboard)'!$E$24)^B673,0)</f>
        <v>0</v>
      </c>
      <c r="K673" s="3">
        <f>IF(B673&lt;='Input sheet(dashboard)'!$D$27*12,J673*'Input sheet(dashboard)'!$E$8,0)</f>
        <v>0</v>
      </c>
      <c r="L673" s="3">
        <f>IF(B673&lt;='Input sheet(dashboard)'!$D$27*12,'Input sheet(dashboard)'!$D$9*(1+'Input sheet(dashboard)'!$E$22)^B673,0)</f>
        <v>0</v>
      </c>
      <c r="M673" s="3">
        <f>IF(B673=1,'Input sheet(dashboard)'!$D$3*'Input sheet(dashboard)'!$D$10,0)</f>
        <v>0</v>
      </c>
      <c r="N673" s="3">
        <f>IF(B673='Input sheet(dashboard)'!$D$27*12,J673*'Input sheet(dashboard)'!$D$11,0)</f>
        <v>0</v>
      </c>
      <c r="O673" s="3">
        <f>IF(SUM(F673:F684)&gt;=150000,150000/12*'Input sheet(dashboard)'!$D$28,SUM(F673:F684)/12*'Input sheet(dashboard)'!$D$28)</f>
        <v>3.5558460159605821E-12</v>
      </c>
      <c r="P673" s="3">
        <f t="shared" si="96"/>
        <v>0</v>
      </c>
      <c r="Q673" s="3">
        <f>IF(B673&lt;='Input sheet(dashboard)'!$D$27*12,'Input sheet(dashboard)'!$D$12/12,0)</f>
        <v>0</v>
      </c>
      <c r="R673" s="3">
        <f>IF(B673&lt;='Input sheet(dashboard)'!$D$27*12,('Input sheet(dashboard)'!$D$15/12)*(1+'Input sheet(dashboard)'!$E$22)^Calculations!B673,0)</f>
        <v>0</v>
      </c>
      <c r="S673" s="3">
        <f>IF(B673&lt;='Input sheet(dashboard)'!$D$27*12,(E673+G673+K673+L673-O673+M673+Q673+R673),0)</f>
        <v>0</v>
      </c>
      <c r="T673" s="3">
        <f>IF(B673&lt;='Input sheet(dashboard)'!$D$27*12,IF(D673=12,SUM(S662:S673),0),0)</f>
        <v>0</v>
      </c>
      <c r="U673" s="3">
        <f>IF(B673&lt;='Input sheet(dashboard)'!$D$27*12,IF(S673&lt;AD673,AD673-S673,0),0)</f>
        <v>0</v>
      </c>
      <c r="V673" s="3">
        <f>IF(B673&lt;='Input sheet(dashboard)'!$D$27*12,V672*(1+'Input sheet(dashboard)'!$E$25)+U673,0)</f>
        <v>0</v>
      </c>
      <c r="W673" s="17">
        <f>IF(B673&lt;='Input sheet(dashboard)'!$D$27*12,J673-I673+V673-N673,0)</f>
        <v>0</v>
      </c>
      <c r="X673" s="3">
        <f>IF(B673&lt;='Input sheet(dashboard)'!$D$27*12,'Input sheet(dashboard)'!$D$17*(1+'Input sheet(dashboard)'!$E$23)^(B673-1),0)</f>
        <v>0</v>
      </c>
      <c r="Y673" s="3"/>
      <c r="Z673" s="18"/>
      <c r="AA673" s="18"/>
      <c r="AB673" s="3">
        <f>IF(B673=1,'Input sheet(dashboard)'!$D$18*Calculations!X673,IF(Calculations!B673=12*'Input sheet(dashboard)'!$D$27,'Input sheet(dashboard)'!$D$18*-Calculations!X673,0))</f>
        <v>0</v>
      </c>
      <c r="AC673" s="3">
        <f>IF(B673&lt;='Input sheet(dashboard)'!$D$27*12,IF(MOD(B672,'Input sheet(dashboard)'!$D$19*12),0,'Input sheet(dashboard)'!$D$20*(1+'Input sheet(dashboard)'!$E$22)^Calculations!B673),0)</f>
        <v>0</v>
      </c>
      <c r="AD673" s="17">
        <f t="shared" si="93"/>
        <v>0</v>
      </c>
      <c r="AE673" s="17">
        <f>IF(B673&lt;='Input sheet(dashboard)'!$D$27*12,IF(D673=12,SUM(AD662:AD673),0),0)</f>
        <v>0</v>
      </c>
      <c r="AF673" s="17">
        <f t="shared" si="94"/>
        <v>0</v>
      </c>
      <c r="AG673" s="17">
        <f t="shared" si="95"/>
        <v>0</v>
      </c>
      <c r="AH673" s="3" t="str">
        <f>IF(B673&lt;='Input sheet(dashboard)'!$D$27*12,AH672*(1+'Input sheet(dashboard)'!$E$25)+AG673," ")</f>
        <v xml:space="preserve"> </v>
      </c>
    </row>
    <row r="674" spans="2:34">
      <c r="B674">
        <f t="shared" si="90"/>
        <v>671</v>
      </c>
      <c r="C674">
        <f t="shared" si="97"/>
        <v>56</v>
      </c>
      <c r="D674">
        <f t="shared" si="98"/>
        <v>11</v>
      </c>
      <c r="E674" s="15">
        <f>IF(C674&lt;='Input sheet(dashboard)'!$D$6, -PMT('Input sheet(dashboard)'!$E$5,'Input sheet(dashboard)'!$D$6*12,'Input sheet(dashboard)'!$D$3*'Input sheet(dashboard)'!$D$4),0)</f>
        <v>0</v>
      </c>
      <c r="F674" s="3">
        <f>I673*'Input sheet(dashboard)'!$E$5</f>
        <v>2.331906944371695E-11</v>
      </c>
      <c r="G674" s="3">
        <f>IF(C674&lt;='Input sheet(dashboard)'!$D$6,E674*'Input sheet(dashboard)'!$D$7,0)</f>
        <v>0</v>
      </c>
      <c r="H674" s="3">
        <f t="shared" si="91"/>
        <v>-2.331906944371695E-11</v>
      </c>
      <c r="I674" s="3">
        <f t="shared" si="92"/>
        <v>6.4247526325328565E-9</v>
      </c>
      <c r="J674" s="3">
        <f>IF(B674&lt;='Input sheet(dashboard)'!$D$27*12,'Input sheet(dashboard)'!$D$3*(1+'Input sheet(dashboard)'!$E$24)^B674,0)</f>
        <v>0</v>
      </c>
      <c r="K674" s="3">
        <f>IF(B674&lt;='Input sheet(dashboard)'!$D$27*12,J674*'Input sheet(dashboard)'!$E$8,0)</f>
        <v>0</v>
      </c>
      <c r="L674" s="3">
        <f>IF(B674&lt;='Input sheet(dashboard)'!$D$27*12,'Input sheet(dashboard)'!$D$9*(1+'Input sheet(dashboard)'!$E$22)^B674,0)</f>
        <v>0</v>
      </c>
      <c r="M674" s="3">
        <f>IF(B674=1,'Input sheet(dashboard)'!$D$3*'Input sheet(dashboard)'!$D$10,0)</f>
        <v>0</v>
      </c>
      <c r="N674" s="3">
        <f>IF(B674='Input sheet(dashboard)'!$D$27*12,J674*'Input sheet(dashboard)'!$D$11,0)</f>
        <v>0</v>
      </c>
      <c r="O674" s="3">
        <f>IF(SUM(F674:F685)&gt;=150000,150000/12*'Input sheet(dashboard)'!$D$28,SUM(F674:F685)/12*'Input sheet(dashboard)'!$D$28)</f>
        <v>3.5687992114222158E-12</v>
      </c>
      <c r="P674" s="3">
        <f t="shared" si="96"/>
        <v>0</v>
      </c>
      <c r="Q674" s="3">
        <f>IF(B674&lt;='Input sheet(dashboard)'!$D$27*12,'Input sheet(dashboard)'!$D$12/12,0)</f>
        <v>0</v>
      </c>
      <c r="R674" s="3">
        <f>IF(B674&lt;='Input sheet(dashboard)'!$D$27*12,('Input sheet(dashboard)'!$D$15/12)*(1+'Input sheet(dashboard)'!$E$22)^Calculations!B674,0)</f>
        <v>0</v>
      </c>
      <c r="S674" s="3">
        <f>IF(B674&lt;='Input sheet(dashboard)'!$D$27*12,(E674+G674+K674+L674-O674+M674+Q674+R674),0)</f>
        <v>0</v>
      </c>
      <c r="T674" s="3">
        <f>IF(B674&lt;='Input sheet(dashboard)'!$D$27*12,IF(D674=12,SUM(S663:S674),0),0)</f>
        <v>0</v>
      </c>
      <c r="U674" s="3">
        <f>IF(B674&lt;='Input sheet(dashboard)'!$D$27*12,IF(S674&lt;AD674,AD674-S674,0),0)</f>
        <v>0</v>
      </c>
      <c r="V674" s="3">
        <f>IF(B674&lt;='Input sheet(dashboard)'!$D$27*12,V673*(1+'Input sheet(dashboard)'!$E$25)+U674,0)</f>
        <v>0</v>
      </c>
      <c r="W674" s="17">
        <f>IF(B674&lt;='Input sheet(dashboard)'!$D$27*12,J674-I674+V674-N674,0)</f>
        <v>0</v>
      </c>
      <c r="X674" s="3">
        <f>IF(B674&lt;='Input sheet(dashboard)'!$D$27*12,'Input sheet(dashboard)'!$D$17*(1+'Input sheet(dashboard)'!$E$23)^(B674-1),0)</f>
        <v>0</v>
      </c>
      <c r="Y674" s="3"/>
      <c r="Z674" s="18"/>
      <c r="AA674" s="18"/>
      <c r="AB674" s="3">
        <f>IF(B674=1,'Input sheet(dashboard)'!$D$18*Calculations!X674,IF(Calculations!B674=12*'Input sheet(dashboard)'!$D$27,'Input sheet(dashboard)'!$D$18*-Calculations!X674,0))</f>
        <v>0</v>
      </c>
      <c r="AC674" s="3">
        <f>IF(B674&lt;='Input sheet(dashboard)'!$D$27*12,IF(MOD(B673,'Input sheet(dashboard)'!$D$19*12),0,'Input sheet(dashboard)'!$D$20*(1+'Input sheet(dashboard)'!$E$22)^Calculations!B674),0)</f>
        <v>0</v>
      </c>
      <c r="AD674" s="17">
        <f t="shared" si="93"/>
        <v>0</v>
      </c>
      <c r="AE674" s="17">
        <f>IF(B674&lt;='Input sheet(dashboard)'!$D$27*12,IF(D674=12,SUM(AD663:AD674),0),0)</f>
        <v>0</v>
      </c>
      <c r="AF674" s="17">
        <f t="shared" si="94"/>
        <v>0</v>
      </c>
      <c r="AG674" s="17">
        <f t="shared" si="95"/>
        <v>0</v>
      </c>
      <c r="AH674" s="3" t="str">
        <f>IF(B674&lt;='Input sheet(dashboard)'!$D$27*12,AH673*(1+'Input sheet(dashboard)'!$E$25)+AG674," ")</f>
        <v xml:space="preserve"> </v>
      </c>
    </row>
    <row r="675" spans="2:34">
      <c r="B675">
        <f t="shared" si="90"/>
        <v>672</v>
      </c>
      <c r="C675">
        <f t="shared" si="97"/>
        <v>56</v>
      </c>
      <c r="D675">
        <f t="shared" si="98"/>
        <v>12</v>
      </c>
      <c r="E675" s="15">
        <f>IF(C675&lt;='Input sheet(dashboard)'!$D$6, -PMT('Input sheet(dashboard)'!$E$5,'Input sheet(dashboard)'!$D$6*12,'Input sheet(dashboard)'!$D$3*'Input sheet(dashboard)'!$D$4),0)</f>
        <v>0</v>
      </c>
      <c r="F675" s="3">
        <f>I674*'Input sheet(dashboard)'!$E$5</f>
        <v>2.3404015884910425E-11</v>
      </c>
      <c r="G675" s="3">
        <f>IF(C675&lt;='Input sheet(dashboard)'!$D$6,E675*'Input sheet(dashboard)'!$D$7,0)</f>
        <v>0</v>
      </c>
      <c r="H675" s="3">
        <f t="shared" si="91"/>
        <v>-2.3404015884910425E-11</v>
      </c>
      <c r="I675" s="3">
        <f t="shared" si="92"/>
        <v>6.4481566484177668E-9</v>
      </c>
      <c r="J675" s="3">
        <f>IF(B675&lt;='Input sheet(dashboard)'!$D$27*12,'Input sheet(dashboard)'!$D$3*(1+'Input sheet(dashboard)'!$E$24)^B675,0)</f>
        <v>0</v>
      </c>
      <c r="K675" s="3">
        <f>IF(B675&lt;='Input sheet(dashboard)'!$D$27*12,J675*'Input sheet(dashboard)'!$E$8,0)</f>
        <v>0</v>
      </c>
      <c r="L675" s="3">
        <f>IF(B675&lt;='Input sheet(dashboard)'!$D$27*12,'Input sheet(dashboard)'!$D$9*(1+'Input sheet(dashboard)'!$E$22)^B675,0)</f>
        <v>0</v>
      </c>
      <c r="M675" s="3">
        <f>IF(B675=1,'Input sheet(dashboard)'!$D$3*'Input sheet(dashboard)'!$D$10,0)</f>
        <v>0</v>
      </c>
      <c r="N675" s="3">
        <f>IF(B675='Input sheet(dashboard)'!$D$27*12,J675*'Input sheet(dashboard)'!$D$11,0)</f>
        <v>0</v>
      </c>
      <c r="O675" s="3">
        <f>IF(SUM(F675:F686)&gt;=150000,150000/12*'Input sheet(dashboard)'!$D$28,SUM(F675:F686)/12*'Input sheet(dashboard)'!$D$28)</f>
        <v>3.5817995926370874E-12</v>
      </c>
      <c r="P675" s="3">
        <f t="shared" si="96"/>
        <v>4.481974150033355E-11</v>
      </c>
      <c r="Q675" s="3">
        <f>IF(B675&lt;='Input sheet(dashboard)'!$D$27*12,'Input sheet(dashboard)'!$D$12/12,0)</f>
        <v>0</v>
      </c>
      <c r="R675" s="3">
        <f>IF(B675&lt;='Input sheet(dashboard)'!$D$27*12,('Input sheet(dashboard)'!$D$15/12)*(1+'Input sheet(dashboard)'!$E$22)^Calculations!B675,0)</f>
        <v>0</v>
      </c>
      <c r="S675" s="3">
        <f>IF(B675&lt;='Input sheet(dashboard)'!$D$27*12,(E675+G675+K675+L675-O675+M675+Q675+R675),0)</f>
        <v>0</v>
      </c>
      <c r="T675" s="3">
        <f>IF(B675&lt;='Input sheet(dashboard)'!$D$27*12,IF(D675=12,SUM(S664:S675),0),0)</f>
        <v>0</v>
      </c>
      <c r="U675" s="3">
        <f>IF(B675&lt;='Input sheet(dashboard)'!$D$27*12,IF(S675&lt;AD675,AD675-S675,0),0)</f>
        <v>0</v>
      </c>
      <c r="V675" s="3">
        <f>IF(B675&lt;='Input sheet(dashboard)'!$D$27*12,V674*(1+'Input sheet(dashboard)'!$E$25)+U675,0)</f>
        <v>0</v>
      </c>
      <c r="W675" s="17">
        <f>IF(B675&lt;='Input sheet(dashboard)'!$D$27*12,J675-I675+V675-N675,0)</f>
        <v>0</v>
      </c>
      <c r="X675" s="3">
        <f>IF(B675&lt;='Input sheet(dashboard)'!$D$27*12,'Input sheet(dashboard)'!$D$17*(1+'Input sheet(dashboard)'!$E$23)^(B675-1),0)</f>
        <v>0</v>
      </c>
      <c r="Y675" s="3"/>
      <c r="Z675" s="18"/>
      <c r="AA675" s="18"/>
      <c r="AB675" s="3">
        <f>IF(B675=1,'Input sheet(dashboard)'!$D$18*Calculations!X675,IF(Calculations!B675=12*'Input sheet(dashboard)'!$D$27,'Input sheet(dashboard)'!$D$18*-Calculations!X675,0))</f>
        <v>0</v>
      </c>
      <c r="AC675" s="3">
        <f>IF(B675&lt;='Input sheet(dashboard)'!$D$27*12,IF(MOD(B674,'Input sheet(dashboard)'!$D$19*12),0,'Input sheet(dashboard)'!$D$20*(1+'Input sheet(dashboard)'!$E$22)^Calculations!B675),0)</f>
        <v>0</v>
      </c>
      <c r="AD675" s="17">
        <f t="shared" si="93"/>
        <v>0</v>
      </c>
      <c r="AE675" s="17">
        <f>IF(B675&lt;='Input sheet(dashboard)'!$D$27*12,IF(D675=12,SUM(AD664:AD675),0),0)</f>
        <v>0</v>
      </c>
      <c r="AF675" s="17">
        <f t="shared" si="94"/>
        <v>0</v>
      </c>
      <c r="AG675" s="17">
        <f t="shared" si="95"/>
        <v>0</v>
      </c>
      <c r="AH675" s="3" t="str">
        <f>IF(B675&lt;='Input sheet(dashboard)'!$D$27*12,AH674*(1+'Input sheet(dashboard)'!$E$25)+AG675," ")</f>
        <v xml:space="preserve"> </v>
      </c>
    </row>
    <row r="676" spans="2:34">
      <c r="B676">
        <f t="shared" si="90"/>
        <v>673</v>
      </c>
      <c r="C676">
        <f t="shared" si="97"/>
        <v>57</v>
      </c>
      <c r="D676">
        <f t="shared" si="98"/>
        <v>1</v>
      </c>
      <c r="E676" s="15">
        <f>IF(C676&lt;='Input sheet(dashboard)'!$D$6, -PMT('Input sheet(dashboard)'!$E$5,'Input sheet(dashboard)'!$D$6*12,'Input sheet(dashboard)'!$D$3*'Input sheet(dashboard)'!$D$4),0)</f>
        <v>0</v>
      </c>
      <c r="F676" s="3">
        <f>I675*'Input sheet(dashboard)'!$E$5</f>
        <v>2.3489271768034627E-11</v>
      </c>
      <c r="G676" s="3">
        <f>IF(C676&lt;='Input sheet(dashboard)'!$D$6,E676*'Input sheet(dashboard)'!$D$7,0)</f>
        <v>0</v>
      </c>
      <c r="H676" s="3">
        <f t="shared" si="91"/>
        <v>-2.3489271768034627E-11</v>
      </c>
      <c r="I676" s="3">
        <f t="shared" si="92"/>
        <v>6.4716459201858014E-9</v>
      </c>
      <c r="J676" s="3">
        <f>IF(B676&lt;='Input sheet(dashboard)'!$D$27*12,'Input sheet(dashboard)'!$D$3*(1+'Input sheet(dashboard)'!$E$24)^B676,0)</f>
        <v>0</v>
      </c>
      <c r="K676" s="3">
        <f>IF(B676&lt;='Input sheet(dashboard)'!$D$27*12,J676*'Input sheet(dashboard)'!$E$8,0)</f>
        <v>0</v>
      </c>
      <c r="L676" s="3">
        <f>IF(B676&lt;='Input sheet(dashboard)'!$D$27*12,'Input sheet(dashboard)'!$D$9*(1+'Input sheet(dashboard)'!$E$22)^B676,0)</f>
        <v>0</v>
      </c>
      <c r="M676" s="3">
        <f>IF(B676=1,'Input sheet(dashboard)'!$D$3*'Input sheet(dashboard)'!$D$10,0)</f>
        <v>0</v>
      </c>
      <c r="N676" s="3">
        <f>IF(B676='Input sheet(dashboard)'!$D$27*12,J676*'Input sheet(dashboard)'!$D$11,0)</f>
        <v>0</v>
      </c>
      <c r="O676" s="3">
        <f>IF(SUM(F676:F687)&gt;=150000,150000/12*'Input sheet(dashboard)'!$D$28,SUM(F676:F687)/12*'Input sheet(dashboard)'!$D$28)</f>
        <v>3.5948473314929246E-12</v>
      </c>
      <c r="P676" s="3">
        <f t="shared" si="96"/>
        <v>0</v>
      </c>
      <c r="Q676" s="3">
        <f>IF(B676&lt;='Input sheet(dashboard)'!$D$27*12,'Input sheet(dashboard)'!$D$12/12,0)</f>
        <v>0</v>
      </c>
      <c r="R676" s="3">
        <f>IF(B676&lt;='Input sheet(dashboard)'!$D$27*12,('Input sheet(dashboard)'!$D$15/12)*(1+'Input sheet(dashboard)'!$E$22)^Calculations!B676,0)</f>
        <v>0</v>
      </c>
      <c r="S676" s="3">
        <f>IF(B676&lt;='Input sheet(dashboard)'!$D$27*12,(E676+G676+K676+L676-O676+M676+Q676+R676),0)</f>
        <v>0</v>
      </c>
      <c r="T676" s="3">
        <f>IF(B676&lt;='Input sheet(dashboard)'!$D$27*12,IF(D676=12,SUM(S665:S676),0),0)</f>
        <v>0</v>
      </c>
      <c r="U676" s="3">
        <f>IF(B676&lt;='Input sheet(dashboard)'!$D$27*12,IF(S676&lt;AD676,AD676-S676,0),0)</f>
        <v>0</v>
      </c>
      <c r="V676" s="3">
        <f>IF(B676&lt;='Input sheet(dashboard)'!$D$27*12,V675*(1+'Input sheet(dashboard)'!$E$25)+U676,0)</f>
        <v>0</v>
      </c>
      <c r="W676" s="17">
        <f>IF(B676&lt;='Input sheet(dashboard)'!$D$27*12,J676-I676+V676-N676,0)</f>
        <v>0</v>
      </c>
      <c r="X676" s="3">
        <f>IF(B676&lt;='Input sheet(dashboard)'!$D$27*12,'Input sheet(dashboard)'!$D$17*(1+'Input sheet(dashboard)'!$E$23)^(B676-1),0)</f>
        <v>0</v>
      </c>
      <c r="Y676" s="3"/>
      <c r="Z676" s="18"/>
      <c r="AA676" s="18"/>
      <c r="AB676" s="3">
        <f>IF(B676=1,'Input sheet(dashboard)'!$D$18*Calculations!X676,IF(Calculations!B676=12*'Input sheet(dashboard)'!$D$27,'Input sheet(dashboard)'!$D$18*-Calculations!X676,0))</f>
        <v>0</v>
      </c>
      <c r="AC676" s="3">
        <f>IF(B676&lt;='Input sheet(dashboard)'!$D$27*12,IF(MOD(B675,'Input sheet(dashboard)'!$D$19*12),0,'Input sheet(dashboard)'!$D$20*(1+'Input sheet(dashboard)'!$E$22)^Calculations!B676),0)</f>
        <v>0</v>
      </c>
      <c r="AD676" s="17">
        <f t="shared" si="93"/>
        <v>0</v>
      </c>
      <c r="AE676" s="17">
        <f>IF(B676&lt;='Input sheet(dashboard)'!$D$27*12,IF(D676=12,SUM(AD665:AD676),0),0)</f>
        <v>0</v>
      </c>
      <c r="AF676" s="17">
        <f t="shared" si="94"/>
        <v>0</v>
      </c>
      <c r="AG676" s="17">
        <f t="shared" si="95"/>
        <v>0</v>
      </c>
      <c r="AH676" s="3" t="str">
        <f>IF(B676&lt;='Input sheet(dashboard)'!$D$27*12,AH675*(1+'Input sheet(dashboard)'!$E$25)+AG676," ")</f>
        <v xml:space="preserve"> </v>
      </c>
    </row>
    <row r="677" spans="2:34">
      <c r="B677">
        <f t="shared" si="90"/>
        <v>674</v>
      </c>
      <c r="C677">
        <f t="shared" si="97"/>
        <v>57</v>
      </c>
      <c r="D677">
        <f t="shared" si="98"/>
        <v>2</v>
      </c>
      <c r="E677" s="15">
        <f>IF(C677&lt;='Input sheet(dashboard)'!$D$6, -PMT('Input sheet(dashboard)'!$E$5,'Input sheet(dashboard)'!$D$6*12,'Input sheet(dashboard)'!$D$3*'Input sheet(dashboard)'!$D$4),0)</f>
        <v>0</v>
      </c>
      <c r="F677" s="3">
        <f>I676*'Input sheet(dashboard)'!$E$5</f>
        <v>2.3574838220321107E-11</v>
      </c>
      <c r="G677" s="3">
        <f>IF(C677&lt;='Input sheet(dashboard)'!$D$6,E677*'Input sheet(dashboard)'!$D$7,0)</f>
        <v>0</v>
      </c>
      <c r="H677" s="3">
        <f t="shared" si="91"/>
        <v>-2.3574838220321107E-11</v>
      </c>
      <c r="I677" s="3">
        <f t="shared" si="92"/>
        <v>6.4952207584061225E-9</v>
      </c>
      <c r="J677" s="3">
        <f>IF(B677&lt;='Input sheet(dashboard)'!$D$27*12,'Input sheet(dashboard)'!$D$3*(1+'Input sheet(dashboard)'!$E$24)^B677,0)</f>
        <v>0</v>
      </c>
      <c r="K677" s="3">
        <f>IF(B677&lt;='Input sheet(dashboard)'!$D$27*12,J677*'Input sheet(dashboard)'!$E$8,0)</f>
        <v>0</v>
      </c>
      <c r="L677" s="3">
        <f>IF(B677&lt;='Input sheet(dashboard)'!$D$27*12,'Input sheet(dashboard)'!$D$9*(1+'Input sheet(dashboard)'!$E$22)^B677,0)</f>
        <v>0</v>
      </c>
      <c r="M677" s="3">
        <f>IF(B677=1,'Input sheet(dashboard)'!$D$3*'Input sheet(dashboard)'!$D$10,0)</f>
        <v>0</v>
      </c>
      <c r="N677" s="3">
        <f>IF(B677='Input sheet(dashboard)'!$D$27*12,J677*'Input sheet(dashboard)'!$D$11,0)</f>
        <v>0</v>
      </c>
      <c r="O677" s="3">
        <f>IF(SUM(F677:F688)&gt;=150000,150000/12*'Input sheet(dashboard)'!$D$28,SUM(F677:F688)/12*'Input sheet(dashboard)'!$D$28)</f>
        <v>3.6079426005036043E-12</v>
      </c>
      <c r="P677" s="3">
        <f t="shared" si="96"/>
        <v>0</v>
      </c>
      <c r="Q677" s="3">
        <f>IF(B677&lt;='Input sheet(dashboard)'!$D$27*12,'Input sheet(dashboard)'!$D$12/12,0)</f>
        <v>0</v>
      </c>
      <c r="R677" s="3">
        <f>IF(B677&lt;='Input sheet(dashboard)'!$D$27*12,('Input sheet(dashboard)'!$D$15/12)*(1+'Input sheet(dashboard)'!$E$22)^Calculations!B677,0)</f>
        <v>0</v>
      </c>
      <c r="S677" s="3">
        <f>IF(B677&lt;='Input sheet(dashboard)'!$D$27*12,(E677+G677+K677+L677-O677+M677+Q677+R677),0)</f>
        <v>0</v>
      </c>
      <c r="T677" s="3">
        <f>IF(B677&lt;='Input sheet(dashboard)'!$D$27*12,IF(D677=12,SUM(S666:S677),0),0)</f>
        <v>0</v>
      </c>
      <c r="U677" s="3">
        <f>IF(B677&lt;='Input sheet(dashboard)'!$D$27*12,IF(S677&lt;AD677,AD677-S677,0),0)</f>
        <v>0</v>
      </c>
      <c r="V677" s="3">
        <f>IF(B677&lt;='Input sheet(dashboard)'!$D$27*12,V676*(1+'Input sheet(dashboard)'!$E$25)+U677,0)</f>
        <v>0</v>
      </c>
      <c r="W677" s="17">
        <f>IF(B677&lt;='Input sheet(dashboard)'!$D$27*12,J677-I677+V677-N677,0)</f>
        <v>0</v>
      </c>
      <c r="X677" s="3">
        <f>IF(B677&lt;='Input sheet(dashboard)'!$D$27*12,'Input sheet(dashboard)'!$D$17*(1+'Input sheet(dashboard)'!$E$23)^(B677-1),0)</f>
        <v>0</v>
      </c>
      <c r="Y677" s="3"/>
      <c r="Z677" s="18"/>
      <c r="AA677" s="18"/>
      <c r="AB677" s="3">
        <f>IF(B677=1,'Input sheet(dashboard)'!$D$18*Calculations!X677,IF(Calculations!B677=12*'Input sheet(dashboard)'!$D$27,'Input sheet(dashboard)'!$D$18*-Calculations!X677,0))</f>
        <v>0</v>
      </c>
      <c r="AC677" s="3">
        <f>IF(B677&lt;='Input sheet(dashboard)'!$D$27*12,IF(MOD(B676,'Input sheet(dashboard)'!$D$19*12),0,'Input sheet(dashboard)'!$D$20*(1+'Input sheet(dashboard)'!$E$22)^Calculations!B677),0)</f>
        <v>0</v>
      </c>
      <c r="AD677" s="17">
        <f t="shared" si="93"/>
        <v>0</v>
      </c>
      <c r="AE677" s="17">
        <f>IF(B677&lt;='Input sheet(dashboard)'!$D$27*12,IF(D677=12,SUM(AD666:AD677),0),0)</f>
        <v>0</v>
      </c>
      <c r="AF677" s="17">
        <f t="shared" si="94"/>
        <v>0</v>
      </c>
      <c r="AG677" s="17">
        <f t="shared" si="95"/>
        <v>0</v>
      </c>
      <c r="AH677" s="3" t="str">
        <f>IF(B677&lt;='Input sheet(dashboard)'!$D$27*12,AH676*(1+'Input sheet(dashboard)'!$E$25)+AG677," ")</f>
        <v xml:space="preserve"> </v>
      </c>
    </row>
    <row r="678" spans="2:34">
      <c r="B678">
        <f t="shared" si="90"/>
        <v>675</v>
      </c>
      <c r="C678">
        <f t="shared" si="97"/>
        <v>57</v>
      </c>
      <c r="D678">
        <f t="shared" si="98"/>
        <v>3</v>
      </c>
      <c r="E678" s="15">
        <f>IF(C678&lt;='Input sheet(dashboard)'!$D$6, -PMT('Input sheet(dashboard)'!$E$5,'Input sheet(dashboard)'!$D$6*12,'Input sheet(dashboard)'!$D$3*'Input sheet(dashboard)'!$D$4),0)</f>
        <v>0</v>
      </c>
      <c r="F678" s="3">
        <f>I677*'Input sheet(dashboard)'!$E$5</f>
        <v>2.3660716373107682E-11</v>
      </c>
      <c r="G678" s="3">
        <f>IF(C678&lt;='Input sheet(dashboard)'!$D$6,E678*'Input sheet(dashboard)'!$D$7,0)</f>
        <v>0</v>
      </c>
      <c r="H678" s="3">
        <f t="shared" si="91"/>
        <v>-2.3660716373107682E-11</v>
      </c>
      <c r="I678" s="3">
        <f t="shared" si="92"/>
        <v>6.5188814747792298E-9</v>
      </c>
      <c r="J678" s="3">
        <f>IF(B678&lt;='Input sheet(dashboard)'!$D$27*12,'Input sheet(dashboard)'!$D$3*(1+'Input sheet(dashboard)'!$E$24)^B678,0)</f>
        <v>0</v>
      </c>
      <c r="K678" s="3">
        <f>IF(B678&lt;='Input sheet(dashboard)'!$D$27*12,J678*'Input sheet(dashboard)'!$E$8,0)</f>
        <v>0</v>
      </c>
      <c r="L678" s="3">
        <f>IF(B678&lt;='Input sheet(dashboard)'!$D$27*12,'Input sheet(dashboard)'!$D$9*(1+'Input sheet(dashboard)'!$E$22)^B678,0)</f>
        <v>0</v>
      </c>
      <c r="M678" s="3">
        <f>IF(B678=1,'Input sheet(dashboard)'!$D$3*'Input sheet(dashboard)'!$D$10,0)</f>
        <v>0</v>
      </c>
      <c r="N678" s="3">
        <f>IF(B678='Input sheet(dashboard)'!$D$27*12,J678*'Input sheet(dashboard)'!$D$11,0)</f>
        <v>0</v>
      </c>
      <c r="O678" s="3">
        <f>IF(SUM(F678:F689)&gt;=150000,150000/12*'Input sheet(dashboard)'!$D$28,SUM(F678:F689)/12*'Input sheet(dashboard)'!$D$28)</f>
        <v>3.6210855728114325E-12</v>
      </c>
      <c r="P678" s="3">
        <f t="shared" si="96"/>
        <v>0</v>
      </c>
      <c r="Q678" s="3">
        <f>IF(B678&lt;='Input sheet(dashboard)'!$D$27*12,'Input sheet(dashboard)'!$D$12/12,0)</f>
        <v>0</v>
      </c>
      <c r="R678" s="3">
        <f>IF(B678&lt;='Input sheet(dashboard)'!$D$27*12,('Input sheet(dashboard)'!$D$15/12)*(1+'Input sheet(dashboard)'!$E$22)^Calculations!B678,0)</f>
        <v>0</v>
      </c>
      <c r="S678" s="3">
        <f>IF(B678&lt;='Input sheet(dashboard)'!$D$27*12,(E678+G678+K678+L678-O678+M678+Q678+R678),0)</f>
        <v>0</v>
      </c>
      <c r="T678" s="3">
        <f>IF(B678&lt;='Input sheet(dashboard)'!$D$27*12,IF(D678=12,SUM(S667:S678),0),0)</f>
        <v>0</v>
      </c>
      <c r="U678" s="3">
        <f>IF(B678&lt;='Input sheet(dashboard)'!$D$27*12,IF(S678&lt;AD678,AD678-S678,0),0)</f>
        <v>0</v>
      </c>
      <c r="V678" s="3">
        <f>IF(B678&lt;='Input sheet(dashboard)'!$D$27*12,V677*(1+'Input sheet(dashboard)'!$E$25)+U678,0)</f>
        <v>0</v>
      </c>
      <c r="W678" s="17">
        <f>IF(B678&lt;='Input sheet(dashboard)'!$D$27*12,J678-I678+V678-N678,0)</f>
        <v>0</v>
      </c>
      <c r="X678" s="3">
        <f>IF(B678&lt;='Input sheet(dashboard)'!$D$27*12,'Input sheet(dashboard)'!$D$17*(1+'Input sheet(dashboard)'!$E$23)^(B678-1),0)</f>
        <v>0</v>
      </c>
      <c r="Y678" s="3"/>
      <c r="Z678" s="18"/>
      <c r="AA678" s="18"/>
      <c r="AB678" s="3">
        <f>IF(B678=1,'Input sheet(dashboard)'!$D$18*Calculations!X678,IF(Calculations!B678=12*'Input sheet(dashboard)'!$D$27,'Input sheet(dashboard)'!$D$18*-Calculations!X678,0))</f>
        <v>0</v>
      </c>
      <c r="AC678" s="3">
        <f>IF(B678&lt;='Input sheet(dashboard)'!$D$27*12,IF(MOD(B677,'Input sheet(dashboard)'!$D$19*12),0,'Input sheet(dashboard)'!$D$20*(1+'Input sheet(dashboard)'!$E$22)^Calculations!B678),0)</f>
        <v>0</v>
      </c>
      <c r="AD678" s="17">
        <f t="shared" si="93"/>
        <v>0</v>
      </c>
      <c r="AE678" s="17">
        <f>IF(B678&lt;='Input sheet(dashboard)'!$D$27*12,IF(D678=12,SUM(AD667:AD678),0),0)</f>
        <v>0</v>
      </c>
      <c r="AF678" s="17">
        <f t="shared" si="94"/>
        <v>0</v>
      </c>
      <c r="AG678" s="17">
        <f t="shared" si="95"/>
        <v>0</v>
      </c>
      <c r="AH678" s="3" t="str">
        <f>IF(B678&lt;='Input sheet(dashboard)'!$D$27*12,AH677*(1+'Input sheet(dashboard)'!$E$25)+AG678," ")</f>
        <v xml:space="preserve"> </v>
      </c>
    </row>
    <row r="679" spans="2:34">
      <c r="B679">
        <f t="shared" si="90"/>
        <v>676</v>
      </c>
      <c r="C679">
        <f t="shared" si="97"/>
        <v>57</v>
      </c>
      <c r="D679">
        <f t="shared" si="98"/>
        <v>4</v>
      </c>
      <c r="E679" s="15">
        <f>IF(C679&lt;='Input sheet(dashboard)'!$D$6, -PMT('Input sheet(dashboard)'!$E$5,'Input sheet(dashboard)'!$D$6*12,'Input sheet(dashboard)'!$D$3*'Input sheet(dashboard)'!$D$4),0)</f>
        <v>0</v>
      </c>
      <c r="F679" s="3">
        <f>I678*'Input sheet(dashboard)'!$E$5</f>
        <v>2.3746907361853384E-11</v>
      </c>
      <c r="G679" s="3">
        <f>IF(C679&lt;='Input sheet(dashboard)'!$D$6,E679*'Input sheet(dashboard)'!$D$7,0)</f>
        <v>0</v>
      </c>
      <c r="H679" s="3">
        <f t="shared" si="91"/>
        <v>-2.3746907361853384E-11</v>
      </c>
      <c r="I679" s="3">
        <f t="shared" si="92"/>
        <v>6.542628382141083E-9</v>
      </c>
      <c r="J679" s="3">
        <f>IF(B679&lt;='Input sheet(dashboard)'!$D$27*12,'Input sheet(dashboard)'!$D$3*(1+'Input sheet(dashboard)'!$E$24)^B679,0)</f>
        <v>0</v>
      </c>
      <c r="K679" s="3">
        <f>IF(B679&lt;='Input sheet(dashboard)'!$D$27*12,J679*'Input sheet(dashboard)'!$E$8,0)</f>
        <v>0</v>
      </c>
      <c r="L679" s="3">
        <f>IF(B679&lt;='Input sheet(dashboard)'!$D$27*12,'Input sheet(dashboard)'!$D$9*(1+'Input sheet(dashboard)'!$E$22)^B679,0)</f>
        <v>0</v>
      </c>
      <c r="M679" s="3">
        <f>IF(B679=1,'Input sheet(dashboard)'!$D$3*'Input sheet(dashboard)'!$D$10,0)</f>
        <v>0</v>
      </c>
      <c r="N679" s="3">
        <f>IF(B679='Input sheet(dashboard)'!$D$27*12,J679*'Input sheet(dashboard)'!$D$11,0)</f>
        <v>0</v>
      </c>
      <c r="O679" s="3">
        <f>IF(SUM(F679:F690)&gt;=150000,150000/12*'Input sheet(dashboard)'!$D$28,SUM(F679:F690)/12*'Input sheet(dashboard)'!$D$28)</f>
        <v>3.6342764221894403E-12</v>
      </c>
      <c r="P679" s="3">
        <f t="shared" si="96"/>
        <v>0</v>
      </c>
      <c r="Q679" s="3">
        <f>IF(B679&lt;='Input sheet(dashboard)'!$D$27*12,'Input sheet(dashboard)'!$D$12/12,0)</f>
        <v>0</v>
      </c>
      <c r="R679" s="3">
        <f>IF(B679&lt;='Input sheet(dashboard)'!$D$27*12,('Input sheet(dashboard)'!$D$15/12)*(1+'Input sheet(dashboard)'!$E$22)^Calculations!B679,0)</f>
        <v>0</v>
      </c>
      <c r="S679" s="3">
        <f>IF(B679&lt;='Input sheet(dashboard)'!$D$27*12,(E679+G679+K679+L679-O679+M679+Q679+R679),0)</f>
        <v>0</v>
      </c>
      <c r="T679" s="3">
        <f>IF(B679&lt;='Input sheet(dashboard)'!$D$27*12,IF(D679=12,SUM(S668:S679),0),0)</f>
        <v>0</v>
      </c>
      <c r="U679" s="3">
        <f>IF(B679&lt;='Input sheet(dashboard)'!$D$27*12,IF(S679&lt;AD679,AD679-S679,0),0)</f>
        <v>0</v>
      </c>
      <c r="V679" s="3">
        <f>IF(B679&lt;='Input sheet(dashboard)'!$D$27*12,V678*(1+'Input sheet(dashboard)'!$E$25)+U679,0)</f>
        <v>0</v>
      </c>
      <c r="W679" s="17">
        <f>IF(B679&lt;='Input sheet(dashboard)'!$D$27*12,J679-I679+V679-N679,0)</f>
        <v>0</v>
      </c>
      <c r="X679" s="3">
        <f>IF(B679&lt;='Input sheet(dashboard)'!$D$27*12,'Input sheet(dashboard)'!$D$17*(1+'Input sheet(dashboard)'!$E$23)^(B679-1),0)</f>
        <v>0</v>
      </c>
      <c r="Y679" s="3"/>
      <c r="Z679" s="18"/>
      <c r="AA679" s="18"/>
      <c r="AB679" s="3">
        <f>IF(B679=1,'Input sheet(dashboard)'!$D$18*Calculations!X679,IF(Calculations!B679=12*'Input sheet(dashboard)'!$D$27,'Input sheet(dashboard)'!$D$18*-Calculations!X679,0))</f>
        <v>0</v>
      </c>
      <c r="AC679" s="3">
        <f>IF(B679&lt;='Input sheet(dashboard)'!$D$27*12,IF(MOD(B678,'Input sheet(dashboard)'!$D$19*12),0,'Input sheet(dashboard)'!$D$20*(1+'Input sheet(dashboard)'!$E$22)^Calculations!B679),0)</f>
        <v>0</v>
      </c>
      <c r="AD679" s="17">
        <f t="shared" si="93"/>
        <v>0</v>
      </c>
      <c r="AE679" s="17">
        <f>IF(B679&lt;='Input sheet(dashboard)'!$D$27*12,IF(D679=12,SUM(AD668:AD679),0),0)</f>
        <v>0</v>
      </c>
      <c r="AF679" s="17">
        <f t="shared" si="94"/>
        <v>0</v>
      </c>
      <c r="AG679" s="17">
        <f t="shared" si="95"/>
        <v>0</v>
      </c>
      <c r="AH679" s="3" t="str">
        <f>IF(B679&lt;='Input sheet(dashboard)'!$D$27*12,AH678*(1+'Input sheet(dashboard)'!$E$25)+AG679," ")</f>
        <v xml:space="preserve"> </v>
      </c>
    </row>
    <row r="680" spans="2:34">
      <c r="B680">
        <f t="shared" si="90"/>
        <v>677</v>
      </c>
      <c r="C680">
        <f t="shared" si="97"/>
        <v>57</v>
      </c>
      <c r="D680">
        <f t="shared" si="98"/>
        <v>5</v>
      </c>
      <c r="E680" s="15">
        <f>IF(C680&lt;='Input sheet(dashboard)'!$D$6, -PMT('Input sheet(dashboard)'!$E$5,'Input sheet(dashboard)'!$D$6*12,'Input sheet(dashboard)'!$D$3*'Input sheet(dashboard)'!$D$4),0)</f>
        <v>0</v>
      </c>
      <c r="F680" s="3">
        <f>I679*'Input sheet(dashboard)'!$E$5</f>
        <v>2.3833412326153495E-11</v>
      </c>
      <c r="G680" s="3">
        <f>IF(C680&lt;='Input sheet(dashboard)'!$D$6,E680*'Input sheet(dashboard)'!$D$7,0)</f>
        <v>0</v>
      </c>
      <c r="H680" s="3">
        <f t="shared" si="91"/>
        <v>-2.3833412326153495E-11</v>
      </c>
      <c r="I680" s="3">
        <f t="shared" si="92"/>
        <v>6.5664617944672369E-9</v>
      </c>
      <c r="J680" s="3">
        <f>IF(B680&lt;='Input sheet(dashboard)'!$D$27*12,'Input sheet(dashboard)'!$D$3*(1+'Input sheet(dashboard)'!$E$24)^B680,0)</f>
        <v>0</v>
      </c>
      <c r="K680" s="3">
        <f>IF(B680&lt;='Input sheet(dashboard)'!$D$27*12,J680*'Input sheet(dashboard)'!$E$8,0)</f>
        <v>0</v>
      </c>
      <c r="L680" s="3">
        <f>IF(B680&lt;='Input sheet(dashboard)'!$D$27*12,'Input sheet(dashboard)'!$D$9*(1+'Input sheet(dashboard)'!$E$22)^B680,0)</f>
        <v>0</v>
      </c>
      <c r="M680" s="3">
        <f>IF(B680=1,'Input sheet(dashboard)'!$D$3*'Input sheet(dashboard)'!$D$10,0)</f>
        <v>0</v>
      </c>
      <c r="N680" s="3">
        <f>IF(B680='Input sheet(dashboard)'!$D$27*12,J680*'Input sheet(dashboard)'!$D$11,0)</f>
        <v>0</v>
      </c>
      <c r="O680" s="3">
        <f>IF(SUM(F680:F691)&gt;=150000,150000/12*'Input sheet(dashboard)'!$D$28,SUM(F680:F691)/12*'Input sheet(dashboard)'!$D$28)</f>
        <v>3.6475153230436737E-12</v>
      </c>
      <c r="P680" s="3">
        <f t="shared" si="96"/>
        <v>0</v>
      </c>
      <c r="Q680" s="3">
        <f>IF(B680&lt;='Input sheet(dashboard)'!$D$27*12,'Input sheet(dashboard)'!$D$12/12,0)</f>
        <v>0</v>
      </c>
      <c r="R680" s="3">
        <f>IF(B680&lt;='Input sheet(dashboard)'!$D$27*12,('Input sheet(dashboard)'!$D$15/12)*(1+'Input sheet(dashboard)'!$E$22)^Calculations!B680,0)</f>
        <v>0</v>
      </c>
      <c r="S680" s="3">
        <f>IF(B680&lt;='Input sheet(dashboard)'!$D$27*12,(E680+G680+K680+L680-O680+M680+Q680+R680),0)</f>
        <v>0</v>
      </c>
      <c r="T680" s="3">
        <f>IF(B680&lt;='Input sheet(dashboard)'!$D$27*12,IF(D680=12,SUM(S669:S680),0),0)</f>
        <v>0</v>
      </c>
      <c r="U680" s="3">
        <f>IF(B680&lt;='Input sheet(dashboard)'!$D$27*12,IF(S680&lt;AD680,AD680-S680,0),0)</f>
        <v>0</v>
      </c>
      <c r="V680" s="3">
        <f>IF(B680&lt;='Input sheet(dashboard)'!$D$27*12,V679*(1+'Input sheet(dashboard)'!$E$25)+U680,0)</f>
        <v>0</v>
      </c>
      <c r="W680" s="17">
        <f>IF(B680&lt;='Input sheet(dashboard)'!$D$27*12,J680-I680+V680-N680,0)</f>
        <v>0</v>
      </c>
      <c r="X680" s="3">
        <f>IF(B680&lt;='Input sheet(dashboard)'!$D$27*12,'Input sheet(dashboard)'!$D$17*(1+'Input sheet(dashboard)'!$E$23)^(B680-1),0)</f>
        <v>0</v>
      </c>
      <c r="Y680" s="3"/>
      <c r="Z680" s="18"/>
      <c r="AA680" s="18"/>
      <c r="AB680" s="3">
        <f>IF(B680=1,'Input sheet(dashboard)'!$D$18*Calculations!X680,IF(Calculations!B680=12*'Input sheet(dashboard)'!$D$27,'Input sheet(dashboard)'!$D$18*-Calculations!X680,0))</f>
        <v>0</v>
      </c>
      <c r="AC680" s="3">
        <f>IF(B680&lt;='Input sheet(dashboard)'!$D$27*12,IF(MOD(B679,'Input sheet(dashboard)'!$D$19*12),0,'Input sheet(dashboard)'!$D$20*(1+'Input sheet(dashboard)'!$E$22)^Calculations!B680),0)</f>
        <v>0</v>
      </c>
      <c r="AD680" s="17">
        <f t="shared" si="93"/>
        <v>0</v>
      </c>
      <c r="AE680" s="17">
        <f>IF(B680&lt;='Input sheet(dashboard)'!$D$27*12,IF(D680=12,SUM(AD669:AD680),0),0)</f>
        <v>0</v>
      </c>
      <c r="AF680" s="17">
        <f t="shared" si="94"/>
        <v>0</v>
      </c>
      <c r="AG680" s="17">
        <f t="shared" si="95"/>
        <v>0</v>
      </c>
      <c r="AH680" s="3" t="str">
        <f>IF(B680&lt;='Input sheet(dashboard)'!$D$27*12,AH679*(1+'Input sheet(dashboard)'!$E$25)+AG680," ")</f>
        <v xml:space="preserve"> </v>
      </c>
    </row>
    <row r="681" spans="2:34">
      <c r="B681">
        <f t="shared" si="90"/>
        <v>678</v>
      </c>
      <c r="C681">
        <f t="shared" si="97"/>
        <v>57</v>
      </c>
      <c r="D681">
        <f t="shared" si="98"/>
        <v>6</v>
      </c>
      <c r="E681" s="15">
        <f>IF(C681&lt;='Input sheet(dashboard)'!$D$6, -PMT('Input sheet(dashboard)'!$E$5,'Input sheet(dashboard)'!$D$6*12,'Input sheet(dashboard)'!$D$3*'Input sheet(dashboard)'!$D$4),0)</f>
        <v>0</v>
      </c>
      <c r="F681" s="3">
        <f>I680*'Input sheet(dashboard)'!$E$5</f>
        <v>2.39202324097546E-11</v>
      </c>
      <c r="G681" s="3">
        <f>IF(C681&lt;='Input sheet(dashboard)'!$D$6,E681*'Input sheet(dashboard)'!$D$7,0)</f>
        <v>0</v>
      </c>
      <c r="H681" s="3">
        <f t="shared" si="91"/>
        <v>-2.39202324097546E-11</v>
      </c>
      <c r="I681" s="3">
        <f t="shared" si="92"/>
        <v>6.5903820268769915E-9</v>
      </c>
      <c r="J681" s="3">
        <f>IF(B681&lt;='Input sheet(dashboard)'!$D$27*12,'Input sheet(dashboard)'!$D$3*(1+'Input sheet(dashboard)'!$E$24)^B681,0)</f>
        <v>0</v>
      </c>
      <c r="K681" s="3">
        <f>IF(B681&lt;='Input sheet(dashboard)'!$D$27*12,J681*'Input sheet(dashboard)'!$E$8,0)</f>
        <v>0</v>
      </c>
      <c r="L681" s="3">
        <f>IF(B681&lt;='Input sheet(dashboard)'!$D$27*12,'Input sheet(dashboard)'!$D$9*(1+'Input sheet(dashboard)'!$E$22)^B681,0)</f>
        <v>0</v>
      </c>
      <c r="M681" s="3">
        <f>IF(B681=1,'Input sheet(dashboard)'!$D$3*'Input sheet(dashboard)'!$D$10,0)</f>
        <v>0</v>
      </c>
      <c r="N681" s="3">
        <f>IF(B681='Input sheet(dashboard)'!$D$27*12,J681*'Input sheet(dashboard)'!$D$11,0)</f>
        <v>0</v>
      </c>
      <c r="O681" s="3">
        <f>IF(SUM(F681:F692)&gt;=150000,150000/12*'Input sheet(dashboard)'!$D$28,SUM(F681:F692)/12*'Input sheet(dashboard)'!$D$28)</f>
        <v>3.6608024504155053E-12</v>
      </c>
      <c r="P681" s="3">
        <f t="shared" si="96"/>
        <v>0</v>
      </c>
      <c r="Q681" s="3">
        <f>IF(B681&lt;='Input sheet(dashboard)'!$D$27*12,'Input sheet(dashboard)'!$D$12/12,0)</f>
        <v>0</v>
      </c>
      <c r="R681" s="3">
        <f>IF(B681&lt;='Input sheet(dashboard)'!$D$27*12,('Input sheet(dashboard)'!$D$15/12)*(1+'Input sheet(dashboard)'!$E$22)^Calculations!B681,0)</f>
        <v>0</v>
      </c>
      <c r="S681" s="3">
        <f>IF(B681&lt;='Input sheet(dashboard)'!$D$27*12,(E681+G681+K681+L681-O681+M681+Q681+R681),0)</f>
        <v>0</v>
      </c>
      <c r="T681" s="3">
        <f>IF(B681&lt;='Input sheet(dashboard)'!$D$27*12,IF(D681=12,SUM(S670:S681),0),0)</f>
        <v>0</v>
      </c>
      <c r="U681" s="3">
        <f>IF(B681&lt;='Input sheet(dashboard)'!$D$27*12,IF(S681&lt;AD681,AD681-S681,0),0)</f>
        <v>0</v>
      </c>
      <c r="V681" s="3">
        <f>IF(B681&lt;='Input sheet(dashboard)'!$D$27*12,V680*(1+'Input sheet(dashboard)'!$E$25)+U681,0)</f>
        <v>0</v>
      </c>
      <c r="W681" s="17">
        <f>IF(B681&lt;='Input sheet(dashboard)'!$D$27*12,J681-I681+V681-N681,0)</f>
        <v>0</v>
      </c>
      <c r="X681" s="3">
        <f>IF(B681&lt;='Input sheet(dashboard)'!$D$27*12,'Input sheet(dashboard)'!$D$17*(1+'Input sheet(dashboard)'!$E$23)^(B681-1),0)</f>
        <v>0</v>
      </c>
      <c r="Y681" s="3"/>
      <c r="Z681" s="18"/>
      <c r="AA681" s="18"/>
      <c r="AB681" s="3">
        <f>IF(B681=1,'Input sheet(dashboard)'!$D$18*Calculations!X681,IF(Calculations!B681=12*'Input sheet(dashboard)'!$D$27,'Input sheet(dashboard)'!$D$18*-Calculations!X681,0))</f>
        <v>0</v>
      </c>
      <c r="AC681" s="3">
        <f>IF(B681&lt;='Input sheet(dashboard)'!$D$27*12,IF(MOD(B680,'Input sheet(dashboard)'!$D$19*12),0,'Input sheet(dashboard)'!$D$20*(1+'Input sheet(dashboard)'!$E$22)^Calculations!B681),0)</f>
        <v>0</v>
      </c>
      <c r="AD681" s="17">
        <f t="shared" si="93"/>
        <v>0</v>
      </c>
      <c r="AE681" s="17">
        <f>IF(B681&lt;='Input sheet(dashboard)'!$D$27*12,IF(D681=12,SUM(AD670:AD681),0),0)</f>
        <v>0</v>
      </c>
      <c r="AF681" s="17">
        <f t="shared" si="94"/>
        <v>0</v>
      </c>
      <c r="AG681" s="17">
        <f t="shared" si="95"/>
        <v>0</v>
      </c>
      <c r="AH681" s="3" t="str">
        <f>IF(B681&lt;='Input sheet(dashboard)'!$D$27*12,AH680*(1+'Input sheet(dashboard)'!$E$25)+AG681," ")</f>
        <v xml:space="preserve"> </v>
      </c>
    </row>
    <row r="682" spans="2:34">
      <c r="B682">
        <f t="shared" si="90"/>
        <v>679</v>
      </c>
      <c r="C682">
        <f t="shared" si="97"/>
        <v>57</v>
      </c>
      <c r="D682">
        <f t="shared" si="98"/>
        <v>7</v>
      </c>
      <c r="E682" s="15">
        <f>IF(C682&lt;='Input sheet(dashboard)'!$D$6, -PMT('Input sheet(dashboard)'!$E$5,'Input sheet(dashboard)'!$D$6*12,'Input sheet(dashboard)'!$D$3*'Input sheet(dashboard)'!$D$4),0)</f>
        <v>0</v>
      </c>
      <c r="F682" s="3">
        <f>I681*'Input sheet(dashboard)'!$E$5</f>
        <v>2.4007368760569705E-11</v>
      </c>
      <c r="G682" s="3">
        <f>IF(C682&lt;='Input sheet(dashboard)'!$D$6,E682*'Input sheet(dashboard)'!$D$7,0)</f>
        <v>0</v>
      </c>
      <c r="H682" s="3">
        <f t="shared" si="91"/>
        <v>-2.4007368760569705E-11</v>
      </c>
      <c r="I682" s="3">
        <f t="shared" si="92"/>
        <v>6.6143893956375609E-9</v>
      </c>
      <c r="J682" s="3">
        <f>IF(B682&lt;='Input sheet(dashboard)'!$D$27*12,'Input sheet(dashboard)'!$D$3*(1+'Input sheet(dashboard)'!$E$24)^B682,0)</f>
        <v>0</v>
      </c>
      <c r="K682" s="3">
        <f>IF(B682&lt;='Input sheet(dashboard)'!$D$27*12,J682*'Input sheet(dashboard)'!$E$8,0)</f>
        <v>0</v>
      </c>
      <c r="L682" s="3">
        <f>IF(B682&lt;='Input sheet(dashboard)'!$D$27*12,'Input sheet(dashboard)'!$D$9*(1+'Input sheet(dashboard)'!$E$22)^B682,0)</f>
        <v>0</v>
      </c>
      <c r="M682" s="3">
        <f>IF(B682=1,'Input sheet(dashboard)'!$D$3*'Input sheet(dashboard)'!$D$10,0)</f>
        <v>0</v>
      </c>
      <c r="N682" s="3">
        <f>IF(B682='Input sheet(dashboard)'!$D$27*12,J682*'Input sheet(dashboard)'!$D$11,0)</f>
        <v>0</v>
      </c>
      <c r="O682" s="3">
        <f>IF(SUM(F682:F693)&gt;=150000,150000/12*'Input sheet(dashboard)'!$D$28,SUM(F682:F693)/12*'Input sheet(dashboard)'!$D$28)</f>
        <v>3.6741379799839437E-12</v>
      </c>
      <c r="P682" s="3">
        <f t="shared" si="96"/>
        <v>0</v>
      </c>
      <c r="Q682" s="3">
        <f>IF(B682&lt;='Input sheet(dashboard)'!$D$27*12,'Input sheet(dashboard)'!$D$12/12,0)</f>
        <v>0</v>
      </c>
      <c r="R682" s="3">
        <f>IF(B682&lt;='Input sheet(dashboard)'!$D$27*12,('Input sheet(dashboard)'!$D$15/12)*(1+'Input sheet(dashboard)'!$E$22)^Calculations!B682,0)</f>
        <v>0</v>
      </c>
      <c r="S682" s="3">
        <f>IF(B682&lt;='Input sheet(dashboard)'!$D$27*12,(E682+G682+K682+L682-O682+M682+Q682+R682),0)</f>
        <v>0</v>
      </c>
      <c r="T682" s="3">
        <f>IF(B682&lt;='Input sheet(dashboard)'!$D$27*12,IF(D682=12,SUM(S671:S682),0),0)</f>
        <v>0</v>
      </c>
      <c r="U682" s="3">
        <f>IF(B682&lt;='Input sheet(dashboard)'!$D$27*12,IF(S682&lt;AD682,AD682-S682,0),0)</f>
        <v>0</v>
      </c>
      <c r="V682" s="3">
        <f>IF(B682&lt;='Input sheet(dashboard)'!$D$27*12,V681*(1+'Input sheet(dashboard)'!$E$25)+U682,0)</f>
        <v>0</v>
      </c>
      <c r="W682" s="17">
        <f>IF(B682&lt;='Input sheet(dashboard)'!$D$27*12,J682-I682+V682-N682,0)</f>
        <v>0</v>
      </c>
      <c r="X682" s="3">
        <f>IF(B682&lt;='Input sheet(dashboard)'!$D$27*12,'Input sheet(dashboard)'!$D$17*(1+'Input sheet(dashboard)'!$E$23)^(B682-1),0)</f>
        <v>0</v>
      </c>
      <c r="Y682" s="3"/>
      <c r="Z682" s="18"/>
      <c r="AA682" s="18"/>
      <c r="AB682" s="3">
        <f>IF(B682=1,'Input sheet(dashboard)'!$D$18*Calculations!X682,IF(Calculations!B682=12*'Input sheet(dashboard)'!$D$27,'Input sheet(dashboard)'!$D$18*-Calculations!X682,0))</f>
        <v>0</v>
      </c>
      <c r="AC682" s="3">
        <f>IF(B682&lt;='Input sheet(dashboard)'!$D$27*12,IF(MOD(B681,'Input sheet(dashboard)'!$D$19*12),0,'Input sheet(dashboard)'!$D$20*(1+'Input sheet(dashboard)'!$E$22)^Calculations!B682),0)</f>
        <v>0</v>
      </c>
      <c r="AD682" s="17">
        <f t="shared" si="93"/>
        <v>0</v>
      </c>
      <c r="AE682" s="17">
        <f>IF(B682&lt;='Input sheet(dashboard)'!$D$27*12,IF(D682=12,SUM(AD671:AD682),0),0)</f>
        <v>0</v>
      </c>
      <c r="AF682" s="17">
        <f t="shared" si="94"/>
        <v>0</v>
      </c>
      <c r="AG682" s="17">
        <f t="shared" si="95"/>
        <v>0</v>
      </c>
      <c r="AH682" s="3" t="str">
        <f>IF(B682&lt;='Input sheet(dashboard)'!$D$27*12,AH681*(1+'Input sheet(dashboard)'!$E$25)+AG682," ")</f>
        <v xml:space="preserve"> </v>
      </c>
    </row>
    <row r="683" spans="2:34">
      <c r="B683">
        <f t="shared" si="90"/>
        <v>680</v>
      </c>
      <c r="C683">
        <f t="shared" si="97"/>
        <v>57</v>
      </c>
      <c r="D683">
        <f t="shared" si="98"/>
        <v>8</v>
      </c>
      <c r="E683" s="15">
        <f>IF(C683&lt;='Input sheet(dashboard)'!$D$6, -PMT('Input sheet(dashboard)'!$E$5,'Input sheet(dashboard)'!$D$6*12,'Input sheet(dashboard)'!$D$3*'Input sheet(dashboard)'!$D$4),0)</f>
        <v>0</v>
      </c>
      <c r="F683" s="3">
        <f>I682*'Input sheet(dashboard)'!$E$5</f>
        <v>2.4094822530693422E-11</v>
      </c>
      <c r="G683" s="3">
        <f>IF(C683&lt;='Input sheet(dashboard)'!$D$6,E683*'Input sheet(dashboard)'!$D$7,0)</f>
        <v>0</v>
      </c>
      <c r="H683" s="3">
        <f t="shared" si="91"/>
        <v>-2.4094822530693422E-11</v>
      </c>
      <c r="I683" s="3">
        <f t="shared" si="92"/>
        <v>6.6384842181682546E-9</v>
      </c>
      <c r="J683" s="3">
        <f>IF(B683&lt;='Input sheet(dashboard)'!$D$27*12,'Input sheet(dashboard)'!$D$3*(1+'Input sheet(dashboard)'!$E$24)^B683,0)</f>
        <v>0</v>
      </c>
      <c r="K683" s="3">
        <f>IF(B683&lt;='Input sheet(dashboard)'!$D$27*12,J683*'Input sheet(dashboard)'!$E$8,0)</f>
        <v>0</v>
      </c>
      <c r="L683" s="3">
        <f>IF(B683&lt;='Input sheet(dashboard)'!$D$27*12,'Input sheet(dashboard)'!$D$9*(1+'Input sheet(dashboard)'!$E$22)^B683,0)</f>
        <v>0</v>
      </c>
      <c r="M683" s="3">
        <f>IF(B683=1,'Input sheet(dashboard)'!$D$3*'Input sheet(dashboard)'!$D$10,0)</f>
        <v>0</v>
      </c>
      <c r="N683" s="3">
        <f>IF(B683='Input sheet(dashboard)'!$D$27*12,J683*'Input sheet(dashboard)'!$D$11,0)</f>
        <v>0</v>
      </c>
      <c r="O683" s="3">
        <f>IF(SUM(F683:F694)&gt;=150000,150000/12*'Input sheet(dashboard)'!$D$28,SUM(F683:F694)/12*'Input sheet(dashboard)'!$D$28)</f>
        <v>3.6875220880679617E-12</v>
      </c>
      <c r="P683" s="3">
        <f t="shared" si="96"/>
        <v>0</v>
      </c>
      <c r="Q683" s="3">
        <f>IF(B683&lt;='Input sheet(dashboard)'!$D$27*12,'Input sheet(dashboard)'!$D$12/12,0)</f>
        <v>0</v>
      </c>
      <c r="R683" s="3">
        <f>IF(B683&lt;='Input sheet(dashboard)'!$D$27*12,('Input sheet(dashboard)'!$D$15/12)*(1+'Input sheet(dashboard)'!$E$22)^Calculations!B683,0)</f>
        <v>0</v>
      </c>
      <c r="S683" s="3">
        <f>IF(B683&lt;='Input sheet(dashboard)'!$D$27*12,(E683+G683+K683+L683-O683+M683+Q683+R683),0)</f>
        <v>0</v>
      </c>
      <c r="T683" s="3">
        <f>IF(B683&lt;='Input sheet(dashboard)'!$D$27*12,IF(D683=12,SUM(S672:S683),0),0)</f>
        <v>0</v>
      </c>
      <c r="U683" s="3">
        <f>IF(B683&lt;='Input sheet(dashboard)'!$D$27*12,IF(S683&lt;AD683,AD683-S683,0),0)</f>
        <v>0</v>
      </c>
      <c r="V683" s="3">
        <f>IF(B683&lt;='Input sheet(dashboard)'!$D$27*12,V682*(1+'Input sheet(dashboard)'!$E$25)+U683,0)</f>
        <v>0</v>
      </c>
      <c r="W683" s="17">
        <f>IF(B683&lt;='Input sheet(dashboard)'!$D$27*12,J683-I683+V683-N683,0)</f>
        <v>0</v>
      </c>
      <c r="X683" s="3">
        <f>IF(B683&lt;='Input sheet(dashboard)'!$D$27*12,'Input sheet(dashboard)'!$D$17*(1+'Input sheet(dashboard)'!$E$23)^(B683-1),0)</f>
        <v>0</v>
      </c>
      <c r="Y683" s="3"/>
      <c r="Z683" s="18"/>
      <c r="AA683" s="18"/>
      <c r="AB683" s="3">
        <f>IF(B683=1,'Input sheet(dashboard)'!$D$18*Calculations!X683,IF(Calculations!B683=12*'Input sheet(dashboard)'!$D$27,'Input sheet(dashboard)'!$D$18*-Calculations!X683,0))</f>
        <v>0</v>
      </c>
      <c r="AC683" s="3">
        <f>IF(B683&lt;='Input sheet(dashboard)'!$D$27*12,IF(MOD(B682,'Input sheet(dashboard)'!$D$19*12),0,'Input sheet(dashboard)'!$D$20*(1+'Input sheet(dashboard)'!$E$22)^Calculations!B683),0)</f>
        <v>0</v>
      </c>
      <c r="AD683" s="17">
        <f t="shared" si="93"/>
        <v>0</v>
      </c>
      <c r="AE683" s="17">
        <f>IF(B683&lt;='Input sheet(dashboard)'!$D$27*12,IF(D683=12,SUM(AD672:AD683),0),0)</f>
        <v>0</v>
      </c>
      <c r="AF683" s="17">
        <f t="shared" si="94"/>
        <v>0</v>
      </c>
      <c r="AG683" s="17">
        <f t="shared" si="95"/>
        <v>0</v>
      </c>
      <c r="AH683" s="3" t="str">
        <f>IF(B683&lt;='Input sheet(dashboard)'!$D$27*12,AH682*(1+'Input sheet(dashboard)'!$E$25)+AG683," ")</f>
        <v xml:space="preserve"> </v>
      </c>
    </row>
    <row r="684" spans="2:34">
      <c r="B684">
        <f t="shared" si="90"/>
        <v>681</v>
      </c>
      <c r="C684">
        <f t="shared" si="97"/>
        <v>57</v>
      </c>
      <c r="D684">
        <f t="shared" si="98"/>
        <v>9</v>
      </c>
      <c r="E684" s="15">
        <f>IF(C684&lt;='Input sheet(dashboard)'!$D$6, -PMT('Input sheet(dashboard)'!$E$5,'Input sheet(dashboard)'!$D$6*12,'Input sheet(dashboard)'!$D$3*'Input sheet(dashboard)'!$D$4),0)</f>
        <v>0</v>
      </c>
      <c r="F684" s="3">
        <f>I683*'Input sheet(dashboard)'!$E$5</f>
        <v>2.4182594876417203E-11</v>
      </c>
      <c r="G684" s="3">
        <f>IF(C684&lt;='Input sheet(dashboard)'!$D$6,E684*'Input sheet(dashboard)'!$D$7,0)</f>
        <v>0</v>
      </c>
      <c r="H684" s="3">
        <f t="shared" si="91"/>
        <v>-2.4182594876417203E-11</v>
      </c>
      <c r="I684" s="3">
        <f t="shared" si="92"/>
        <v>6.6626668130446717E-9</v>
      </c>
      <c r="J684" s="3">
        <f>IF(B684&lt;='Input sheet(dashboard)'!$D$27*12,'Input sheet(dashboard)'!$D$3*(1+'Input sheet(dashboard)'!$E$24)^B684,0)</f>
        <v>0</v>
      </c>
      <c r="K684" s="3">
        <f>IF(B684&lt;='Input sheet(dashboard)'!$D$27*12,J684*'Input sheet(dashboard)'!$E$8,0)</f>
        <v>0</v>
      </c>
      <c r="L684" s="3">
        <f>IF(B684&lt;='Input sheet(dashboard)'!$D$27*12,'Input sheet(dashboard)'!$D$9*(1+'Input sheet(dashboard)'!$E$22)^B684,0)</f>
        <v>0</v>
      </c>
      <c r="M684" s="3">
        <f>IF(B684=1,'Input sheet(dashboard)'!$D$3*'Input sheet(dashboard)'!$D$10,0)</f>
        <v>0</v>
      </c>
      <c r="N684" s="3">
        <f>IF(B684='Input sheet(dashboard)'!$D$27*12,J684*'Input sheet(dashboard)'!$D$11,0)</f>
        <v>0</v>
      </c>
      <c r="O684" s="3">
        <f>IF(SUM(F684:F695)&gt;=150000,150000/12*'Input sheet(dashboard)'!$D$28,SUM(F684:F695)/12*'Input sheet(dashboard)'!$D$28)</f>
        <v>3.7009549516288232E-12</v>
      </c>
      <c r="P684" s="3">
        <f t="shared" si="96"/>
        <v>0</v>
      </c>
      <c r="Q684" s="3">
        <f>IF(B684&lt;='Input sheet(dashboard)'!$D$27*12,'Input sheet(dashboard)'!$D$12/12,0)</f>
        <v>0</v>
      </c>
      <c r="R684" s="3">
        <f>IF(B684&lt;='Input sheet(dashboard)'!$D$27*12,('Input sheet(dashboard)'!$D$15/12)*(1+'Input sheet(dashboard)'!$E$22)^Calculations!B684,0)</f>
        <v>0</v>
      </c>
      <c r="S684" s="3">
        <f>IF(B684&lt;='Input sheet(dashboard)'!$D$27*12,(E684+G684+K684+L684-O684+M684+Q684+R684),0)</f>
        <v>0</v>
      </c>
      <c r="T684" s="3">
        <f>IF(B684&lt;='Input sheet(dashboard)'!$D$27*12,IF(D684=12,SUM(S673:S684),0),0)</f>
        <v>0</v>
      </c>
      <c r="U684" s="3">
        <f>IF(B684&lt;='Input sheet(dashboard)'!$D$27*12,IF(S684&lt;AD684,AD684-S684,0),0)</f>
        <v>0</v>
      </c>
      <c r="V684" s="3">
        <f>IF(B684&lt;='Input sheet(dashboard)'!$D$27*12,V683*(1+'Input sheet(dashboard)'!$E$25)+U684,0)</f>
        <v>0</v>
      </c>
      <c r="W684" s="17">
        <f>IF(B684&lt;='Input sheet(dashboard)'!$D$27*12,J684-I684+V684-N684,0)</f>
        <v>0</v>
      </c>
      <c r="X684" s="3">
        <f>IF(B684&lt;='Input sheet(dashboard)'!$D$27*12,'Input sheet(dashboard)'!$D$17*(1+'Input sheet(dashboard)'!$E$23)^(B684-1),0)</f>
        <v>0</v>
      </c>
      <c r="Y684" s="3"/>
      <c r="Z684" s="18"/>
      <c r="AA684" s="18"/>
      <c r="AB684" s="3">
        <f>IF(B684=1,'Input sheet(dashboard)'!$D$18*Calculations!X684,IF(Calculations!B684=12*'Input sheet(dashboard)'!$D$27,'Input sheet(dashboard)'!$D$18*-Calculations!X684,0))</f>
        <v>0</v>
      </c>
      <c r="AC684" s="3">
        <f>IF(B684&lt;='Input sheet(dashboard)'!$D$27*12,IF(MOD(B683,'Input sheet(dashboard)'!$D$19*12),0,'Input sheet(dashboard)'!$D$20*(1+'Input sheet(dashboard)'!$E$22)^Calculations!B684),0)</f>
        <v>0</v>
      </c>
      <c r="AD684" s="17">
        <f t="shared" si="93"/>
        <v>0</v>
      </c>
      <c r="AE684" s="17">
        <f>IF(B684&lt;='Input sheet(dashboard)'!$D$27*12,IF(D684=12,SUM(AD673:AD684),0),0)</f>
        <v>0</v>
      </c>
      <c r="AF684" s="17">
        <f t="shared" si="94"/>
        <v>0</v>
      </c>
      <c r="AG684" s="17">
        <f t="shared" si="95"/>
        <v>0</v>
      </c>
      <c r="AH684" s="3" t="str">
        <f>IF(B684&lt;='Input sheet(dashboard)'!$D$27*12,AH683*(1+'Input sheet(dashboard)'!$E$25)+AG684," ")</f>
        <v xml:space="preserve"> </v>
      </c>
    </row>
    <row r="685" spans="2:34">
      <c r="B685">
        <f t="shared" si="90"/>
        <v>682</v>
      </c>
      <c r="C685">
        <f t="shared" si="97"/>
        <v>57</v>
      </c>
      <c r="D685">
        <f t="shared" si="98"/>
        <v>10</v>
      </c>
      <c r="E685" s="15">
        <f>IF(C685&lt;='Input sheet(dashboard)'!$D$6, -PMT('Input sheet(dashboard)'!$E$5,'Input sheet(dashboard)'!$D$6*12,'Input sheet(dashboard)'!$D$3*'Input sheet(dashboard)'!$D$4),0)</f>
        <v>0</v>
      </c>
      <c r="F685" s="3">
        <f>I684*'Input sheet(dashboard)'!$E$5</f>
        <v>2.4270686958244624E-11</v>
      </c>
      <c r="G685" s="3">
        <f>IF(C685&lt;='Input sheet(dashboard)'!$D$6,E685*'Input sheet(dashboard)'!$D$7,0)</f>
        <v>0</v>
      </c>
      <c r="H685" s="3">
        <f t="shared" si="91"/>
        <v>-2.4270686958244624E-11</v>
      </c>
      <c r="I685" s="3">
        <f t="shared" si="92"/>
        <v>6.6869375000029163E-9</v>
      </c>
      <c r="J685" s="3">
        <f>IF(B685&lt;='Input sheet(dashboard)'!$D$27*12,'Input sheet(dashboard)'!$D$3*(1+'Input sheet(dashboard)'!$E$24)^B685,0)</f>
        <v>0</v>
      </c>
      <c r="K685" s="3">
        <f>IF(B685&lt;='Input sheet(dashboard)'!$D$27*12,J685*'Input sheet(dashboard)'!$E$8,0)</f>
        <v>0</v>
      </c>
      <c r="L685" s="3">
        <f>IF(B685&lt;='Input sheet(dashboard)'!$D$27*12,'Input sheet(dashboard)'!$D$9*(1+'Input sheet(dashboard)'!$E$22)^B685,0)</f>
        <v>0</v>
      </c>
      <c r="M685" s="3">
        <f>IF(B685=1,'Input sheet(dashboard)'!$D$3*'Input sheet(dashboard)'!$D$10,0)</f>
        <v>0</v>
      </c>
      <c r="N685" s="3">
        <f>IF(B685='Input sheet(dashboard)'!$D$27*12,J685*'Input sheet(dashboard)'!$D$11,0)</f>
        <v>0</v>
      </c>
      <c r="O685" s="3">
        <f>IF(SUM(F685:F696)&gt;=150000,150000/12*'Input sheet(dashboard)'!$D$28,SUM(F685:F696)/12*'Input sheet(dashboard)'!$D$28)</f>
        <v>3.714436748272425E-12</v>
      </c>
      <c r="P685" s="3">
        <f t="shared" si="96"/>
        <v>0</v>
      </c>
      <c r="Q685" s="3">
        <f>IF(B685&lt;='Input sheet(dashboard)'!$D$27*12,'Input sheet(dashboard)'!$D$12/12,0)</f>
        <v>0</v>
      </c>
      <c r="R685" s="3">
        <f>IF(B685&lt;='Input sheet(dashboard)'!$D$27*12,('Input sheet(dashboard)'!$D$15/12)*(1+'Input sheet(dashboard)'!$E$22)^Calculations!B685,0)</f>
        <v>0</v>
      </c>
      <c r="S685" s="3">
        <f>IF(B685&lt;='Input sheet(dashboard)'!$D$27*12,(E685+G685+K685+L685-O685+M685+Q685+R685),0)</f>
        <v>0</v>
      </c>
      <c r="T685" s="3">
        <f>IF(B685&lt;='Input sheet(dashboard)'!$D$27*12,IF(D685=12,SUM(S674:S685),0),0)</f>
        <v>0</v>
      </c>
      <c r="U685" s="3">
        <f>IF(B685&lt;='Input sheet(dashboard)'!$D$27*12,IF(S685&lt;AD685,AD685-S685,0),0)</f>
        <v>0</v>
      </c>
      <c r="V685" s="3">
        <f>IF(B685&lt;='Input sheet(dashboard)'!$D$27*12,V684*(1+'Input sheet(dashboard)'!$E$25)+U685,0)</f>
        <v>0</v>
      </c>
      <c r="W685" s="17">
        <f>IF(B685&lt;='Input sheet(dashboard)'!$D$27*12,J685-I685+V685-N685,0)</f>
        <v>0</v>
      </c>
      <c r="X685" s="3">
        <f>IF(B685&lt;='Input sheet(dashboard)'!$D$27*12,'Input sheet(dashboard)'!$D$17*(1+'Input sheet(dashboard)'!$E$23)^(B685-1),0)</f>
        <v>0</v>
      </c>
      <c r="Y685" s="3"/>
      <c r="Z685" s="18"/>
      <c r="AA685" s="18"/>
      <c r="AB685" s="3">
        <f>IF(B685=1,'Input sheet(dashboard)'!$D$18*Calculations!X685,IF(Calculations!B685=12*'Input sheet(dashboard)'!$D$27,'Input sheet(dashboard)'!$D$18*-Calculations!X685,0))</f>
        <v>0</v>
      </c>
      <c r="AC685" s="3">
        <f>IF(B685&lt;='Input sheet(dashboard)'!$D$27*12,IF(MOD(B684,'Input sheet(dashboard)'!$D$19*12),0,'Input sheet(dashboard)'!$D$20*(1+'Input sheet(dashboard)'!$E$22)^Calculations!B685),0)</f>
        <v>0</v>
      </c>
      <c r="AD685" s="17">
        <f t="shared" si="93"/>
        <v>0</v>
      </c>
      <c r="AE685" s="17">
        <f>IF(B685&lt;='Input sheet(dashboard)'!$D$27*12,IF(D685=12,SUM(AD674:AD685),0),0)</f>
        <v>0</v>
      </c>
      <c r="AF685" s="17">
        <f t="shared" si="94"/>
        <v>0</v>
      </c>
      <c r="AG685" s="17">
        <f t="shared" si="95"/>
        <v>0</v>
      </c>
      <c r="AH685" s="3" t="str">
        <f>IF(B685&lt;='Input sheet(dashboard)'!$D$27*12,AH684*(1+'Input sheet(dashboard)'!$E$25)+AG685," ")</f>
        <v xml:space="preserve"> </v>
      </c>
    </row>
    <row r="686" spans="2:34">
      <c r="B686">
        <f t="shared" si="90"/>
        <v>683</v>
      </c>
      <c r="C686">
        <f t="shared" si="97"/>
        <v>57</v>
      </c>
      <c r="D686">
        <f t="shared" si="98"/>
        <v>11</v>
      </c>
      <c r="E686" s="15">
        <f>IF(C686&lt;='Input sheet(dashboard)'!$D$6, -PMT('Input sheet(dashboard)'!$E$5,'Input sheet(dashboard)'!$D$6*12,'Input sheet(dashboard)'!$D$3*'Input sheet(dashboard)'!$D$4),0)</f>
        <v>0</v>
      </c>
      <c r="F686" s="3">
        <f>I685*'Input sheet(dashboard)'!$E$5</f>
        <v>2.4359099940906729E-11</v>
      </c>
      <c r="G686" s="3">
        <f>IF(C686&lt;='Input sheet(dashboard)'!$D$6,E686*'Input sheet(dashboard)'!$D$7,0)</f>
        <v>0</v>
      </c>
      <c r="H686" s="3">
        <f t="shared" si="91"/>
        <v>-2.4359099940906729E-11</v>
      </c>
      <c r="I686" s="3">
        <f t="shared" si="92"/>
        <v>6.7112965999438228E-9</v>
      </c>
      <c r="J686" s="3">
        <f>IF(B686&lt;='Input sheet(dashboard)'!$D$27*12,'Input sheet(dashboard)'!$D$3*(1+'Input sheet(dashboard)'!$E$24)^B686,0)</f>
        <v>0</v>
      </c>
      <c r="K686" s="3">
        <f>IF(B686&lt;='Input sheet(dashboard)'!$D$27*12,J686*'Input sheet(dashboard)'!$E$8,0)</f>
        <v>0</v>
      </c>
      <c r="L686" s="3">
        <f>IF(B686&lt;='Input sheet(dashboard)'!$D$27*12,'Input sheet(dashboard)'!$D$9*(1+'Input sheet(dashboard)'!$E$22)^B686,0)</f>
        <v>0</v>
      </c>
      <c r="M686" s="3">
        <f>IF(B686=1,'Input sheet(dashboard)'!$D$3*'Input sheet(dashboard)'!$D$10,0)</f>
        <v>0</v>
      </c>
      <c r="N686" s="3">
        <f>IF(B686='Input sheet(dashboard)'!$D$27*12,J686*'Input sheet(dashboard)'!$D$11,0)</f>
        <v>0</v>
      </c>
      <c r="O686" s="3">
        <f>IF(SUM(F686:F697)&gt;=150000,150000/12*'Input sheet(dashboard)'!$D$28,SUM(F686:F697)/12*'Input sheet(dashboard)'!$D$28)</f>
        <v>3.7279676562516471E-12</v>
      </c>
      <c r="P686" s="3">
        <f t="shared" si="96"/>
        <v>0</v>
      </c>
      <c r="Q686" s="3">
        <f>IF(B686&lt;='Input sheet(dashboard)'!$D$27*12,'Input sheet(dashboard)'!$D$12/12,0)</f>
        <v>0</v>
      </c>
      <c r="R686" s="3">
        <f>IF(B686&lt;='Input sheet(dashboard)'!$D$27*12,('Input sheet(dashboard)'!$D$15/12)*(1+'Input sheet(dashboard)'!$E$22)^Calculations!B686,0)</f>
        <v>0</v>
      </c>
      <c r="S686" s="3">
        <f>IF(B686&lt;='Input sheet(dashboard)'!$D$27*12,(E686+G686+K686+L686-O686+M686+Q686+R686),0)</f>
        <v>0</v>
      </c>
      <c r="T686" s="3">
        <f>IF(B686&lt;='Input sheet(dashboard)'!$D$27*12,IF(D686=12,SUM(S675:S686),0),0)</f>
        <v>0</v>
      </c>
      <c r="U686" s="3">
        <f>IF(B686&lt;='Input sheet(dashboard)'!$D$27*12,IF(S686&lt;AD686,AD686-S686,0),0)</f>
        <v>0</v>
      </c>
      <c r="V686" s="3">
        <f>IF(B686&lt;='Input sheet(dashboard)'!$D$27*12,V685*(1+'Input sheet(dashboard)'!$E$25)+U686,0)</f>
        <v>0</v>
      </c>
      <c r="W686" s="17">
        <f>IF(B686&lt;='Input sheet(dashboard)'!$D$27*12,J686-I686+V686-N686,0)</f>
        <v>0</v>
      </c>
      <c r="X686" s="3">
        <f>IF(B686&lt;='Input sheet(dashboard)'!$D$27*12,'Input sheet(dashboard)'!$D$17*(1+'Input sheet(dashboard)'!$E$23)^(B686-1),0)</f>
        <v>0</v>
      </c>
      <c r="Y686" s="3"/>
      <c r="Z686" s="18"/>
      <c r="AA686" s="18"/>
      <c r="AB686" s="3">
        <f>IF(B686=1,'Input sheet(dashboard)'!$D$18*Calculations!X686,IF(Calculations!B686=12*'Input sheet(dashboard)'!$D$27,'Input sheet(dashboard)'!$D$18*-Calculations!X686,0))</f>
        <v>0</v>
      </c>
      <c r="AC686" s="3">
        <f>IF(B686&lt;='Input sheet(dashboard)'!$D$27*12,IF(MOD(B685,'Input sheet(dashboard)'!$D$19*12),0,'Input sheet(dashboard)'!$D$20*(1+'Input sheet(dashboard)'!$E$22)^Calculations!B686),0)</f>
        <v>0</v>
      </c>
      <c r="AD686" s="17">
        <f t="shared" si="93"/>
        <v>0</v>
      </c>
      <c r="AE686" s="17">
        <f>IF(B686&lt;='Input sheet(dashboard)'!$D$27*12,IF(D686=12,SUM(AD675:AD686),0),0)</f>
        <v>0</v>
      </c>
      <c r="AF686" s="17">
        <f t="shared" si="94"/>
        <v>0</v>
      </c>
      <c r="AG686" s="17">
        <f t="shared" si="95"/>
        <v>0</v>
      </c>
      <c r="AH686" s="3" t="str">
        <f>IF(B686&lt;='Input sheet(dashboard)'!$D$27*12,AH685*(1+'Input sheet(dashboard)'!$E$25)+AG686," ")</f>
        <v xml:space="preserve"> </v>
      </c>
    </row>
    <row r="687" spans="2:34">
      <c r="B687">
        <f t="shared" si="90"/>
        <v>684</v>
      </c>
      <c r="C687">
        <f t="shared" si="97"/>
        <v>57</v>
      </c>
      <c r="D687">
        <f t="shared" si="98"/>
        <v>12</v>
      </c>
      <c r="E687" s="15">
        <f>IF(C687&lt;='Input sheet(dashboard)'!$D$6, -PMT('Input sheet(dashboard)'!$E$5,'Input sheet(dashboard)'!$D$6*12,'Input sheet(dashboard)'!$D$3*'Input sheet(dashboard)'!$D$4),0)</f>
        <v>0</v>
      </c>
      <c r="F687" s="3">
        <f>I686*'Input sheet(dashboard)'!$E$5</f>
        <v>2.4447834993377435E-11</v>
      </c>
      <c r="G687" s="3">
        <f>IF(C687&lt;='Input sheet(dashboard)'!$D$6,E687*'Input sheet(dashboard)'!$D$7,0)</f>
        <v>0</v>
      </c>
      <c r="H687" s="3">
        <f t="shared" si="91"/>
        <v>-2.4447834993377435E-11</v>
      </c>
      <c r="I687" s="3">
        <f t="shared" si="92"/>
        <v>6.7357444349372002E-9</v>
      </c>
      <c r="J687" s="3">
        <f>IF(B687&lt;='Input sheet(dashboard)'!$D$27*12,'Input sheet(dashboard)'!$D$3*(1+'Input sheet(dashboard)'!$E$24)^B687,0)</f>
        <v>0</v>
      </c>
      <c r="K687" s="3">
        <f>IF(B687&lt;='Input sheet(dashboard)'!$D$27*12,J687*'Input sheet(dashboard)'!$E$8,0)</f>
        <v>0</v>
      </c>
      <c r="L687" s="3">
        <f>IF(B687&lt;='Input sheet(dashboard)'!$D$27*12,'Input sheet(dashboard)'!$D$9*(1+'Input sheet(dashboard)'!$E$22)^B687,0)</f>
        <v>0</v>
      </c>
      <c r="M687" s="3">
        <f>IF(B687=1,'Input sheet(dashboard)'!$D$3*'Input sheet(dashboard)'!$D$10,0)</f>
        <v>0</v>
      </c>
      <c r="N687" s="3">
        <f>IF(B687='Input sheet(dashboard)'!$D$27*12,J687*'Input sheet(dashboard)'!$D$11,0)</f>
        <v>0</v>
      </c>
      <c r="O687" s="3">
        <f>IF(SUM(F687:F698)&gt;=150000,150000/12*'Input sheet(dashboard)'!$D$28,SUM(F687:F698)/12*'Input sheet(dashboard)'!$D$28)</f>
        <v>3.7415478544687018E-12</v>
      </c>
      <c r="P687" s="3">
        <f t="shared" si="96"/>
        <v>4.6818701971248449E-11</v>
      </c>
      <c r="Q687" s="3">
        <f>IF(B687&lt;='Input sheet(dashboard)'!$D$27*12,'Input sheet(dashboard)'!$D$12/12,0)</f>
        <v>0</v>
      </c>
      <c r="R687" s="3">
        <f>IF(B687&lt;='Input sheet(dashboard)'!$D$27*12,('Input sheet(dashboard)'!$D$15/12)*(1+'Input sheet(dashboard)'!$E$22)^Calculations!B687,0)</f>
        <v>0</v>
      </c>
      <c r="S687" s="3">
        <f>IF(B687&lt;='Input sheet(dashboard)'!$D$27*12,(E687+G687+K687+L687-O687+M687+Q687+R687),0)</f>
        <v>0</v>
      </c>
      <c r="T687" s="3">
        <f>IF(B687&lt;='Input sheet(dashboard)'!$D$27*12,IF(D687=12,SUM(S676:S687),0),0)</f>
        <v>0</v>
      </c>
      <c r="U687" s="3">
        <f>IF(B687&lt;='Input sheet(dashboard)'!$D$27*12,IF(S687&lt;AD687,AD687-S687,0),0)</f>
        <v>0</v>
      </c>
      <c r="V687" s="3">
        <f>IF(B687&lt;='Input sheet(dashboard)'!$D$27*12,V686*(1+'Input sheet(dashboard)'!$E$25)+U687,0)</f>
        <v>0</v>
      </c>
      <c r="W687" s="17">
        <f>IF(B687&lt;='Input sheet(dashboard)'!$D$27*12,J687-I687+V687-N687,0)</f>
        <v>0</v>
      </c>
      <c r="X687" s="3">
        <f>IF(B687&lt;='Input sheet(dashboard)'!$D$27*12,'Input sheet(dashboard)'!$D$17*(1+'Input sheet(dashboard)'!$E$23)^(B687-1),0)</f>
        <v>0</v>
      </c>
      <c r="Y687" s="3"/>
      <c r="Z687" s="18"/>
      <c r="AA687" s="18"/>
      <c r="AB687" s="3">
        <f>IF(B687=1,'Input sheet(dashboard)'!$D$18*Calculations!X687,IF(Calculations!B687=12*'Input sheet(dashboard)'!$D$27,'Input sheet(dashboard)'!$D$18*-Calculations!X687,0))</f>
        <v>0</v>
      </c>
      <c r="AC687" s="3">
        <f>IF(B687&lt;='Input sheet(dashboard)'!$D$27*12,IF(MOD(B686,'Input sheet(dashboard)'!$D$19*12),0,'Input sheet(dashboard)'!$D$20*(1+'Input sheet(dashboard)'!$E$22)^Calculations!B687),0)</f>
        <v>0</v>
      </c>
      <c r="AD687" s="17">
        <f t="shared" si="93"/>
        <v>0</v>
      </c>
      <c r="AE687" s="17">
        <f>IF(B687&lt;='Input sheet(dashboard)'!$D$27*12,IF(D687=12,SUM(AD676:AD687),0),0)</f>
        <v>0</v>
      </c>
      <c r="AF687" s="17">
        <f t="shared" si="94"/>
        <v>0</v>
      </c>
      <c r="AG687" s="17">
        <f t="shared" si="95"/>
        <v>0</v>
      </c>
      <c r="AH687" s="3" t="str">
        <f>IF(B687&lt;='Input sheet(dashboard)'!$D$27*12,AH686*(1+'Input sheet(dashboard)'!$E$25)+AG687," ")</f>
        <v xml:space="preserve"> </v>
      </c>
    </row>
    <row r="688" spans="2:34">
      <c r="B688">
        <f t="shared" si="90"/>
        <v>685</v>
      </c>
      <c r="C688">
        <f t="shared" si="97"/>
        <v>58</v>
      </c>
      <c r="D688">
        <f t="shared" si="98"/>
        <v>1</v>
      </c>
      <c r="E688" s="15">
        <f>IF(C688&lt;='Input sheet(dashboard)'!$D$6, -PMT('Input sheet(dashboard)'!$E$5,'Input sheet(dashboard)'!$D$6*12,'Input sheet(dashboard)'!$D$3*'Input sheet(dashboard)'!$D$4),0)</f>
        <v>0</v>
      </c>
      <c r="F688" s="3">
        <f>I687*'Input sheet(dashboard)'!$E$5</f>
        <v>2.4536893288888977E-11</v>
      </c>
      <c r="G688" s="3">
        <f>IF(C688&lt;='Input sheet(dashboard)'!$D$6,E688*'Input sheet(dashboard)'!$D$7,0)</f>
        <v>0</v>
      </c>
      <c r="H688" s="3">
        <f t="shared" si="91"/>
        <v>-2.4536893288888977E-11</v>
      </c>
      <c r="I688" s="3">
        <f t="shared" si="92"/>
        <v>6.7602813282260893E-9</v>
      </c>
      <c r="J688" s="3">
        <f>IF(B688&lt;='Input sheet(dashboard)'!$D$27*12,'Input sheet(dashboard)'!$D$3*(1+'Input sheet(dashboard)'!$E$24)^B688,0)</f>
        <v>0</v>
      </c>
      <c r="K688" s="3">
        <f>IF(B688&lt;='Input sheet(dashboard)'!$D$27*12,J688*'Input sheet(dashboard)'!$E$8,0)</f>
        <v>0</v>
      </c>
      <c r="L688" s="3">
        <f>IF(B688&lt;='Input sheet(dashboard)'!$D$27*12,'Input sheet(dashboard)'!$D$9*(1+'Input sheet(dashboard)'!$E$22)^B688,0)</f>
        <v>0</v>
      </c>
      <c r="M688" s="3">
        <f>IF(B688=1,'Input sheet(dashboard)'!$D$3*'Input sheet(dashboard)'!$D$10,0)</f>
        <v>0</v>
      </c>
      <c r="N688" s="3">
        <f>IF(B688='Input sheet(dashboard)'!$D$27*12,J688*'Input sheet(dashboard)'!$D$11,0)</f>
        <v>0</v>
      </c>
      <c r="O688" s="3">
        <f>IF(SUM(F688:F699)&gt;=150000,150000/12*'Input sheet(dashboard)'!$D$28,SUM(F688:F699)/12*'Input sheet(dashboard)'!$D$28)</f>
        <v>3.7551775224775094E-12</v>
      </c>
      <c r="P688" s="3">
        <f t="shared" si="96"/>
        <v>0</v>
      </c>
      <c r="Q688" s="3">
        <f>IF(B688&lt;='Input sheet(dashboard)'!$D$27*12,'Input sheet(dashboard)'!$D$12/12,0)</f>
        <v>0</v>
      </c>
      <c r="R688" s="3">
        <f>IF(B688&lt;='Input sheet(dashboard)'!$D$27*12,('Input sheet(dashboard)'!$D$15/12)*(1+'Input sheet(dashboard)'!$E$22)^Calculations!B688,0)</f>
        <v>0</v>
      </c>
      <c r="S688" s="3">
        <f>IF(B688&lt;='Input sheet(dashboard)'!$D$27*12,(E688+G688+K688+L688-O688+M688+Q688+R688),0)</f>
        <v>0</v>
      </c>
      <c r="T688" s="3">
        <f>IF(B688&lt;='Input sheet(dashboard)'!$D$27*12,IF(D688=12,SUM(S677:S688),0),0)</f>
        <v>0</v>
      </c>
      <c r="U688" s="3">
        <f>IF(B688&lt;='Input sheet(dashboard)'!$D$27*12,IF(S688&lt;AD688,AD688-S688,0),0)</f>
        <v>0</v>
      </c>
      <c r="V688" s="3">
        <f>IF(B688&lt;='Input sheet(dashboard)'!$D$27*12,V687*(1+'Input sheet(dashboard)'!$E$25)+U688,0)</f>
        <v>0</v>
      </c>
      <c r="W688" s="17">
        <f>IF(B688&lt;='Input sheet(dashboard)'!$D$27*12,J688-I688+V688-N688,0)</f>
        <v>0</v>
      </c>
      <c r="X688" s="3">
        <f>IF(B688&lt;='Input sheet(dashboard)'!$D$27*12,'Input sheet(dashboard)'!$D$17*(1+'Input sheet(dashboard)'!$E$23)^(B688-1),0)</f>
        <v>0</v>
      </c>
      <c r="Y688" s="3"/>
      <c r="Z688" s="18"/>
      <c r="AA688" s="18"/>
      <c r="AB688" s="3">
        <f>IF(B688=1,'Input sheet(dashboard)'!$D$18*Calculations!X688,IF(Calculations!B688=12*'Input sheet(dashboard)'!$D$27,'Input sheet(dashboard)'!$D$18*-Calculations!X688,0))</f>
        <v>0</v>
      </c>
      <c r="AC688" s="3">
        <f>IF(B688&lt;='Input sheet(dashboard)'!$D$27*12,IF(MOD(B687,'Input sheet(dashboard)'!$D$19*12),0,'Input sheet(dashboard)'!$D$20*(1+'Input sheet(dashboard)'!$E$22)^Calculations!B688),0)</f>
        <v>0</v>
      </c>
      <c r="AD688" s="17">
        <f t="shared" si="93"/>
        <v>0</v>
      </c>
      <c r="AE688" s="17">
        <f>IF(B688&lt;='Input sheet(dashboard)'!$D$27*12,IF(D688=12,SUM(AD677:AD688),0),0)</f>
        <v>0</v>
      </c>
      <c r="AF688" s="17">
        <f t="shared" si="94"/>
        <v>0</v>
      </c>
      <c r="AG688" s="17">
        <f t="shared" si="95"/>
        <v>0</v>
      </c>
      <c r="AH688" s="3" t="str">
        <f>IF(B688&lt;='Input sheet(dashboard)'!$D$27*12,AH687*(1+'Input sheet(dashboard)'!$E$25)+AG688," ")</f>
        <v xml:space="preserve"> </v>
      </c>
    </row>
    <row r="689" spans="2:34">
      <c r="B689">
        <f t="shared" si="90"/>
        <v>686</v>
      </c>
      <c r="C689">
        <f t="shared" si="97"/>
        <v>58</v>
      </c>
      <c r="D689">
        <f t="shared" si="98"/>
        <v>2</v>
      </c>
      <c r="E689" s="15">
        <f>IF(C689&lt;='Input sheet(dashboard)'!$D$6, -PMT('Input sheet(dashboard)'!$E$5,'Input sheet(dashboard)'!$D$6*12,'Input sheet(dashboard)'!$D$3*'Input sheet(dashboard)'!$D$4),0)</f>
        <v>0</v>
      </c>
      <c r="F689" s="3">
        <f>I688*'Input sheet(dashboard)'!$E$5</f>
        <v>2.4626276004947434E-11</v>
      </c>
      <c r="G689" s="3">
        <f>IF(C689&lt;='Input sheet(dashboard)'!$D$6,E689*'Input sheet(dashboard)'!$D$7,0)</f>
        <v>0</v>
      </c>
      <c r="H689" s="3">
        <f t="shared" si="91"/>
        <v>-2.4626276004947434E-11</v>
      </c>
      <c r="I689" s="3">
        <f t="shared" si="92"/>
        <v>6.7849076042310366E-9</v>
      </c>
      <c r="J689" s="3">
        <f>IF(B689&lt;='Input sheet(dashboard)'!$D$27*12,'Input sheet(dashboard)'!$D$3*(1+'Input sheet(dashboard)'!$E$24)^B689,0)</f>
        <v>0</v>
      </c>
      <c r="K689" s="3">
        <f>IF(B689&lt;='Input sheet(dashboard)'!$D$27*12,J689*'Input sheet(dashboard)'!$E$8,0)</f>
        <v>0</v>
      </c>
      <c r="L689" s="3">
        <f>IF(B689&lt;='Input sheet(dashboard)'!$D$27*12,'Input sheet(dashboard)'!$D$9*(1+'Input sheet(dashboard)'!$E$22)^B689,0)</f>
        <v>0</v>
      </c>
      <c r="M689" s="3">
        <f>IF(B689=1,'Input sheet(dashboard)'!$D$3*'Input sheet(dashboard)'!$D$10,0)</f>
        <v>0</v>
      </c>
      <c r="N689" s="3">
        <f>IF(B689='Input sheet(dashboard)'!$D$27*12,J689*'Input sheet(dashboard)'!$D$11,0)</f>
        <v>0</v>
      </c>
      <c r="O689" s="3">
        <f>IF(SUM(F689:F700)&gt;=150000,150000/12*'Input sheet(dashboard)'!$D$28,SUM(F689:F700)/12*'Input sheet(dashboard)'!$D$28)</f>
        <v>3.7688568404860662E-12</v>
      </c>
      <c r="P689" s="3">
        <f t="shared" si="96"/>
        <v>0</v>
      </c>
      <c r="Q689" s="3">
        <f>IF(B689&lt;='Input sheet(dashboard)'!$D$27*12,'Input sheet(dashboard)'!$D$12/12,0)</f>
        <v>0</v>
      </c>
      <c r="R689" s="3">
        <f>IF(B689&lt;='Input sheet(dashboard)'!$D$27*12,('Input sheet(dashboard)'!$D$15/12)*(1+'Input sheet(dashboard)'!$E$22)^Calculations!B689,0)</f>
        <v>0</v>
      </c>
      <c r="S689" s="3">
        <f>IF(B689&lt;='Input sheet(dashboard)'!$D$27*12,(E689+G689+K689+L689-O689+M689+Q689+R689),0)</f>
        <v>0</v>
      </c>
      <c r="T689" s="3">
        <f>IF(B689&lt;='Input sheet(dashboard)'!$D$27*12,IF(D689=12,SUM(S678:S689),0),0)</f>
        <v>0</v>
      </c>
      <c r="U689" s="3">
        <f>IF(B689&lt;='Input sheet(dashboard)'!$D$27*12,IF(S689&lt;AD689,AD689-S689,0),0)</f>
        <v>0</v>
      </c>
      <c r="V689" s="3">
        <f>IF(B689&lt;='Input sheet(dashboard)'!$D$27*12,V688*(1+'Input sheet(dashboard)'!$E$25)+U689,0)</f>
        <v>0</v>
      </c>
      <c r="W689" s="17">
        <f>IF(B689&lt;='Input sheet(dashboard)'!$D$27*12,J689-I689+V689-N689,0)</f>
        <v>0</v>
      </c>
      <c r="X689" s="3">
        <f>IF(B689&lt;='Input sheet(dashboard)'!$D$27*12,'Input sheet(dashboard)'!$D$17*(1+'Input sheet(dashboard)'!$E$23)^(B689-1),0)</f>
        <v>0</v>
      </c>
      <c r="Y689" s="3"/>
      <c r="Z689" s="18"/>
      <c r="AA689" s="18"/>
      <c r="AB689" s="3">
        <f>IF(B689=1,'Input sheet(dashboard)'!$D$18*Calculations!X689,IF(Calculations!B689=12*'Input sheet(dashboard)'!$D$27,'Input sheet(dashboard)'!$D$18*-Calculations!X689,0))</f>
        <v>0</v>
      </c>
      <c r="AC689" s="3">
        <f>IF(B689&lt;='Input sheet(dashboard)'!$D$27*12,IF(MOD(B688,'Input sheet(dashboard)'!$D$19*12),0,'Input sheet(dashboard)'!$D$20*(1+'Input sheet(dashboard)'!$E$22)^Calculations!B689),0)</f>
        <v>0</v>
      </c>
      <c r="AD689" s="17">
        <f t="shared" si="93"/>
        <v>0</v>
      </c>
      <c r="AE689" s="17">
        <f>IF(B689&lt;='Input sheet(dashboard)'!$D$27*12,IF(D689=12,SUM(AD678:AD689),0),0)</f>
        <v>0</v>
      </c>
      <c r="AF689" s="17">
        <f t="shared" si="94"/>
        <v>0</v>
      </c>
      <c r="AG689" s="17">
        <f t="shared" si="95"/>
        <v>0</v>
      </c>
      <c r="AH689" s="3" t="str">
        <f>IF(B689&lt;='Input sheet(dashboard)'!$D$27*12,AH688*(1+'Input sheet(dashboard)'!$E$25)+AG689," ")</f>
        <v xml:space="preserve"> </v>
      </c>
    </row>
    <row r="690" spans="2:34">
      <c r="B690">
        <f t="shared" si="90"/>
        <v>687</v>
      </c>
      <c r="C690">
        <f t="shared" si="97"/>
        <v>58</v>
      </c>
      <c r="D690">
        <f t="shared" si="98"/>
        <v>3</v>
      </c>
      <c r="E690" s="15">
        <f>IF(C690&lt;='Input sheet(dashboard)'!$D$6, -PMT('Input sheet(dashboard)'!$E$5,'Input sheet(dashboard)'!$D$6*12,'Input sheet(dashboard)'!$D$3*'Input sheet(dashboard)'!$D$4),0)</f>
        <v>0</v>
      </c>
      <c r="F690" s="3">
        <f>I689*'Input sheet(dashboard)'!$E$5</f>
        <v>2.4715984323348286E-11</v>
      </c>
      <c r="G690" s="3">
        <f>IF(C690&lt;='Input sheet(dashboard)'!$D$6,E690*'Input sheet(dashboard)'!$D$7,0)</f>
        <v>0</v>
      </c>
      <c r="H690" s="3">
        <f t="shared" si="91"/>
        <v>-2.4715984323348286E-11</v>
      </c>
      <c r="I690" s="3">
        <f t="shared" si="92"/>
        <v>6.8096235885543848E-9</v>
      </c>
      <c r="J690" s="3">
        <f>IF(B690&lt;='Input sheet(dashboard)'!$D$27*12,'Input sheet(dashboard)'!$D$3*(1+'Input sheet(dashboard)'!$E$24)^B690,0)</f>
        <v>0</v>
      </c>
      <c r="K690" s="3">
        <f>IF(B690&lt;='Input sheet(dashboard)'!$D$27*12,J690*'Input sheet(dashboard)'!$E$8,0)</f>
        <v>0</v>
      </c>
      <c r="L690" s="3">
        <f>IF(B690&lt;='Input sheet(dashboard)'!$D$27*12,'Input sheet(dashboard)'!$D$9*(1+'Input sheet(dashboard)'!$E$22)^B690,0)</f>
        <v>0</v>
      </c>
      <c r="M690" s="3">
        <f>IF(B690=1,'Input sheet(dashboard)'!$D$3*'Input sheet(dashboard)'!$D$10,0)</f>
        <v>0</v>
      </c>
      <c r="N690" s="3">
        <f>IF(B690='Input sheet(dashboard)'!$D$27*12,J690*'Input sheet(dashboard)'!$D$11,0)</f>
        <v>0</v>
      </c>
      <c r="O690" s="3">
        <f>IF(SUM(F690:F701)&gt;=150000,150000/12*'Input sheet(dashboard)'!$D$28,SUM(F690:F701)/12*'Input sheet(dashboard)'!$D$28)</f>
        <v>3.7825859893588251E-12</v>
      </c>
      <c r="P690" s="3">
        <f t="shared" si="96"/>
        <v>0</v>
      </c>
      <c r="Q690" s="3">
        <f>IF(B690&lt;='Input sheet(dashboard)'!$D$27*12,'Input sheet(dashboard)'!$D$12/12,0)</f>
        <v>0</v>
      </c>
      <c r="R690" s="3">
        <f>IF(B690&lt;='Input sheet(dashboard)'!$D$27*12,('Input sheet(dashboard)'!$D$15/12)*(1+'Input sheet(dashboard)'!$E$22)^Calculations!B690,0)</f>
        <v>0</v>
      </c>
      <c r="S690" s="3">
        <f>IF(B690&lt;='Input sheet(dashboard)'!$D$27*12,(E690+G690+K690+L690-O690+M690+Q690+R690),0)</f>
        <v>0</v>
      </c>
      <c r="T690" s="3">
        <f>IF(B690&lt;='Input sheet(dashboard)'!$D$27*12,IF(D690=12,SUM(S679:S690),0),0)</f>
        <v>0</v>
      </c>
      <c r="U690" s="3">
        <f>IF(B690&lt;='Input sheet(dashboard)'!$D$27*12,IF(S690&lt;AD690,AD690-S690,0),0)</f>
        <v>0</v>
      </c>
      <c r="V690" s="3">
        <f>IF(B690&lt;='Input sheet(dashboard)'!$D$27*12,V689*(1+'Input sheet(dashboard)'!$E$25)+U690,0)</f>
        <v>0</v>
      </c>
      <c r="W690" s="17">
        <f>IF(B690&lt;='Input sheet(dashboard)'!$D$27*12,J690-I690+V690-N690,0)</f>
        <v>0</v>
      </c>
      <c r="X690" s="3">
        <f>IF(B690&lt;='Input sheet(dashboard)'!$D$27*12,'Input sheet(dashboard)'!$D$17*(1+'Input sheet(dashboard)'!$E$23)^(B690-1),0)</f>
        <v>0</v>
      </c>
      <c r="Y690" s="3"/>
      <c r="Z690" s="18"/>
      <c r="AA690" s="18"/>
      <c r="AB690" s="3">
        <f>IF(B690=1,'Input sheet(dashboard)'!$D$18*Calculations!X690,IF(Calculations!B690=12*'Input sheet(dashboard)'!$D$27,'Input sheet(dashboard)'!$D$18*-Calculations!X690,0))</f>
        <v>0</v>
      </c>
      <c r="AC690" s="3">
        <f>IF(B690&lt;='Input sheet(dashboard)'!$D$27*12,IF(MOD(B689,'Input sheet(dashboard)'!$D$19*12),0,'Input sheet(dashboard)'!$D$20*(1+'Input sheet(dashboard)'!$E$22)^Calculations!B690),0)</f>
        <v>0</v>
      </c>
      <c r="AD690" s="17">
        <f t="shared" si="93"/>
        <v>0</v>
      </c>
      <c r="AE690" s="17">
        <f>IF(B690&lt;='Input sheet(dashboard)'!$D$27*12,IF(D690=12,SUM(AD679:AD690),0),0)</f>
        <v>0</v>
      </c>
      <c r="AF690" s="17">
        <f t="shared" si="94"/>
        <v>0</v>
      </c>
      <c r="AG690" s="17">
        <f t="shared" si="95"/>
        <v>0</v>
      </c>
      <c r="AH690" s="3" t="str">
        <f>IF(B690&lt;='Input sheet(dashboard)'!$D$27*12,AH689*(1+'Input sheet(dashboard)'!$E$25)+AG690," ")</f>
        <v xml:space="preserve"> </v>
      </c>
    </row>
    <row r="691" spans="2:34">
      <c r="B691">
        <f t="shared" si="90"/>
        <v>688</v>
      </c>
      <c r="C691">
        <f t="shared" si="97"/>
        <v>58</v>
      </c>
      <c r="D691">
        <f t="shared" si="98"/>
        <v>4</v>
      </c>
      <c r="E691" s="15">
        <f>IF(C691&lt;='Input sheet(dashboard)'!$D$6, -PMT('Input sheet(dashboard)'!$E$5,'Input sheet(dashboard)'!$D$6*12,'Input sheet(dashboard)'!$D$3*'Input sheet(dashboard)'!$D$4),0)</f>
        <v>0</v>
      </c>
      <c r="F691" s="3">
        <f>I690*'Input sheet(dashboard)'!$E$5</f>
        <v>2.4806019430192049E-11</v>
      </c>
      <c r="G691" s="3">
        <f>IF(C691&lt;='Input sheet(dashboard)'!$D$6,E691*'Input sheet(dashboard)'!$D$7,0)</f>
        <v>0</v>
      </c>
      <c r="H691" s="3">
        <f t="shared" si="91"/>
        <v>-2.4806019430192049E-11</v>
      </c>
      <c r="I691" s="3">
        <f t="shared" si="92"/>
        <v>6.8344296079845766E-9</v>
      </c>
      <c r="J691" s="3">
        <f>IF(B691&lt;='Input sheet(dashboard)'!$D$27*12,'Input sheet(dashboard)'!$D$3*(1+'Input sheet(dashboard)'!$E$24)^B691,0)</f>
        <v>0</v>
      </c>
      <c r="K691" s="3">
        <f>IF(B691&lt;='Input sheet(dashboard)'!$D$27*12,J691*'Input sheet(dashboard)'!$E$8,0)</f>
        <v>0</v>
      </c>
      <c r="L691" s="3">
        <f>IF(B691&lt;='Input sheet(dashboard)'!$D$27*12,'Input sheet(dashboard)'!$D$9*(1+'Input sheet(dashboard)'!$E$22)^B691,0)</f>
        <v>0</v>
      </c>
      <c r="M691" s="3">
        <f>IF(B691=1,'Input sheet(dashboard)'!$D$3*'Input sheet(dashboard)'!$D$10,0)</f>
        <v>0</v>
      </c>
      <c r="N691" s="3">
        <f>IF(B691='Input sheet(dashboard)'!$D$27*12,J691*'Input sheet(dashboard)'!$D$11,0)</f>
        <v>0</v>
      </c>
      <c r="O691" s="3">
        <f>IF(SUM(F691:F702)&gt;=150000,150000/12*'Input sheet(dashboard)'!$D$28,SUM(F691:F702)/12*'Input sheet(dashboard)'!$D$28)</f>
        <v>3.7963651506190909E-12</v>
      </c>
      <c r="P691" s="3">
        <f t="shared" si="96"/>
        <v>0</v>
      </c>
      <c r="Q691" s="3">
        <f>IF(B691&lt;='Input sheet(dashboard)'!$D$27*12,'Input sheet(dashboard)'!$D$12/12,0)</f>
        <v>0</v>
      </c>
      <c r="R691" s="3">
        <f>IF(B691&lt;='Input sheet(dashboard)'!$D$27*12,('Input sheet(dashboard)'!$D$15/12)*(1+'Input sheet(dashboard)'!$E$22)^Calculations!B691,0)</f>
        <v>0</v>
      </c>
      <c r="S691" s="3">
        <f>IF(B691&lt;='Input sheet(dashboard)'!$D$27*12,(E691+G691+K691+L691-O691+M691+Q691+R691),0)</f>
        <v>0</v>
      </c>
      <c r="T691" s="3">
        <f>IF(B691&lt;='Input sheet(dashboard)'!$D$27*12,IF(D691=12,SUM(S680:S691),0),0)</f>
        <v>0</v>
      </c>
      <c r="U691" s="3">
        <f>IF(B691&lt;='Input sheet(dashboard)'!$D$27*12,IF(S691&lt;AD691,AD691-S691,0),0)</f>
        <v>0</v>
      </c>
      <c r="V691" s="3">
        <f>IF(B691&lt;='Input sheet(dashboard)'!$D$27*12,V690*(1+'Input sheet(dashboard)'!$E$25)+U691,0)</f>
        <v>0</v>
      </c>
      <c r="W691" s="17">
        <f>IF(B691&lt;='Input sheet(dashboard)'!$D$27*12,J691-I691+V691-N691,0)</f>
        <v>0</v>
      </c>
      <c r="X691" s="3">
        <f>IF(B691&lt;='Input sheet(dashboard)'!$D$27*12,'Input sheet(dashboard)'!$D$17*(1+'Input sheet(dashboard)'!$E$23)^(B691-1),0)</f>
        <v>0</v>
      </c>
      <c r="Y691" s="3"/>
      <c r="Z691" s="18"/>
      <c r="AA691" s="18"/>
      <c r="AB691" s="3">
        <f>IF(B691=1,'Input sheet(dashboard)'!$D$18*Calculations!X691,IF(Calculations!B691=12*'Input sheet(dashboard)'!$D$27,'Input sheet(dashboard)'!$D$18*-Calculations!X691,0))</f>
        <v>0</v>
      </c>
      <c r="AC691" s="3">
        <f>IF(B691&lt;='Input sheet(dashboard)'!$D$27*12,IF(MOD(B690,'Input sheet(dashboard)'!$D$19*12),0,'Input sheet(dashboard)'!$D$20*(1+'Input sheet(dashboard)'!$E$22)^Calculations!B691),0)</f>
        <v>0</v>
      </c>
      <c r="AD691" s="17">
        <f t="shared" si="93"/>
        <v>0</v>
      </c>
      <c r="AE691" s="17">
        <f>IF(B691&lt;='Input sheet(dashboard)'!$D$27*12,IF(D691=12,SUM(AD680:AD691),0),0)</f>
        <v>0</v>
      </c>
      <c r="AF691" s="17">
        <f t="shared" si="94"/>
        <v>0</v>
      </c>
      <c r="AG691" s="17">
        <f t="shared" si="95"/>
        <v>0</v>
      </c>
      <c r="AH691" s="3" t="str">
        <f>IF(B691&lt;='Input sheet(dashboard)'!$D$27*12,AH690*(1+'Input sheet(dashboard)'!$E$25)+AG691," ")</f>
        <v xml:space="preserve"> </v>
      </c>
    </row>
    <row r="692" spans="2:34">
      <c r="B692">
        <f t="shared" si="90"/>
        <v>689</v>
      </c>
      <c r="C692">
        <f t="shared" si="97"/>
        <v>58</v>
      </c>
      <c r="D692">
        <f t="shared" si="98"/>
        <v>5</v>
      </c>
      <c r="E692" s="15">
        <f>IF(C692&lt;='Input sheet(dashboard)'!$D$6, -PMT('Input sheet(dashboard)'!$E$5,'Input sheet(dashboard)'!$D$6*12,'Input sheet(dashboard)'!$D$3*'Input sheet(dashboard)'!$D$4),0)</f>
        <v>0</v>
      </c>
      <c r="F692" s="3">
        <f>I691*'Input sheet(dashboard)'!$E$5</f>
        <v>2.4896382515899945E-11</v>
      </c>
      <c r="G692" s="3">
        <f>IF(C692&lt;='Input sheet(dashboard)'!$D$6,E692*'Input sheet(dashboard)'!$D$7,0)</f>
        <v>0</v>
      </c>
      <c r="H692" s="3">
        <f t="shared" si="91"/>
        <v>-2.4896382515899945E-11</v>
      </c>
      <c r="I692" s="3">
        <f t="shared" si="92"/>
        <v>6.8593259905004768E-9</v>
      </c>
      <c r="J692" s="3">
        <f>IF(B692&lt;='Input sheet(dashboard)'!$D$27*12,'Input sheet(dashboard)'!$D$3*(1+'Input sheet(dashboard)'!$E$24)^B692,0)</f>
        <v>0</v>
      </c>
      <c r="K692" s="3">
        <f>IF(B692&lt;='Input sheet(dashboard)'!$D$27*12,J692*'Input sheet(dashboard)'!$E$8,0)</f>
        <v>0</v>
      </c>
      <c r="L692" s="3">
        <f>IF(B692&lt;='Input sheet(dashboard)'!$D$27*12,'Input sheet(dashboard)'!$D$9*(1+'Input sheet(dashboard)'!$E$22)^B692,0)</f>
        <v>0</v>
      </c>
      <c r="M692" s="3">
        <f>IF(B692=1,'Input sheet(dashboard)'!$D$3*'Input sheet(dashboard)'!$D$10,0)</f>
        <v>0</v>
      </c>
      <c r="N692" s="3">
        <f>IF(B692='Input sheet(dashboard)'!$D$27*12,J692*'Input sheet(dashboard)'!$D$11,0)</f>
        <v>0</v>
      </c>
      <c r="O692" s="3">
        <f>IF(SUM(F692:F703)&gt;=150000,150000/12*'Input sheet(dashboard)'!$D$28,SUM(F692:F703)/12*'Input sheet(dashboard)'!$D$28)</f>
        <v>3.8101945064514224E-12</v>
      </c>
      <c r="P692" s="3">
        <f t="shared" si="96"/>
        <v>0</v>
      </c>
      <c r="Q692" s="3">
        <f>IF(B692&lt;='Input sheet(dashboard)'!$D$27*12,'Input sheet(dashboard)'!$D$12/12,0)</f>
        <v>0</v>
      </c>
      <c r="R692" s="3">
        <f>IF(B692&lt;='Input sheet(dashboard)'!$D$27*12,('Input sheet(dashboard)'!$D$15/12)*(1+'Input sheet(dashboard)'!$E$22)^Calculations!B692,0)</f>
        <v>0</v>
      </c>
      <c r="S692" s="3">
        <f>IF(B692&lt;='Input sheet(dashboard)'!$D$27*12,(E692+G692+K692+L692-O692+M692+Q692+R692),0)</f>
        <v>0</v>
      </c>
      <c r="T692" s="3">
        <f>IF(B692&lt;='Input sheet(dashboard)'!$D$27*12,IF(D692=12,SUM(S681:S692),0),0)</f>
        <v>0</v>
      </c>
      <c r="U692" s="3">
        <f>IF(B692&lt;='Input sheet(dashboard)'!$D$27*12,IF(S692&lt;AD692,AD692-S692,0),0)</f>
        <v>0</v>
      </c>
      <c r="V692" s="3">
        <f>IF(B692&lt;='Input sheet(dashboard)'!$D$27*12,V691*(1+'Input sheet(dashboard)'!$E$25)+U692,0)</f>
        <v>0</v>
      </c>
      <c r="W692" s="17">
        <f>IF(B692&lt;='Input sheet(dashboard)'!$D$27*12,J692-I692+V692-N692,0)</f>
        <v>0</v>
      </c>
      <c r="X692" s="3">
        <f>IF(B692&lt;='Input sheet(dashboard)'!$D$27*12,'Input sheet(dashboard)'!$D$17*(1+'Input sheet(dashboard)'!$E$23)^(B692-1),0)</f>
        <v>0</v>
      </c>
      <c r="Y692" s="3"/>
      <c r="Z692" s="18"/>
      <c r="AA692" s="18"/>
      <c r="AB692" s="3">
        <f>IF(B692=1,'Input sheet(dashboard)'!$D$18*Calculations!X692,IF(Calculations!B692=12*'Input sheet(dashboard)'!$D$27,'Input sheet(dashboard)'!$D$18*-Calculations!X692,0))</f>
        <v>0</v>
      </c>
      <c r="AC692" s="3">
        <f>IF(B692&lt;='Input sheet(dashboard)'!$D$27*12,IF(MOD(B691,'Input sheet(dashboard)'!$D$19*12),0,'Input sheet(dashboard)'!$D$20*(1+'Input sheet(dashboard)'!$E$22)^Calculations!B692),0)</f>
        <v>0</v>
      </c>
      <c r="AD692" s="17">
        <f t="shared" si="93"/>
        <v>0</v>
      </c>
      <c r="AE692" s="17">
        <f>IF(B692&lt;='Input sheet(dashboard)'!$D$27*12,IF(D692=12,SUM(AD681:AD692),0),0)</f>
        <v>0</v>
      </c>
      <c r="AF692" s="17">
        <f t="shared" si="94"/>
        <v>0</v>
      </c>
      <c r="AG692" s="17">
        <f t="shared" si="95"/>
        <v>0</v>
      </c>
      <c r="AH692" s="3" t="str">
        <f>IF(B692&lt;='Input sheet(dashboard)'!$D$27*12,AH691*(1+'Input sheet(dashboard)'!$E$25)+AG692," ")</f>
        <v xml:space="preserve"> </v>
      </c>
    </row>
    <row r="693" spans="2:34">
      <c r="B693">
        <f t="shared" si="90"/>
        <v>690</v>
      </c>
      <c r="C693">
        <f t="shared" si="97"/>
        <v>58</v>
      </c>
      <c r="D693">
        <f t="shared" si="98"/>
        <v>6</v>
      </c>
      <c r="E693" s="15">
        <f>IF(C693&lt;='Input sheet(dashboard)'!$D$6, -PMT('Input sheet(dashboard)'!$E$5,'Input sheet(dashboard)'!$D$6*12,'Input sheet(dashboard)'!$D$3*'Input sheet(dashboard)'!$D$4),0)</f>
        <v>0</v>
      </c>
      <c r="F693" s="3">
        <f>I692*'Input sheet(dashboard)'!$E$5</f>
        <v>2.498707477522966E-11</v>
      </c>
      <c r="G693" s="3">
        <f>IF(C693&lt;='Input sheet(dashboard)'!$D$6,E693*'Input sheet(dashboard)'!$D$7,0)</f>
        <v>0</v>
      </c>
      <c r="H693" s="3">
        <f t="shared" si="91"/>
        <v>-2.498707477522966E-11</v>
      </c>
      <c r="I693" s="3">
        <f t="shared" si="92"/>
        <v>6.8843130652757068E-9</v>
      </c>
      <c r="J693" s="3">
        <f>IF(B693&lt;='Input sheet(dashboard)'!$D$27*12,'Input sheet(dashboard)'!$D$3*(1+'Input sheet(dashboard)'!$E$24)^B693,0)</f>
        <v>0</v>
      </c>
      <c r="K693" s="3">
        <f>IF(B693&lt;='Input sheet(dashboard)'!$D$27*12,J693*'Input sheet(dashboard)'!$E$8,0)</f>
        <v>0</v>
      </c>
      <c r="L693" s="3">
        <f>IF(B693&lt;='Input sheet(dashboard)'!$D$27*12,'Input sheet(dashboard)'!$D$9*(1+'Input sheet(dashboard)'!$E$22)^B693,0)</f>
        <v>0</v>
      </c>
      <c r="M693" s="3">
        <f>IF(B693=1,'Input sheet(dashboard)'!$D$3*'Input sheet(dashboard)'!$D$10,0)</f>
        <v>0</v>
      </c>
      <c r="N693" s="3">
        <f>IF(B693='Input sheet(dashboard)'!$D$27*12,J693*'Input sheet(dashboard)'!$D$11,0)</f>
        <v>0</v>
      </c>
      <c r="O693" s="3">
        <f>IF(SUM(F693:F704)&gt;=150000,150000/12*'Input sheet(dashboard)'!$D$28,SUM(F693:F704)/12*'Input sheet(dashboard)'!$D$28)</f>
        <v>3.8240742397040376E-12</v>
      </c>
      <c r="P693" s="3">
        <f t="shared" si="96"/>
        <v>0</v>
      </c>
      <c r="Q693" s="3">
        <f>IF(B693&lt;='Input sheet(dashboard)'!$D$27*12,'Input sheet(dashboard)'!$D$12/12,0)</f>
        <v>0</v>
      </c>
      <c r="R693" s="3">
        <f>IF(B693&lt;='Input sheet(dashboard)'!$D$27*12,('Input sheet(dashboard)'!$D$15/12)*(1+'Input sheet(dashboard)'!$E$22)^Calculations!B693,0)</f>
        <v>0</v>
      </c>
      <c r="S693" s="3">
        <f>IF(B693&lt;='Input sheet(dashboard)'!$D$27*12,(E693+G693+K693+L693-O693+M693+Q693+R693),0)</f>
        <v>0</v>
      </c>
      <c r="T693" s="3">
        <f>IF(B693&lt;='Input sheet(dashboard)'!$D$27*12,IF(D693=12,SUM(S682:S693),0),0)</f>
        <v>0</v>
      </c>
      <c r="U693" s="3">
        <f>IF(B693&lt;='Input sheet(dashboard)'!$D$27*12,IF(S693&lt;AD693,AD693-S693,0),0)</f>
        <v>0</v>
      </c>
      <c r="V693" s="3">
        <f>IF(B693&lt;='Input sheet(dashboard)'!$D$27*12,V692*(1+'Input sheet(dashboard)'!$E$25)+U693,0)</f>
        <v>0</v>
      </c>
      <c r="W693" s="17">
        <f>IF(B693&lt;='Input sheet(dashboard)'!$D$27*12,J693-I693+V693-N693,0)</f>
        <v>0</v>
      </c>
      <c r="X693" s="3">
        <f>IF(B693&lt;='Input sheet(dashboard)'!$D$27*12,'Input sheet(dashboard)'!$D$17*(1+'Input sheet(dashboard)'!$E$23)^(B693-1),0)</f>
        <v>0</v>
      </c>
      <c r="Y693" s="3"/>
      <c r="Z693" s="18"/>
      <c r="AA693" s="18"/>
      <c r="AB693" s="3">
        <f>IF(B693=1,'Input sheet(dashboard)'!$D$18*Calculations!X693,IF(Calculations!B693=12*'Input sheet(dashboard)'!$D$27,'Input sheet(dashboard)'!$D$18*-Calculations!X693,0))</f>
        <v>0</v>
      </c>
      <c r="AC693" s="3">
        <f>IF(B693&lt;='Input sheet(dashboard)'!$D$27*12,IF(MOD(B692,'Input sheet(dashboard)'!$D$19*12),0,'Input sheet(dashboard)'!$D$20*(1+'Input sheet(dashboard)'!$E$22)^Calculations!B693),0)</f>
        <v>0</v>
      </c>
      <c r="AD693" s="17">
        <f t="shared" si="93"/>
        <v>0</v>
      </c>
      <c r="AE693" s="17">
        <f>IF(B693&lt;='Input sheet(dashboard)'!$D$27*12,IF(D693=12,SUM(AD682:AD693),0),0)</f>
        <v>0</v>
      </c>
      <c r="AF693" s="17">
        <f t="shared" si="94"/>
        <v>0</v>
      </c>
      <c r="AG693" s="17">
        <f t="shared" si="95"/>
        <v>0</v>
      </c>
      <c r="AH693" s="3" t="str">
        <f>IF(B693&lt;='Input sheet(dashboard)'!$D$27*12,AH692*(1+'Input sheet(dashboard)'!$E$25)+AG693," ")</f>
        <v xml:space="preserve"> </v>
      </c>
    </row>
    <row r="694" spans="2:34">
      <c r="B694">
        <f t="shared" si="90"/>
        <v>691</v>
      </c>
      <c r="C694">
        <f t="shared" si="97"/>
        <v>58</v>
      </c>
      <c r="D694">
        <f t="shared" si="98"/>
        <v>7</v>
      </c>
      <c r="E694" s="15">
        <f>IF(C694&lt;='Input sheet(dashboard)'!$D$6, -PMT('Input sheet(dashboard)'!$E$5,'Input sheet(dashboard)'!$D$6*12,'Input sheet(dashboard)'!$D$3*'Input sheet(dashboard)'!$D$4),0)</f>
        <v>0</v>
      </c>
      <c r="F694" s="3">
        <f>I693*'Input sheet(dashboard)'!$E$5</f>
        <v>2.5078097407291118E-11</v>
      </c>
      <c r="G694" s="3">
        <f>IF(C694&lt;='Input sheet(dashboard)'!$D$6,E694*'Input sheet(dashboard)'!$D$7,0)</f>
        <v>0</v>
      </c>
      <c r="H694" s="3">
        <f t="shared" si="91"/>
        <v>-2.5078097407291118E-11</v>
      </c>
      <c r="I694" s="3">
        <f t="shared" si="92"/>
        <v>6.909391162682998E-9</v>
      </c>
      <c r="J694" s="3">
        <f>IF(B694&lt;='Input sheet(dashboard)'!$D$27*12,'Input sheet(dashboard)'!$D$3*(1+'Input sheet(dashboard)'!$E$24)^B694,0)</f>
        <v>0</v>
      </c>
      <c r="K694" s="3">
        <f>IF(B694&lt;='Input sheet(dashboard)'!$D$27*12,J694*'Input sheet(dashboard)'!$E$8,0)</f>
        <v>0</v>
      </c>
      <c r="L694" s="3">
        <f>IF(B694&lt;='Input sheet(dashboard)'!$D$27*12,'Input sheet(dashboard)'!$D$9*(1+'Input sheet(dashboard)'!$E$22)^B694,0)</f>
        <v>0</v>
      </c>
      <c r="M694" s="3">
        <f>IF(B694=1,'Input sheet(dashboard)'!$D$3*'Input sheet(dashboard)'!$D$10,0)</f>
        <v>0</v>
      </c>
      <c r="N694" s="3">
        <f>IF(B694='Input sheet(dashboard)'!$D$27*12,J694*'Input sheet(dashboard)'!$D$11,0)</f>
        <v>0</v>
      </c>
      <c r="O694" s="3">
        <f>IF(SUM(F694:F705)&gt;=150000,150000/12*'Input sheet(dashboard)'!$D$28,SUM(F694:F705)/12*'Input sheet(dashboard)'!$D$28)</f>
        <v>3.8380045338912277E-12</v>
      </c>
      <c r="P694" s="3">
        <f t="shared" si="96"/>
        <v>0</v>
      </c>
      <c r="Q694" s="3">
        <f>IF(B694&lt;='Input sheet(dashboard)'!$D$27*12,'Input sheet(dashboard)'!$D$12/12,0)</f>
        <v>0</v>
      </c>
      <c r="R694" s="3">
        <f>IF(B694&lt;='Input sheet(dashboard)'!$D$27*12,('Input sheet(dashboard)'!$D$15/12)*(1+'Input sheet(dashboard)'!$E$22)^Calculations!B694,0)</f>
        <v>0</v>
      </c>
      <c r="S694" s="3">
        <f>IF(B694&lt;='Input sheet(dashboard)'!$D$27*12,(E694+G694+K694+L694-O694+M694+Q694+R694),0)</f>
        <v>0</v>
      </c>
      <c r="T694" s="3">
        <f>IF(B694&lt;='Input sheet(dashboard)'!$D$27*12,IF(D694=12,SUM(S683:S694),0),0)</f>
        <v>0</v>
      </c>
      <c r="U694" s="3">
        <f>IF(B694&lt;='Input sheet(dashboard)'!$D$27*12,IF(S694&lt;AD694,AD694-S694,0),0)</f>
        <v>0</v>
      </c>
      <c r="V694" s="3">
        <f>IF(B694&lt;='Input sheet(dashboard)'!$D$27*12,V693*(1+'Input sheet(dashboard)'!$E$25)+U694,0)</f>
        <v>0</v>
      </c>
      <c r="W694" s="17">
        <f>IF(B694&lt;='Input sheet(dashboard)'!$D$27*12,J694-I694+V694-N694,0)</f>
        <v>0</v>
      </c>
      <c r="X694" s="3">
        <f>IF(B694&lt;='Input sheet(dashboard)'!$D$27*12,'Input sheet(dashboard)'!$D$17*(1+'Input sheet(dashboard)'!$E$23)^(B694-1),0)</f>
        <v>0</v>
      </c>
      <c r="Y694" s="3"/>
      <c r="Z694" s="18"/>
      <c r="AA694" s="18"/>
      <c r="AB694" s="3">
        <f>IF(B694=1,'Input sheet(dashboard)'!$D$18*Calculations!X694,IF(Calculations!B694=12*'Input sheet(dashboard)'!$D$27,'Input sheet(dashboard)'!$D$18*-Calculations!X694,0))</f>
        <v>0</v>
      </c>
      <c r="AC694" s="3">
        <f>IF(B694&lt;='Input sheet(dashboard)'!$D$27*12,IF(MOD(B693,'Input sheet(dashboard)'!$D$19*12),0,'Input sheet(dashboard)'!$D$20*(1+'Input sheet(dashboard)'!$E$22)^Calculations!B694),0)</f>
        <v>0</v>
      </c>
      <c r="AD694" s="17">
        <f t="shared" si="93"/>
        <v>0</v>
      </c>
      <c r="AE694" s="17">
        <f>IF(B694&lt;='Input sheet(dashboard)'!$D$27*12,IF(D694=12,SUM(AD683:AD694),0),0)</f>
        <v>0</v>
      </c>
      <c r="AF694" s="17">
        <f t="shared" si="94"/>
        <v>0</v>
      </c>
      <c r="AG694" s="17">
        <f t="shared" si="95"/>
        <v>0</v>
      </c>
      <c r="AH694" s="3" t="str">
        <f>IF(B694&lt;='Input sheet(dashboard)'!$D$27*12,AH693*(1+'Input sheet(dashboard)'!$E$25)+AG694," ")</f>
        <v xml:space="preserve"> </v>
      </c>
    </row>
    <row r="695" spans="2:34">
      <c r="B695">
        <f t="shared" si="90"/>
        <v>692</v>
      </c>
      <c r="C695">
        <f t="shared" si="97"/>
        <v>58</v>
      </c>
      <c r="D695">
        <f t="shared" si="98"/>
        <v>8</v>
      </c>
      <c r="E695" s="15">
        <f>IF(C695&lt;='Input sheet(dashboard)'!$D$6, -PMT('Input sheet(dashboard)'!$E$5,'Input sheet(dashboard)'!$D$6*12,'Input sheet(dashboard)'!$D$3*'Input sheet(dashboard)'!$D$4),0)</f>
        <v>0</v>
      </c>
      <c r="F695" s="3">
        <f>I694*'Input sheet(dashboard)'!$E$5</f>
        <v>2.5169451615562355E-11</v>
      </c>
      <c r="G695" s="3">
        <f>IF(C695&lt;='Input sheet(dashboard)'!$D$6,E695*'Input sheet(dashboard)'!$D$7,0)</f>
        <v>0</v>
      </c>
      <c r="H695" s="3">
        <f t="shared" si="91"/>
        <v>-2.5169451615562355E-11</v>
      </c>
      <c r="I695" s="3">
        <f t="shared" si="92"/>
        <v>6.93456061429856E-9</v>
      </c>
      <c r="J695" s="3">
        <f>IF(B695&lt;='Input sheet(dashboard)'!$D$27*12,'Input sheet(dashboard)'!$D$3*(1+'Input sheet(dashboard)'!$E$24)^B695,0)</f>
        <v>0</v>
      </c>
      <c r="K695" s="3">
        <f>IF(B695&lt;='Input sheet(dashboard)'!$D$27*12,J695*'Input sheet(dashboard)'!$E$8,0)</f>
        <v>0</v>
      </c>
      <c r="L695" s="3">
        <f>IF(B695&lt;='Input sheet(dashboard)'!$D$27*12,'Input sheet(dashboard)'!$D$9*(1+'Input sheet(dashboard)'!$E$22)^B695,0)</f>
        <v>0</v>
      </c>
      <c r="M695" s="3">
        <f>IF(B695=1,'Input sheet(dashboard)'!$D$3*'Input sheet(dashboard)'!$D$10,0)</f>
        <v>0</v>
      </c>
      <c r="N695" s="3">
        <f>IF(B695='Input sheet(dashboard)'!$D$27*12,J695*'Input sheet(dashboard)'!$D$11,0)</f>
        <v>0</v>
      </c>
      <c r="O695" s="3">
        <f>IF(SUM(F695:F706)&gt;=150000,150000/12*'Input sheet(dashboard)'!$D$28,SUM(F695:F706)/12*'Input sheet(dashboard)'!$D$28)</f>
        <v>3.851985573195793E-12</v>
      </c>
      <c r="P695" s="3">
        <f t="shared" si="96"/>
        <v>0</v>
      </c>
      <c r="Q695" s="3">
        <f>IF(B695&lt;='Input sheet(dashboard)'!$D$27*12,'Input sheet(dashboard)'!$D$12/12,0)</f>
        <v>0</v>
      </c>
      <c r="R695" s="3">
        <f>IF(B695&lt;='Input sheet(dashboard)'!$D$27*12,('Input sheet(dashboard)'!$D$15/12)*(1+'Input sheet(dashboard)'!$E$22)^Calculations!B695,0)</f>
        <v>0</v>
      </c>
      <c r="S695" s="3">
        <f>IF(B695&lt;='Input sheet(dashboard)'!$D$27*12,(E695+G695+K695+L695-O695+M695+Q695+R695),0)</f>
        <v>0</v>
      </c>
      <c r="T695" s="3">
        <f>IF(B695&lt;='Input sheet(dashboard)'!$D$27*12,IF(D695=12,SUM(S684:S695),0),0)</f>
        <v>0</v>
      </c>
      <c r="U695" s="3">
        <f>IF(B695&lt;='Input sheet(dashboard)'!$D$27*12,IF(S695&lt;AD695,AD695-S695,0),0)</f>
        <v>0</v>
      </c>
      <c r="V695" s="3">
        <f>IF(B695&lt;='Input sheet(dashboard)'!$D$27*12,V694*(1+'Input sheet(dashboard)'!$E$25)+U695,0)</f>
        <v>0</v>
      </c>
      <c r="W695" s="17">
        <f>IF(B695&lt;='Input sheet(dashboard)'!$D$27*12,J695-I695+V695-N695,0)</f>
        <v>0</v>
      </c>
      <c r="X695" s="3">
        <f>IF(B695&lt;='Input sheet(dashboard)'!$D$27*12,'Input sheet(dashboard)'!$D$17*(1+'Input sheet(dashboard)'!$E$23)^(B695-1),0)</f>
        <v>0</v>
      </c>
      <c r="Y695" s="3"/>
      <c r="Z695" s="18"/>
      <c r="AA695" s="18"/>
      <c r="AB695" s="3">
        <f>IF(B695=1,'Input sheet(dashboard)'!$D$18*Calculations!X695,IF(Calculations!B695=12*'Input sheet(dashboard)'!$D$27,'Input sheet(dashboard)'!$D$18*-Calculations!X695,0))</f>
        <v>0</v>
      </c>
      <c r="AC695" s="3">
        <f>IF(B695&lt;='Input sheet(dashboard)'!$D$27*12,IF(MOD(B694,'Input sheet(dashboard)'!$D$19*12),0,'Input sheet(dashboard)'!$D$20*(1+'Input sheet(dashboard)'!$E$22)^Calculations!B695),0)</f>
        <v>0</v>
      </c>
      <c r="AD695" s="17">
        <f t="shared" si="93"/>
        <v>0</v>
      </c>
      <c r="AE695" s="17">
        <f>IF(B695&lt;='Input sheet(dashboard)'!$D$27*12,IF(D695=12,SUM(AD684:AD695),0),0)</f>
        <v>0</v>
      </c>
      <c r="AF695" s="17">
        <f t="shared" si="94"/>
        <v>0</v>
      </c>
      <c r="AG695" s="17">
        <f t="shared" si="95"/>
        <v>0</v>
      </c>
      <c r="AH695" s="3" t="str">
        <f>IF(B695&lt;='Input sheet(dashboard)'!$D$27*12,AH694*(1+'Input sheet(dashboard)'!$E$25)+AG695," ")</f>
        <v xml:space="preserve"> </v>
      </c>
    </row>
    <row r="696" spans="2:34">
      <c r="B696">
        <f t="shared" si="90"/>
        <v>693</v>
      </c>
      <c r="C696">
        <f t="shared" si="97"/>
        <v>58</v>
      </c>
      <c r="D696">
        <f t="shared" si="98"/>
        <v>9</v>
      </c>
      <c r="E696" s="15">
        <f>IF(C696&lt;='Input sheet(dashboard)'!$D$6, -PMT('Input sheet(dashboard)'!$E$5,'Input sheet(dashboard)'!$D$6*12,'Input sheet(dashboard)'!$D$3*'Input sheet(dashboard)'!$D$4),0)</f>
        <v>0</v>
      </c>
      <c r="F696" s="3">
        <f>I695*'Input sheet(dashboard)'!$E$5</f>
        <v>2.5261138607905414E-11</v>
      </c>
      <c r="G696" s="3">
        <f>IF(C696&lt;='Input sheet(dashboard)'!$D$6,E696*'Input sheet(dashboard)'!$D$7,0)</f>
        <v>0</v>
      </c>
      <c r="H696" s="3">
        <f t="shared" si="91"/>
        <v>-2.5261138607905414E-11</v>
      </c>
      <c r="I696" s="3">
        <f t="shared" si="92"/>
        <v>6.9598217529064656E-9</v>
      </c>
      <c r="J696" s="3">
        <f>IF(B696&lt;='Input sheet(dashboard)'!$D$27*12,'Input sheet(dashboard)'!$D$3*(1+'Input sheet(dashboard)'!$E$24)^B696,0)</f>
        <v>0</v>
      </c>
      <c r="K696" s="3">
        <f>IF(B696&lt;='Input sheet(dashboard)'!$D$27*12,J696*'Input sheet(dashboard)'!$E$8,0)</f>
        <v>0</v>
      </c>
      <c r="L696" s="3">
        <f>IF(B696&lt;='Input sheet(dashboard)'!$D$27*12,'Input sheet(dashboard)'!$D$9*(1+'Input sheet(dashboard)'!$E$22)^B696,0)</f>
        <v>0</v>
      </c>
      <c r="M696" s="3">
        <f>IF(B696=1,'Input sheet(dashboard)'!$D$3*'Input sheet(dashboard)'!$D$10,0)</f>
        <v>0</v>
      </c>
      <c r="N696" s="3">
        <f>IF(B696='Input sheet(dashboard)'!$D$27*12,J696*'Input sheet(dashboard)'!$D$11,0)</f>
        <v>0</v>
      </c>
      <c r="O696" s="3">
        <f>IF(SUM(F696:F707)&gt;=150000,150000/12*'Input sheet(dashboard)'!$D$28,SUM(F696:F707)/12*'Input sheet(dashboard)'!$D$28)</f>
        <v>3.8660175424714693E-12</v>
      </c>
      <c r="P696" s="3">
        <f t="shared" si="96"/>
        <v>0</v>
      </c>
      <c r="Q696" s="3">
        <f>IF(B696&lt;='Input sheet(dashboard)'!$D$27*12,'Input sheet(dashboard)'!$D$12/12,0)</f>
        <v>0</v>
      </c>
      <c r="R696" s="3">
        <f>IF(B696&lt;='Input sheet(dashboard)'!$D$27*12,('Input sheet(dashboard)'!$D$15/12)*(1+'Input sheet(dashboard)'!$E$22)^Calculations!B696,0)</f>
        <v>0</v>
      </c>
      <c r="S696" s="3">
        <f>IF(B696&lt;='Input sheet(dashboard)'!$D$27*12,(E696+G696+K696+L696-O696+M696+Q696+R696),0)</f>
        <v>0</v>
      </c>
      <c r="T696" s="3">
        <f>IF(B696&lt;='Input sheet(dashboard)'!$D$27*12,IF(D696=12,SUM(S685:S696),0),0)</f>
        <v>0</v>
      </c>
      <c r="U696" s="3">
        <f>IF(B696&lt;='Input sheet(dashboard)'!$D$27*12,IF(S696&lt;AD696,AD696-S696,0),0)</f>
        <v>0</v>
      </c>
      <c r="V696" s="3">
        <f>IF(B696&lt;='Input sheet(dashboard)'!$D$27*12,V695*(1+'Input sheet(dashboard)'!$E$25)+U696,0)</f>
        <v>0</v>
      </c>
      <c r="W696" s="17">
        <f>IF(B696&lt;='Input sheet(dashboard)'!$D$27*12,J696-I696+V696-N696,0)</f>
        <v>0</v>
      </c>
      <c r="X696" s="3">
        <f>IF(B696&lt;='Input sheet(dashboard)'!$D$27*12,'Input sheet(dashboard)'!$D$17*(1+'Input sheet(dashboard)'!$E$23)^(B696-1),0)</f>
        <v>0</v>
      </c>
      <c r="Y696" s="3"/>
      <c r="Z696" s="18"/>
      <c r="AA696" s="18"/>
      <c r="AB696" s="3">
        <f>IF(B696=1,'Input sheet(dashboard)'!$D$18*Calculations!X696,IF(Calculations!B696=12*'Input sheet(dashboard)'!$D$27,'Input sheet(dashboard)'!$D$18*-Calculations!X696,0))</f>
        <v>0</v>
      </c>
      <c r="AC696" s="3">
        <f>IF(B696&lt;='Input sheet(dashboard)'!$D$27*12,IF(MOD(B695,'Input sheet(dashboard)'!$D$19*12),0,'Input sheet(dashboard)'!$D$20*(1+'Input sheet(dashboard)'!$E$22)^Calculations!B696),0)</f>
        <v>0</v>
      </c>
      <c r="AD696" s="17">
        <f t="shared" si="93"/>
        <v>0</v>
      </c>
      <c r="AE696" s="17">
        <f>IF(B696&lt;='Input sheet(dashboard)'!$D$27*12,IF(D696=12,SUM(AD685:AD696),0),0)</f>
        <v>0</v>
      </c>
      <c r="AF696" s="17">
        <f t="shared" si="94"/>
        <v>0</v>
      </c>
      <c r="AG696" s="17">
        <f t="shared" si="95"/>
        <v>0</v>
      </c>
      <c r="AH696" s="3" t="str">
        <f>IF(B696&lt;='Input sheet(dashboard)'!$D$27*12,AH695*(1+'Input sheet(dashboard)'!$E$25)+AG696," ")</f>
        <v xml:space="preserve"> </v>
      </c>
    </row>
    <row r="697" spans="2:34">
      <c r="B697">
        <f t="shared" si="90"/>
        <v>694</v>
      </c>
      <c r="C697">
        <f t="shared" si="97"/>
        <v>58</v>
      </c>
      <c r="D697">
        <f t="shared" si="98"/>
        <v>10</v>
      </c>
      <c r="E697" s="15">
        <f>IF(C697&lt;='Input sheet(dashboard)'!$D$6, -PMT('Input sheet(dashboard)'!$E$5,'Input sheet(dashboard)'!$D$6*12,'Input sheet(dashboard)'!$D$3*'Input sheet(dashboard)'!$D$4),0)</f>
        <v>0</v>
      </c>
      <c r="F697" s="3">
        <f>I696*'Input sheet(dashboard)'!$E$5</f>
        <v>2.5353159596582338E-11</v>
      </c>
      <c r="G697" s="3">
        <f>IF(C697&lt;='Input sheet(dashboard)'!$D$6,E697*'Input sheet(dashboard)'!$D$7,0)</f>
        <v>0</v>
      </c>
      <c r="H697" s="3">
        <f t="shared" si="91"/>
        <v>-2.5353159596582338E-11</v>
      </c>
      <c r="I697" s="3">
        <f t="shared" si="92"/>
        <v>6.9851749125030481E-9</v>
      </c>
      <c r="J697" s="3">
        <f>IF(B697&lt;='Input sheet(dashboard)'!$D$27*12,'Input sheet(dashboard)'!$D$3*(1+'Input sheet(dashboard)'!$E$24)^B697,0)</f>
        <v>0</v>
      </c>
      <c r="K697" s="3">
        <f>IF(B697&lt;='Input sheet(dashboard)'!$D$27*12,J697*'Input sheet(dashboard)'!$E$8,0)</f>
        <v>0</v>
      </c>
      <c r="L697" s="3">
        <f>IF(B697&lt;='Input sheet(dashboard)'!$D$27*12,'Input sheet(dashboard)'!$D$9*(1+'Input sheet(dashboard)'!$E$22)^B697,0)</f>
        <v>0</v>
      </c>
      <c r="M697" s="3">
        <f>IF(B697=1,'Input sheet(dashboard)'!$D$3*'Input sheet(dashboard)'!$D$10,0)</f>
        <v>0</v>
      </c>
      <c r="N697" s="3">
        <f>IF(B697='Input sheet(dashboard)'!$D$27*12,J697*'Input sheet(dashboard)'!$D$11,0)</f>
        <v>0</v>
      </c>
      <c r="O697" s="3">
        <f>IF(SUM(F697:F708)&gt;=150000,150000/12*'Input sheet(dashboard)'!$D$28,SUM(F697:F708)/12*'Input sheet(dashboard)'!$D$28)</f>
        <v>3.8801006272453773E-12</v>
      </c>
      <c r="P697" s="3">
        <f t="shared" si="96"/>
        <v>0</v>
      </c>
      <c r="Q697" s="3">
        <f>IF(B697&lt;='Input sheet(dashboard)'!$D$27*12,'Input sheet(dashboard)'!$D$12/12,0)</f>
        <v>0</v>
      </c>
      <c r="R697" s="3">
        <f>IF(B697&lt;='Input sheet(dashboard)'!$D$27*12,('Input sheet(dashboard)'!$D$15/12)*(1+'Input sheet(dashboard)'!$E$22)^Calculations!B697,0)</f>
        <v>0</v>
      </c>
      <c r="S697" s="3">
        <f>IF(B697&lt;='Input sheet(dashboard)'!$D$27*12,(E697+G697+K697+L697-O697+M697+Q697+R697),0)</f>
        <v>0</v>
      </c>
      <c r="T697" s="3">
        <f>IF(B697&lt;='Input sheet(dashboard)'!$D$27*12,IF(D697=12,SUM(S686:S697),0),0)</f>
        <v>0</v>
      </c>
      <c r="U697" s="3">
        <f>IF(B697&lt;='Input sheet(dashboard)'!$D$27*12,IF(S697&lt;AD697,AD697-S697,0),0)</f>
        <v>0</v>
      </c>
      <c r="V697" s="3">
        <f>IF(B697&lt;='Input sheet(dashboard)'!$D$27*12,V696*(1+'Input sheet(dashboard)'!$E$25)+U697,0)</f>
        <v>0</v>
      </c>
      <c r="W697" s="17">
        <f>IF(B697&lt;='Input sheet(dashboard)'!$D$27*12,J697-I697+V697-N697,0)</f>
        <v>0</v>
      </c>
      <c r="X697" s="3">
        <f>IF(B697&lt;='Input sheet(dashboard)'!$D$27*12,'Input sheet(dashboard)'!$D$17*(1+'Input sheet(dashboard)'!$E$23)^(B697-1),0)</f>
        <v>0</v>
      </c>
      <c r="Y697" s="3"/>
      <c r="Z697" s="18"/>
      <c r="AA697" s="18"/>
      <c r="AB697" s="3">
        <f>IF(B697=1,'Input sheet(dashboard)'!$D$18*Calculations!X697,IF(Calculations!B697=12*'Input sheet(dashboard)'!$D$27,'Input sheet(dashboard)'!$D$18*-Calculations!X697,0))</f>
        <v>0</v>
      </c>
      <c r="AC697" s="3">
        <f>IF(B697&lt;='Input sheet(dashboard)'!$D$27*12,IF(MOD(B696,'Input sheet(dashboard)'!$D$19*12),0,'Input sheet(dashboard)'!$D$20*(1+'Input sheet(dashboard)'!$E$22)^Calculations!B697),0)</f>
        <v>0</v>
      </c>
      <c r="AD697" s="17">
        <f t="shared" si="93"/>
        <v>0</v>
      </c>
      <c r="AE697" s="17">
        <f>IF(B697&lt;='Input sheet(dashboard)'!$D$27*12,IF(D697=12,SUM(AD686:AD697),0),0)</f>
        <v>0</v>
      </c>
      <c r="AF697" s="17">
        <f t="shared" si="94"/>
        <v>0</v>
      </c>
      <c r="AG697" s="17">
        <f t="shared" si="95"/>
        <v>0</v>
      </c>
      <c r="AH697" s="3" t="str">
        <f>IF(B697&lt;='Input sheet(dashboard)'!$D$27*12,AH696*(1+'Input sheet(dashboard)'!$E$25)+AG697," ")</f>
        <v xml:space="preserve"> </v>
      </c>
    </row>
    <row r="698" spans="2:34">
      <c r="B698">
        <f t="shared" si="90"/>
        <v>695</v>
      </c>
      <c r="C698">
        <f t="shared" si="97"/>
        <v>58</v>
      </c>
      <c r="D698">
        <f t="shared" si="98"/>
        <v>11</v>
      </c>
      <c r="E698" s="15">
        <f>IF(C698&lt;='Input sheet(dashboard)'!$D$6, -PMT('Input sheet(dashboard)'!$E$5,'Input sheet(dashboard)'!$D$6*12,'Input sheet(dashboard)'!$D$3*'Input sheet(dashboard)'!$D$4),0)</f>
        <v>0</v>
      </c>
      <c r="F698" s="3">
        <f>I697*'Input sheet(dashboard)'!$E$5</f>
        <v>2.5445515798271176E-11</v>
      </c>
      <c r="G698" s="3">
        <f>IF(C698&lt;='Input sheet(dashboard)'!$D$6,E698*'Input sheet(dashboard)'!$D$7,0)</f>
        <v>0</v>
      </c>
      <c r="H698" s="3">
        <f t="shared" si="91"/>
        <v>-2.5445515798271176E-11</v>
      </c>
      <c r="I698" s="3">
        <f t="shared" si="92"/>
        <v>7.0106204283013192E-9</v>
      </c>
      <c r="J698" s="3">
        <f>IF(B698&lt;='Input sheet(dashboard)'!$D$27*12,'Input sheet(dashboard)'!$D$3*(1+'Input sheet(dashboard)'!$E$24)^B698,0)</f>
        <v>0</v>
      </c>
      <c r="K698" s="3">
        <f>IF(B698&lt;='Input sheet(dashboard)'!$D$27*12,J698*'Input sheet(dashboard)'!$E$8,0)</f>
        <v>0</v>
      </c>
      <c r="L698" s="3">
        <f>IF(B698&lt;='Input sheet(dashboard)'!$D$27*12,'Input sheet(dashboard)'!$D$9*(1+'Input sheet(dashboard)'!$E$22)^B698,0)</f>
        <v>0</v>
      </c>
      <c r="M698" s="3">
        <f>IF(B698=1,'Input sheet(dashboard)'!$D$3*'Input sheet(dashboard)'!$D$10,0)</f>
        <v>0</v>
      </c>
      <c r="N698" s="3">
        <f>IF(B698='Input sheet(dashboard)'!$D$27*12,J698*'Input sheet(dashboard)'!$D$11,0)</f>
        <v>0</v>
      </c>
      <c r="O698" s="3">
        <f>IF(SUM(F698:F709)&gt;=150000,150000/12*'Input sheet(dashboard)'!$D$28,SUM(F698:F709)/12*'Input sheet(dashboard)'!$D$28)</f>
        <v>3.8942350137204716E-12</v>
      </c>
      <c r="P698" s="3">
        <f t="shared" si="96"/>
        <v>0</v>
      </c>
      <c r="Q698" s="3">
        <f>IF(B698&lt;='Input sheet(dashboard)'!$D$27*12,'Input sheet(dashboard)'!$D$12/12,0)</f>
        <v>0</v>
      </c>
      <c r="R698" s="3">
        <f>IF(B698&lt;='Input sheet(dashboard)'!$D$27*12,('Input sheet(dashboard)'!$D$15/12)*(1+'Input sheet(dashboard)'!$E$22)^Calculations!B698,0)</f>
        <v>0</v>
      </c>
      <c r="S698" s="3">
        <f>IF(B698&lt;='Input sheet(dashboard)'!$D$27*12,(E698+G698+K698+L698-O698+M698+Q698+R698),0)</f>
        <v>0</v>
      </c>
      <c r="T698" s="3">
        <f>IF(B698&lt;='Input sheet(dashboard)'!$D$27*12,IF(D698=12,SUM(S687:S698),0),0)</f>
        <v>0</v>
      </c>
      <c r="U698" s="3">
        <f>IF(B698&lt;='Input sheet(dashboard)'!$D$27*12,IF(S698&lt;AD698,AD698-S698,0),0)</f>
        <v>0</v>
      </c>
      <c r="V698" s="3">
        <f>IF(B698&lt;='Input sheet(dashboard)'!$D$27*12,V697*(1+'Input sheet(dashboard)'!$E$25)+U698,0)</f>
        <v>0</v>
      </c>
      <c r="W698" s="17">
        <f>IF(B698&lt;='Input sheet(dashboard)'!$D$27*12,J698-I698+V698-N698,0)</f>
        <v>0</v>
      </c>
      <c r="X698" s="3">
        <f>IF(B698&lt;='Input sheet(dashboard)'!$D$27*12,'Input sheet(dashboard)'!$D$17*(1+'Input sheet(dashboard)'!$E$23)^(B698-1),0)</f>
        <v>0</v>
      </c>
      <c r="Y698" s="3"/>
      <c r="Z698" s="18"/>
      <c r="AA698" s="18"/>
      <c r="AB698" s="3">
        <f>IF(B698=1,'Input sheet(dashboard)'!$D$18*Calculations!X698,IF(Calculations!B698=12*'Input sheet(dashboard)'!$D$27,'Input sheet(dashboard)'!$D$18*-Calculations!X698,0))</f>
        <v>0</v>
      </c>
      <c r="AC698" s="3">
        <f>IF(B698&lt;='Input sheet(dashboard)'!$D$27*12,IF(MOD(B697,'Input sheet(dashboard)'!$D$19*12),0,'Input sheet(dashboard)'!$D$20*(1+'Input sheet(dashboard)'!$E$22)^Calculations!B698),0)</f>
        <v>0</v>
      </c>
      <c r="AD698" s="17">
        <f t="shared" si="93"/>
        <v>0</v>
      </c>
      <c r="AE698" s="17">
        <f>IF(B698&lt;='Input sheet(dashboard)'!$D$27*12,IF(D698=12,SUM(AD687:AD698),0),0)</f>
        <v>0</v>
      </c>
      <c r="AF698" s="17">
        <f t="shared" si="94"/>
        <v>0</v>
      </c>
      <c r="AG698" s="17">
        <f t="shared" si="95"/>
        <v>0</v>
      </c>
      <c r="AH698" s="3" t="str">
        <f>IF(B698&lt;='Input sheet(dashboard)'!$D$27*12,AH697*(1+'Input sheet(dashboard)'!$E$25)+AG698," ")</f>
        <v xml:space="preserve"> </v>
      </c>
    </row>
    <row r="699" spans="2:34">
      <c r="B699">
        <f t="shared" si="90"/>
        <v>696</v>
      </c>
      <c r="C699">
        <f t="shared" si="97"/>
        <v>58</v>
      </c>
      <c r="D699">
        <f t="shared" si="98"/>
        <v>12</v>
      </c>
      <c r="E699" s="15">
        <f>IF(C699&lt;='Input sheet(dashboard)'!$D$6, -PMT('Input sheet(dashboard)'!$E$5,'Input sheet(dashboard)'!$D$6*12,'Input sheet(dashboard)'!$D$3*'Input sheet(dashboard)'!$D$4),0)</f>
        <v>0</v>
      </c>
      <c r="F699" s="3">
        <f>I698*'Input sheet(dashboard)'!$E$5</f>
        <v>2.5538208434082074E-11</v>
      </c>
      <c r="G699" s="3">
        <f>IF(C699&lt;='Input sheet(dashboard)'!$D$6,E699*'Input sheet(dashboard)'!$D$7,0)</f>
        <v>0</v>
      </c>
      <c r="H699" s="3">
        <f t="shared" si="91"/>
        <v>-2.5538208434082074E-11</v>
      </c>
      <c r="I699" s="3">
        <f t="shared" si="92"/>
        <v>7.0361586367354014E-9</v>
      </c>
      <c r="J699" s="3">
        <f>IF(B699&lt;='Input sheet(dashboard)'!$D$27*12,'Input sheet(dashboard)'!$D$3*(1+'Input sheet(dashboard)'!$E$24)^B699,0)</f>
        <v>0</v>
      </c>
      <c r="K699" s="3">
        <f>IF(B699&lt;='Input sheet(dashboard)'!$D$27*12,J699*'Input sheet(dashboard)'!$E$8,0)</f>
        <v>0</v>
      </c>
      <c r="L699" s="3">
        <f>IF(B699&lt;='Input sheet(dashboard)'!$D$27*12,'Input sheet(dashboard)'!$D$9*(1+'Input sheet(dashboard)'!$E$22)^B699,0)</f>
        <v>0</v>
      </c>
      <c r="M699" s="3">
        <f>IF(B699=1,'Input sheet(dashboard)'!$D$3*'Input sheet(dashboard)'!$D$10,0)</f>
        <v>0</v>
      </c>
      <c r="N699" s="3">
        <f>IF(B699='Input sheet(dashboard)'!$D$27*12,J699*'Input sheet(dashboard)'!$D$11,0)</f>
        <v>0</v>
      </c>
      <c r="O699" s="3">
        <f>IF(SUM(F699:F710)&gt;=150000,150000/12*'Input sheet(dashboard)'!$D$28,SUM(F699:F710)/12*'Input sheet(dashboard)'!$D$28)</f>
        <v>3.9084208887780079E-12</v>
      </c>
      <c r="P699" s="3">
        <f t="shared" si="96"/>
        <v>4.8906816079166134E-11</v>
      </c>
      <c r="Q699" s="3">
        <f>IF(B699&lt;='Input sheet(dashboard)'!$D$27*12,'Input sheet(dashboard)'!$D$12/12,0)</f>
        <v>0</v>
      </c>
      <c r="R699" s="3">
        <f>IF(B699&lt;='Input sheet(dashboard)'!$D$27*12,('Input sheet(dashboard)'!$D$15/12)*(1+'Input sheet(dashboard)'!$E$22)^Calculations!B699,0)</f>
        <v>0</v>
      </c>
      <c r="S699" s="3">
        <f>IF(B699&lt;='Input sheet(dashboard)'!$D$27*12,(E699+G699+K699+L699-O699+M699+Q699+R699),0)</f>
        <v>0</v>
      </c>
      <c r="T699" s="3">
        <f>IF(B699&lt;='Input sheet(dashboard)'!$D$27*12,IF(D699=12,SUM(S688:S699),0),0)</f>
        <v>0</v>
      </c>
      <c r="U699" s="3">
        <f>IF(B699&lt;='Input sheet(dashboard)'!$D$27*12,IF(S699&lt;AD699,AD699-S699,0),0)</f>
        <v>0</v>
      </c>
      <c r="V699" s="3">
        <f>IF(B699&lt;='Input sheet(dashboard)'!$D$27*12,V698*(1+'Input sheet(dashboard)'!$E$25)+U699,0)</f>
        <v>0</v>
      </c>
      <c r="W699" s="17">
        <f>IF(B699&lt;='Input sheet(dashboard)'!$D$27*12,J699-I699+V699-N699,0)</f>
        <v>0</v>
      </c>
      <c r="X699" s="3">
        <f>IF(B699&lt;='Input sheet(dashboard)'!$D$27*12,'Input sheet(dashboard)'!$D$17*(1+'Input sheet(dashboard)'!$E$23)^(B699-1),0)</f>
        <v>0</v>
      </c>
      <c r="Y699" s="3"/>
      <c r="Z699" s="18"/>
      <c r="AA699" s="18"/>
      <c r="AB699" s="3">
        <f>IF(B699=1,'Input sheet(dashboard)'!$D$18*Calculations!X699,IF(Calculations!B699=12*'Input sheet(dashboard)'!$D$27,'Input sheet(dashboard)'!$D$18*-Calculations!X699,0))</f>
        <v>0</v>
      </c>
      <c r="AC699" s="3">
        <f>IF(B699&lt;='Input sheet(dashboard)'!$D$27*12,IF(MOD(B698,'Input sheet(dashboard)'!$D$19*12),0,'Input sheet(dashboard)'!$D$20*(1+'Input sheet(dashboard)'!$E$22)^Calculations!B699),0)</f>
        <v>0</v>
      </c>
      <c r="AD699" s="17">
        <f t="shared" si="93"/>
        <v>0</v>
      </c>
      <c r="AE699" s="17">
        <f>IF(B699&lt;='Input sheet(dashboard)'!$D$27*12,IF(D699=12,SUM(AD688:AD699),0),0)</f>
        <v>0</v>
      </c>
      <c r="AF699" s="17">
        <f t="shared" si="94"/>
        <v>0</v>
      </c>
      <c r="AG699" s="17">
        <f t="shared" si="95"/>
        <v>0</v>
      </c>
      <c r="AH699" s="3" t="str">
        <f>IF(B699&lt;='Input sheet(dashboard)'!$D$27*12,AH698*(1+'Input sheet(dashboard)'!$E$25)+AG699," ")</f>
        <v xml:space="preserve"> </v>
      </c>
    </row>
    <row r="700" spans="2:34">
      <c r="B700">
        <f t="shared" si="90"/>
        <v>697</v>
      </c>
      <c r="C700">
        <f t="shared" si="97"/>
        <v>59</v>
      </c>
      <c r="D700">
        <f t="shared" si="98"/>
        <v>1</v>
      </c>
      <c r="E700" s="15">
        <f>IF(C700&lt;='Input sheet(dashboard)'!$D$6, -PMT('Input sheet(dashboard)'!$E$5,'Input sheet(dashboard)'!$D$6*12,'Input sheet(dashboard)'!$D$3*'Input sheet(dashboard)'!$D$4),0)</f>
        <v>0</v>
      </c>
      <c r="F700" s="3">
        <f>I699*'Input sheet(dashboard)'!$E$5</f>
        <v>2.5631238729573433E-11</v>
      </c>
      <c r="G700" s="3">
        <f>IF(C700&lt;='Input sheet(dashboard)'!$D$6,E700*'Input sheet(dashboard)'!$D$7,0)</f>
        <v>0</v>
      </c>
      <c r="H700" s="3">
        <f t="shared" si="91"/>
        <v>-2.5631238729573433E-11</v>
      </c>
      <c r="I700" s="3">
        <f t="shared" si="92"/>
        <v>7.061789875464975E-9</v>
      </c>
      <c r="J700" s="3">
        <f>IF(B700&lt;='Input sheet(dashboard)'!$D$27*12,'Input sheet(dashboard)'!$D$3*(1+'Input sheet(dashboard)'!$E$24)^B700,0)</f>
        <v>0</v>
      </c>
      <c r="K700" s="3">
        <f>IF(B700&lt;='Input sheet(dashboard)'!$D$27*12,J700*'Input sheet(dashboard)'!$E$8,0)</f>
        <v>0</v>
      </c>
      <c r="L700" s="3">
        <f>IF(B700&lt;='Input sheet(dashboard)'!$D$27*12,'Input sheet(dashboard)'!$D$9*(1+'Input sheet(dashboard)'!$E$22)^B700,0)</f>
        <v>0</v>
      </c>
      <c r="M700" s="3">
        <f>IF(B700=1,'Input sheet(dashboard)'!$D$3*'Input sheet(dashboard)'!$D$10,0)</f>
        <v>0</v>
      </c>
      <c r="N700" s="3">
        <f>IF(B700='Input sheet(dashboard)'!$D$27*12,J700*'Input sheet(dashboard)'!$D$11,0)</f>
        <v>0</v>
      </c>
      <c r="O700" s="3">
        <f>IF(SUM(F700:F711)&gt;=150000,150000/12*'Input sheet(dashboard)'!$D$28,SUM(F700:F711)/12*'Input sheet(dashboard)'!$D$28)</f>
        <v>3.9226584399800091E-12</v>
      </c>
      <c r="P700" s="3">
        <f t="shared" si="96"/>
        <v>0</v>
      </c>
      <c r="Q700" s="3">
        <f>IF(B700&lt;='Input sheet(dashboard)'!$D$27*12,'Input sheet(dashboard)'!$D$12/12,0)</f>
        <v>0</v>
      </c>
      <c r="R700" s="3">
        <f>IF(B700&lt;='Input sheet(dashboard)'!$D$27*12,('Input sheet(dashboard)'!$D$15/12)*(1+'Input sheet(dashboard)'!$E$22)^Calculations!B700,0)</f>
        <v>0</v>
      </c>
      <c r="S700" s="3">
        <f>IF(B700&lt;='Input sheet(dashboard)'!$D$27*12,(E700+G700+K700+L700-O700+M700+Q700+R700),0)</f>
        <v>0</v>
      </c>
      <c r="T700" s="3">
        <f>IF(B700&lt;='Input sheet(dashboard)'!$D$27*12,IF(D700=12,SUM(S689:S700),0),0)</f>
        <v>0</v>
      </c>
      <c r="U700" s="3">
        <f>IF(B700&lt;='Input sheet(dashboard)'!$D$27*12,IF(S700&lt;AD700,AD700-S700,0),0)</f>
        <v>0</v>
      </c>
      <c r="V700" s="3">
        <f>IF(B700&lt;='Input sheet(dashboard)'!$D$27*12,V699*(1+'Input sheet(dashboard)'!$E$25)+U700,0)</f>
        <v>0</v>
      </c>
      <c r="W700" s="17">
        <f>IF(B700&lt;='Input sheet(dashboard)'!$D$27*12,J700-I700+V700-N700,0)</f>
        <v>0</v>
      </c>
      <c r="X700" s="3">
        <f>IF(B700&lt;='Input sheet(dashboard)'!$D$27*12,'Input sheet(dashboard)'!$D$17*(1+'Input sheet(dashboard)'!$E$23)^(B700-1),0)</f>
        <v>0</v>
      </c>
      <c r="Y700" s="3"/>
      <c r="Z700" s="18"/>
      <c r="AA700" s="18"/>
      <c r="AB700" s="3">
        <f>IF(B700=1,'Input sheet(dashboard)'!$D$18*Calculations!X700,IF(Calculations!B700=12*'Input sheet(dashboard)'!$D$27,'Input sheet(dashboard)'!$D$18*-Calculations!X700,0))</f>
        <v>0</v>
      </c>
      <c r="AC700" s="3">
        <f>IF(B700&lt;='Input sheet(dashboard)'!$D$27*12,IF(MOD(B699,'Input sheet(dashboard)'!$D$19*12),0,'Input sheet(dashboard)'!$D$20*(1+'Input sheet(dashboard)'!$E$22)^Calculations!B700),0)</f>
        <v>0</v>
      </c>
      <c r="AD700" s="17">
        <f t="shared" si="93"/>
        <v>0</v>
      </c>
      <c r="AE700" s="17">
        <f>IF(B700&lt;='Input sheet(dashboard)'!$D$27*12,IF(D700=12,SUM(AD689:AD700),0),0)</f>
        <v>0</v>
      </c>
      <c r="AF700" s="17">
        <f t="shared" si="94"/>
        <v>0</v>
      </c>
      <c r="AG700" s="17">
        <f t="shared" si="95"/>
        <v>0</v>
      </c>
      <c r="AH700" s="3" t="str">
        <f>IF(B700&lt;='Input sheet(dashboard)'!$D$27*12,AH699*(1+'Input sheet(dashboard)'!$E$25)+AG700," ")</f>
        <v xml:space="preserve"> </v>
      </c>
    </row>
    <row r="701" spans="2:34">
      <c r="B701">
        <f t="shared" si="90"/>
        <v>698</v>
      </c>
      <c r="C701">
        <f t="shared" si="97"/>
        <v>59</v>
      </c>
      <c r="D701">
        <f t="shared" si="98"/>
        <v>2</v>
      </c>
      <c r="E701" s="15">
        <f>IF(C701&lt;='Input sheet(dashboard)'!$D$6, -PMT('Input sheet(dashboard)'!$E$5,'Input sheet(dashboard)'!$D$6*12,'Input sheet(dashboard)'!$D$3*'Input sheet(dashboard)'!$D$4),0)</f>
        <v>0</v>
      </c>
      <c r="F701" s="3">
        <f>I700*'Input sheet(dashboard)'!$E$5</f>
        <v>2.5724607914768098E-11</v>
      </c>
      <c r="G701" s="3">
        <f>IF(C701&lt;='Input sheet(dashboard)'!$D$6,E701*'Input sheet(dashboard)'!$D$7,0)</f>
        <v>0</v>
      </c>
      <c r="H701" s="3">
        <f t="shared" si="91"/>
        <v>-2.5724607914768098E-11</v>
      </c>
      <c r="I701" s="3">
        <f t="shared" si="92"/>
        <v>7.0875144833797431E-9</v>
      </c>
      <c r="J701" s="3">
        <f>IF(B701&lt;='Input sheet(dashboard)'!$D$27*12,'Input sheet(dashboard)'!$D$3*(1+'Input sheet(dashboard)'!$E$24)^B701,0)</f>
        <v>0</v>
      </c>
      <c r="K701" s="3">
        <f>IF(B701&lt;='Input sheet(dashboard)'!$D$27*12,J701*'Input sheet(dashboard)'!$E$8,0)</f>
        <v>0</v>
      </c>
      <c r="L701" s="3">
        <f>IF(B701&lt;='Input sheet(dashboard)'!$D$27*12,'Input sheet(dashboard)'!$D$9*(1+'Input sheet(dashboard)'!$E$22)^B701,0)</f>
        <v>0</v>
      </c>
      <c r="M701" s="3">
        <f>IF(B701=1,'Input sheet(dashboard)'!$D$3*'Input sheet(dashboard)'!$D$10,0)</f>
        <v>0</v>
      </c>
      <c r="N701" s="3">
        <f>IF(B701='Input sheet(dashboard)'!$D$27*12,J701*'Input sheet(dashboard)'!$D$11,0)</f>
        <v>0</v>
      </c>
      <c r="O701" s="3">
        <f>IF(SUM(F701:F712)&gt;=150000,150000/12*'Input sheet(dashboard)'!$D$28,SUM(F701:F712)/12*'Input sheet(dashboard)'!$D$28)</f>
        <v>3.9369478555717461E-12</v>
      </c>
      <c r="P701" s="3">
        <f t="shared" si="96"/>
        <v>0</v>
      </c>
      <c r="Q701" s="3">
        <f>IF(B701&lt;='Input sheet(dashboard)'!$D$27*12,'Input sheet(dashboard)'!$D$12/12,0)</f>
        <v>0</v>
      </c>
      <c r="R701" s="3">
        <f>IF(B701&lt;='Input sheet(dashboard)'!$D$27*12,('Input sheet(dashboard)'!$D$15/12)*(1+'Input sheet(dashboard)'!$E$22)^Calculations!B701,0)</f>
        <v>0</v>
      </c>
      <c r="S701" s="3">
        <f>IF(B701&lt;='Input sheet(dashboard)'!$D$27*12,(E701+G701+K701+L701-O701+M701+Q701+R701),0)</f>
        <v>0</v>
      </c>
      <c r="T701" s="3">
        <f>IF(B701&lt;='Input sheet(dashboard)'!$D$27*12,IF(D701=12,SUM(S690:S701),0),0)</f>
        <v>0</v>
      </c>
      <c r="U701" s="3">
        <f>IF(B701&lt;='Input sheet(dashboard)'!$D$27*12,IF(S701&lt;AD701,AD701-S701,0),0)</f>
        <v>0</v>
      </c>
      <c r="V701" s="3">
        <f>IF(B701&lt;='Input sheet(dashboard)'!$D$27*12,V700*(1+'Input sheet(dashboard)'!$E$25)+U701,0)</f>
        <v>0</v>
      </c>
      <c r="W701" s="17">
        <f>IF(B701&lt;='Input sheet(dashboard)'!$D$27*12,J701-I701+V701-N701,0)</f>
        <v>0</v>
      </c>
      <c r="X701" s="3">
        <f>IF(B701&lt;='Input sheet(dashboard)'!$D$27*12,'Input sheet(dashboard)'!$D$17*(1+'Input sheet(dashboard)'!$E$23)^(B701-1),0)</f>
        <v>0</v>
      </c>
      <c r="Y701" s="3"/>
      <c r="Z701" s="18"/>
      <c r="AA701" s="18"/>
      <c r="AB701" s="3">
        <f>IF(B701=1,'Input sheet(dashboard)'!$D$18*Calculations!X701,IF(Calculations!B701=12*'Input sheet(dashboard)'!$D$27,'Input sheet(dashboard)'!$D$18*-Calculations!X701,0))</f>
        <v>0</v>
      </c>
      <c r="AC701" s="3">
        <f>IF(B701&lt;='Input sheet(dashboard)'!$D$27*12,IF(MOD(B700,'Input sheet(dashboard)'!$D$19*12),0,'Input sheet(dashboard)'!$D$20*(1+'Input sheet(dashboard)'!$E$22)^Calculations!B701),0)</f>
        <v>0</v>
      </c>
      <c r="AD701" s="17">
        <f t="shared" si="93"/>
        <v>0</v>
      </c>
      <c r="AE701" s="17">
        <f>IF(B701&lt;='Input sheet(dashboard)'!$D$27*12,IF(D701=12,SUM(AD690:AD701),0),0)</f>
        <v>0</v>
      </c>
      <c r="AF701" s="17">
        <f t="shared" si="94"/>
        <v>0</v>
      </c>
      <c r="AG701" s="17">
        <f t="shared" si="95"/>
        <v>0</v>
      </c>
      <c r="AH701" s="3" t="str">
        <f>IF(B701&lt;='Input sheet(dashboard)'!$D$27*12,AH700*(1+'Input sheet(dashboard)'!$E$25)+AG701," ")</f>
        <v xml:space="preserve"> </v>
      </c>
    </row>
    <row r="702" spans="2:34">
      <c r="B702">
        <f t="shared" si="90"/>
        <v>699</v>
      </c>
      <c r="C702">
        <f t="shared" si="97"/>
        <v>59</v>
      </c>
      <c r="D702">
        <f t="shared" si="98"/>
        <v>3</v>
      </c>
      <c r="E702" s="15">
        <f>IF(C702&lt;='Input sheet(dashboard)'!$D$6, -PMT('Input sheet(dashboard)'!$E$5,'Input sheet(dashboard)'!$D$6*12,'Input sheet(dashboard)'!$D$3*'Input sheet(dashboard)'!$D$4),0)</f>
        <v>0</v>
      </c>
      <c r="F702" s="3">
        <f>I701*'Input sheet(dashboard)'!$E$5</f>
        <v>2.5818317224169628E-11</v>
      </c>
      <c r="G702" s="3">
        <f>IF(C702&lt;='Input sheet(dashboard)'!$D$6,E702*'Input sheet(dashboard)'!$D$7,0)</f>
        <v>0</v>
      </c>
      <c r="H702" s="3">
        <f t="shared" si="91"/>
        <v>-2.5818317224169628E-11</v>
      </c>
      <c r="I702" s="3">
        <f t="shared" si="92"/>
        <v>7.1133328006039129E-9</v>
      </c>
      <c r="J702" s="3">
        <f>IF(B702&lt;='Input sheet(dashboard)'!$D$27*12,'Input sheet(dashboard)'!$D$3*(1+'Input sheet(dashboard)'!$E$24)^B702,0)</f>
        <v>0</v>
      </c>
      <c r="K702" s="3">
        <f>IF(B702&lt;='Input sheet(dashboard)'!$D$27*12,J702*'Input sheet(dashboard)'!$E$8,0)</f>
        <v>0</v>
      </c>
      <c r="L702" s="3">
        <f>IF(B702&lt;='Input sheet(dashboard)'!$D$27*12,'Input sheet(dashboard)'!$D$9*(1+'Input sheet(dashboard)'!$E$22)^B702,0)</f>
        <v>0</v>
      </c>
      <c r="M702" s="3">
        <f>IF(B702=1,'Input sheet(dashboard)'!$D$3*'Input sheet(dashboard)'!$D$10,0)</f>
        <v>0</v>
      </c>
      <c r="N702" s="3">
        <f>IF(B702='Input sheet(dashboard)'!$D$27*12,J702*'Input sheet(dashboard)'!$D$11,0)</f>
        <v>0</v>
      </c>
      <c r="O702" s="3">
        <f>IF(SUM(F702:F713)&gt;=150000,150000/12*'Input sheet(dashboard)'!$D$28,SUM(F702:F713)/12*'Input sheet(dashboard)'!$D$28)</f>
        <v>3.9512893244842297E-12</v>
      </c>
      <c r="P702" s="3">
        <f t="shared" si="96"/>
        <v>0</v>
      </c>
      <c r="Q702" s="3">
        <f>IF(B702&lt;='Input sheet(dashboard)'!$D$27*12,'Input sheet(dashboard)'!$D$12/12,0)</f>
        <v>0</v>
      </c>
      <c r="R702" s="3">
        <f>IF(B702&lt;='Input sheet(dashboard)'!$D$27*12,('Input sheet(dashboard)'!$D$15/12)*(1+'Input sheet(dashboard)'!$E$22)^Calculations!B702,0)</f>
        <v>0</v>
      </c>
      <c r="S702" s="3">
        <f>IF(B702&lt;='Input sheet(dashboard)'!$D$27*12,(E702+G702+K702+L702-O702+M702+Q702+R702),0)</f>
        <v>0</v>
      </c>
      <c r="T702" s="3">
        <f>IF(B702&lt;='Input sheet(dashboard)'!$D$27*12,IF(D702=12,SUM(S691:S702),0),0)</f>
        <v>0</v>
      </c>
      <c r="U702" s="3">
        <f>IF(B702&lt;='Input sheet(dashboard)'!$D$27*12,IF(S702&lt;AD702,AD702-S702,0),0)</f>
        <v>0</v>
      </c>
      <c r="V702" s="3">
        <f>IF(B702&lt;='Input sheet(dashboard)'!$D$27*12,V701*(1+'Input sheet(dashboard)'!$E$25)+U702,0)</f>
        <v>0</v>
      </c>
      <c r="W702" s="17">
        <f>IF(B702&lt;='Input sheet(dashboard)'!$D$27*12,J702-I702+V702-N702,0)</f>
        <v>0</v>
      </c>
      <c r="X702" s="3">
        <f>IF(B702&lt;='Input sheet(dashboard)'!$D$27*12,'Input sheet(dashboard)'!$D$17*(1+'Input sheet(dashboard)'!$E$23)^(B702-1),0)</f>
        <v>0</v>
      </c>
      <c r="Y702" s="3"/>
      <c r="Z702" s="18"/>
      <c r="AA702" s="18"/>
      <c r="AB702" s="3">
        <f>IF(B702=1,'Input sheet(dashboard)'!$D$18*Calculations!X702,IF(Calculations!B702=12*'Input sheet(dashboard)'!$D$27,'Input sheet(dashboard)'!$D$18*-Calculations!X702,0))</f>
        <v>0</v>
      </c>
      <c r="AC702" s="3">
        <f>IF(B702&lt;='Input sheet(dashboard)'!$D$27*12,IF(MOD(B701,'Input sheet(dashboard)'!$D$19*12),0,'Input sheet(dashboard)'!$D$20*(1+'Input sheet(dashboard)'!$E$22)^Calculations!B702),0)</f>
        <v>0</v>
      </c>
      <c r="AD702" s="17">
        <f t="shared" si="93"/>
        <v>0</v>
      </c>
      <c r="AE702" s="17">
        <f>IF(B702&lt;='Input sheet(dashboard)'!$D$27*12,IF(D702=12,SUM(AD691:AD702),0),0)</f>
        <v>0</v>
      </c>
      <c r="AF702" s="17">
        <f t="shared" si="94"/>
        <v>0</v>
      </c>
      <c r="AG702" s="17">
        <f t="shared" si="95"/>
        <v>0</v>
      </c>
      <c r="AH702" s="3" t="str">
        <f>IF(B702&lt;='Input sheet(dashboard)'!$D$27*12,AH701*(1+'Input sheet(dashboard)'!$E$25)+AG702," ")</f>
        <v xml:space="preserve"> </v>
      </c>
    </row>
    <row r="703" spans="2:34">
      <c r="B703">
        <f t="shared" si="90"/>
        <v>700</v>
      </c>
      <c r="C703">
        <f t="shared" si="97"/>
        <v>59</v>
      </c>
      <c r="D703">
        <f t="shared" si="98"/>
        <v>4</v>
      </c>
      <c r="E703" s="15">
        <f>IF(C703&lt;='Input sheet(dashboard)'!$D$6, -PMT('Input sheet(dashboard)'!$E$5,'Input sheet(dashboard)'!$D$6*12,'Input sheet(dashboard)'!$D$3*'Input sheet(dashboard)'!$D$4),0)</f>
        <v>0</v>
      </c>
      <c r="F703" s="3">
        <f>I702*'Input sheet(dashboard)'!$E$5</f>
        <v>2.5912367896778624E-11</v>
      </c>
      <c r="G703" s="3">
        <f>IF(C703&lt;='Input sheet(dashboard)'!$D$6,E703*'Input sheet(dashboard)'!$D$7,0)</f>
        <v>0</v>
      </c>
      <c r="H703" s="3">
        <f t="shared" si="91"/>
        <v>-2.5912367896778624E-11</v>
      </c>
      <c r="I703" s="3">
        <f t="shared" si="92"/>
        <v>7.1392451685006916E-9</v>
      </c>
      <c r="J703" s="3">
        <f>IF(B703&lt;='Input sheet(dashboard)'!$D$27*12,'Input sheet(dashboard)'!$D$3*(1+'Input sheet(dashboard)'!$E$24)^B703,0)</f>
        <v>0</v>
      </c>
      <c r="K703" s="3">
        <f>IF(B703&lt;='Input sheet(dashboard)'!$D$27*12,J703*'Input sheet(dashboard)'!$E$8,0)</f>
        <v>0</v>
      </c>
      <c r="L703" s="3">
        <f>IF(B703&lt;='Input sheet(dashboard)'!$D$27*12,'Input sheet(dashboard)'!$D$9*(1+'Input sheet(dashboard)'!$E$22)^B703,0)</f>
        <v>0</v>
      </c>
      <c r="M703" s="3">
        <f>IF(B703=1,'Input sheet(dashboard)'!$D$3*'Input sheet(dashboard)'!$D$10,0)</f>
        <v>0</v>
      </c>
      <c r="N703" s="3">
        <f>IF(B703='Input sheet(dashboard)'!$D$27*12,J703*'Input sheet(dashboard)'!$D$11,0)</f>
        <v>0</v>
      </c>
      <c r="O703" s="3">
        <f>IF(SUM(F703:F714)&gt;=150000,150000/12*'Input sheet(dashboard)'!$D$28,SUM(F703:F714)/12*'Input sheet(dashboard)'!$D$28)</f>
        <v>3.9656830363367044E-12</v>
      </c>
      <c r="P703" s="3">
        <f t="shared" si="96"/>
        <v>0</v>
      </c>
      <c r="Q703" s="3">
        <f>IF(B703&lt;='Input sheet(dashboard)'!$D$27*12,'Input sheet(dashboard)'!$D$12/12,0)</f>
        <v>0</v>
      </c>
      <c r="R703" s="3">
        <f>IF(B703&lt;='Input sheet(dashboard)'!$D$27*12,('Input sheet(dashboard)'!$D$15/12)*(1+'Input sheet(dashboard)'!$E$22)^Calculations!B703,0)</f>
        <v>0</v>
      </c>
      <c r="S703" s="3">
        <f>IF(B703&lt;='Input sheet(dashboard)'!$D$27*12,(E703+G703+K703+L703-O703+M703+Q703+R703),0)</f>
        <v>0</v>
      </c>
      <c r="T703" s="3">
        <f>IF(B703&lt;='Input sheet(dashboard)'!$D$27*12,IF(D703=12,SUM(S692:S703),0),0)</f>
        <v>0</v>
      </c>
      <c r="U703" s="3">
        <f>IF(B703&lt;='Input sheet(dashboard)'!$D$27*12,IF(S703&lt;AD703,AD703-S703,0),0)</f>
        <v>0</v>
      </c>
      <c r="V703" s="3">
        <f>IF(B703&lt;='Input sheet(dashboard)'!$D$27*12,V702*(1+'Input sheet(dashboard)'!$E$25)+U703,0)</f>
        <v>0</v>
      </c>
      <c r="W703" s="17">
        <f>IF(B703&lt;='Input sheet(dashboard)'!$D$27*12,J703-I703+V703-N703,0)</f>
        <v>0</v>
      </c>
      <c r="X703" s="3">
        <f>IF(B703&lt;='Input sheet(dashboard)'!$D$27*12,'Input sheet(dashboard)'!$D$17*(1+'Input sheet(dashboard)'!$E$23)^(B703-1),0)</f>
        <v>0</v>
      </c>
      <c r="Y703" s="3"/>
      <c r="Z703" s="18"/>
      <c r="AA703" s="18"/>
      <c r="AB703" s="3">
        <f>IF(B703=1,'Input sheet(dashboard)'!$D$18*Calculations!X703,IF(Calculations!B703=12*'Input sheet(dashboard)'!$D$27,'Input sheet(dashboard)'!$D$18*-Calculations!X703,0))</f>
        <v>0</v>
      </c>
      <c r="AC703" s="3">
        <f>IF(B703&lt;='Input sheet(dashboard)'!$D$27*12,IF(MOD(B702,'Input sheet(dashboard)'!$D$19*12),0,'Input sheet(dashboard)'!$D$20*(1+'Input sheet(dashboard)'!$E$22)^Calculations!B703),0)</f>
        <v>0</v>
      </c>
      <c r="AD703" s="17">
        <f t="shared" si="93"/>
        <v>0</v>
      </c>
      <c r="AE703" s="17">
        <f>IF(B703&lt;='Input sheet(dashboard)'!$D$27*12,IF(D703=12,SUM(AD692:AD703),0),0)</f>
        <v>0</v>
      </c>
      <c r="AF703" s="17">
        <f t="shared" si="94"/>
        <v>0</v>
      </c>
      <c r="AG703" s="17">
        <f t="shared" si="95"/>
        <v>0</v>
      </c>
      <c r="AH703" s="3" t="str">
        <f>IF(B703&lt;='Input sheet(dashboard)'!$D$27*12,AH702*(1+'Input sheet(dashboard)'!$E$25)+AG703," ")</f>
        <v xml:space="preserve"> </v>
      </c>
    </row>
    <row r="704" spans="2:34">
      <c r="B704">
        <f t="shared" si="90"/>
        <v>701</v>
      </c>
      <c r="C704">
        <f t="shared" si="97"/>
        <v>59</v>
      </c>
      <c r="D704">
        <f t="shared" si="98"/>
        <v>5</v>
      </c>
      <c r="E704" s="15">
        <f>IF(C704&lt;='Input sheet(dashboard)'!$D$6, -PMT('Input sheet(dashboard)'!$E$5,'Input sheet(dashboard)'!$D$6*12,'Input sheet(dashboard)'!$D$3*'Input sheet(dashboard)'!$D$4),0)</f>
        <v>0</v>
      </c>
      <c r="F704" s="3">
        <f>I703*'Input sheet(dashboard)'!$E$5</f>
        <v>2.6006761176109095E-11</v>
      </c>
      <c r="G704" s="3">
        <f>IF(C704&lt;='Input sheet(dashboard)'!$D$6,E704*'Input sheet(dashboard)'!$D$7,0)</f>
        <v>0</v>
      </c>
      <c r="H704" s="3">
        <f t="shared" si="91"/>
        <v>-2.6006761176109095E-11</v>
      </c>
      <c r="I704" s="3">
        <f t="shared" si="92"/>
        <v>7.1652519296768011E-9</v>
      </c>
      <c r="J704" s="3">
        <f>IF(B704&lt;='Input sheet(dashboard)'!$D$27*12,'Input sheet(dashboard)'!$D$3*(1+'Input sheet(dashboard)'!$E$24)^B704,0)</f>
        <v>0</v>
      </c>
      <c r="K704" s="3">
        <f>IF(B704&lt;='Input sheet(dashboard)'!$D$27*12,J704*'Input sheet(dashboard)'!$E$8,0)</f>
        <v>0</v>
      </c>
      <c r="L704" s="3">
        <f>IF(B704&lt;='Input sheet(dashboard)'!$D$27*12,'Input sheet(dashboard)'!$D$9*(1+'Input sheet(dashboard)'!$E$22)^B704,0)</f>
        <v>0</v>
      </c>
      <c r="M704" s="3">
        <f>IF(B704=1,'Input sheet(dashboard)'!$D$3*'Input sheet(dashboard)'!$D$10,0)</f>
        <v>0</v>
      </c>
      <c r="N704" s="3">
        <f>IF(B704='Input sheet(dashboard)'!$D$27*12,J704*'Input sheet(dashboard)'!$D$11,0)</f>
        <v>0</v>
      </c>
      <c r="O704" s="3">
        <f>IF(SUM(F704:F715)&gt;=150000,150000/12*'Input sheet(dashboard)'!$D$28,SUM(F704:F715)/12*'Input sheet(dashboard)'!$D$28)</f>
        <v>3.9801291814391591E-12</v>
      </c>
      <c r="P704" s="3">
        <f t="shared" si="96"/>
        <v>0</v>
      </c>
      <c r="Q704" s="3">
        <f>IF(B704&lt;='Input sheet(dashboard)'!$D$27*12,'Input sheet(dashboard)'!$D$12/12,0)</f>
        <v>0</v>
      </c>
      <c r="R704" s="3">
        <f>IF(B704&lt;='Input sheet(dashboard)'!$D$27*12,('Input sheet(dashboard)'!$D$15/12)*(1+'Input sheet(dashboard)'!$E$22)^Calculations!B704,0)</f>
        <v>0</v>
      </c>
      <c r="S704" s="3">
        <f>IF(B704&lt;='Input sheet(dashboard)'!$D$27*12,(E704+G704+K704+L704-O704+M704+Q704+R704),0)</f>
        <v>0</v>
      </c>
      <c r="T704" s="3">
        <f>IF(B704&lt;='Input sheet(dashboard)'!$D$27*12,IF(D704=12,SUM(S693:S704),0),0)</f>
        <v>0</v>
      </c>
      <c r="U704" s="3">
        <f>IF(B704&lt;='Input sheet(dashboard)'!$D$27*12,IF(S704&lt;AD704,AD704-S704,0),0)</f>
        <v>0</v>
      </c>
      <c r="V704" s="3">
        <f>IF(B704&lt;='Input sheet(dashboard)'!$D$27*12,V703*(1+'Input sheet(dashboard)'!$E$25)+U704,0)</f>
        <v>0</v>
      </c>
      <c r="W704" s="17">
        <f>IF(B704&lt;='Input sheet(dashboard)'!$D$27*12,J704-I704+V704-N704,0)</f>
        <v>0</v>
      </c>
      <c r="X704" s="3">
        <f>IF(B704&lt;='Input sheet(dashboard)'!$D$27*12,'Input sheet(dashboard)'!$D$17*(1+'Input sheet(dashboard)'!$E$23)^(B704-1),0)</f>
        <v>0</v>
      </c>
      <c r="Y704" s="3"/>
      <c r="Z704" s="18"/>
      <c r="AA704" s="18"/>
      <c r="AB704" s="3">
        <f>IF(B704=1,'Input sheet(dashboard)'!$D$18*Calculations!X704,IF(Calculations!B704=12*'Input sheet(dashboard)'!$D$27,'Input sheet(dashboard)'!$D$18*-Calculations!X704,0))</f>
        <v>0</v>
      </c>
      <c r="AC704" s="3">
        <f>IF(B704&lt;='Input sheet(dashboard)'!$D$27*12,IF(MOD(B703,'Input sheet(dashboard)'!$D$19*12),0,'Input sheet(dashboard)'!$D$20*(1+'Input sheet(dashboard)'!$E$22)^Calculations!B704),0)</f>
        <v>0</v>
      </c>
      <c r="AD704" s="17">
        <f t="shared" si="93"/>
        <v>0</v>
      </c>
      <c r="AE704" s="17">
        <f>IF(B704&lt;='Input sheet(dashboard)'!$D$27*12,IF(D704=12,SUM(AD693:AD704),0),0)</f>
        <v>0</v>
      </c>
      <c r="AF704" s="17">
        <f t="shared" si="94"/>
        <v>0</v>
      </c>
      <c r="AG704" s="17">
        <f t="shared" si="95"/>
        <v>0</v>
      </c>
      <c r="AH704" s="3" t="str">
        <f>IF(B704&lt;='Input sheet(dashboard)'!$D$27*12,AH703*(1+'Input sheet(dashboard)'!$E$25)+AG704," ")</f>
        <v xml:space="preserve"> </v>
      </c>
    </row>
    <row r="705" spans="2:34">
      <c r="B705">
        <f t="shared" si="90"/>
        <v>702</v>
      </c>
      <c r="C705">
        <f t="shared" si="97"/>
        <v>59</v>
      </c>
      <c r="D705">
        <f t="shared" si="98"/>
        <v>6</v>
      </c>
      <c r="E705" s="15">
        <f>IF(C705&lt;='Input sheet(dashboard)'!$D$6, -PMT('Input sheet(dashboard)'!$E$5,'Input sheet(dashboard)'!$D$6*12,'Input sheet(dashboard)'!$D$3*'Input sheet(dashboard)'!$D$4),0)</f>
        <v>0</v>
      </c>
      <c r="F705" s="3">
        <f>I704*'Input sheet(dashboard)'!$E$5</f>
        <v>2.6101498310204916E-11</v>
      </c>
      <c r="G705" s="3">
        <f>IF(C705&lt;='Input sheet(dashboard)'!$D$6,E705*'Input sheet(dashboard)'!$D$7,0)</f>
        <v>0</v>
      </c>
      <c r="H705" s="3">
        <f t="shared" si="91"/>
        <v>-2.6101498310204916E-11</v>
      </c>
      <c r="I705" s="3">
        <f t="shared" si="92"/>
        <v>7.1913534279870057E-9</v>
      </c>
      <c r="J705" s="3">
        <f>IF(B705&lt;='Input sheet(dashboard)'!$D$27*12,'Input sheet(dashboard)'!$D$3*(1+'Input sheet(dashboard)'!$E$24)^B705,0)</f>
        <v>0</v>
      </c>
      <c r="K705" s="3">
        <f>IF(B705&lt;='Input sheet(dashboard)'!$D$27*12,J705*'Input sheet(dashboard)'!$E$8,0)</f>
        <v>0</v>
      </c>
      <c r="L705" s="3">
        <f>IF(B705&lt;='Input sheet(dashboard)'!$D$27*12,'Input sheet(dashboard)'!$D$9*(1+'Input sheet(dashboard)'!$E$22)^B705,0)</f>
        <v>0</v>
      </c>
      <c r="M705" s="3">
        <f>IF(B705=1,'Input sheet(dashboard)'!$D$3*'Input sheet(dashboard)'!$D$10,0)</f>
        <v>0</v>
      </c>
      <c r="N705" s="3">
        <f>IF(B705='Input sheet(dashboard)'!$D$27*12,J705*'Input sheet(dashboard)'!$D$11,0)</f>
        <v>0</v>
      </c>
      <c r="O705" s="3">
        <f>IF(SUM(F705:F716)&gt;=150000,150000/12*'Input sheet(dashboard)'!$D$28,SUM(F705:F716)/12*'Input sheet(dashboard)'!$D$28)</f>
        <v>3.9946279507948389E-12</v>
      </c>
      <c r="P705" s="3">
        <f t="shared" si="96"/>
        <v>0</v>
      </c>
      <c r="Q705" s="3">
        <f>IF(B705&lt;='Input sheet(dashboard)'!$D$27*12,'Input sheet(dashboard)'!$D$12/12,0)</f>
        <v>0</v>
      </c>
      <c r="R705" s="3">
        <f>IF(B705&lt;='Input sheet(dashboard)'!$D$27*12,('Input sheet(dashboard)'!$D$15/12)*(1+'Input sheet(dashboard)'!$E$22)^Calculations!B705,0)</f>
        <v>0</v>
      </c>
      <c r="S705" s="3">
        <f>IF(B705&lt;='Input sheet(dashboard)'!$D$27*12,(E705+G705+K705+L705-O705+M705+Q705+R705),0)</f>
        <v>0</v>
      </c>
      <c r="T705" s="3">
        <f>IF(B705&lt;='Input sheet(dashboard)'!$D$27*12,IF(D705=12,SUM(S694:S705),0),0)</f>
        <v>0</v>
      </c>
      <c r="U705" s="3">
        <f>IF(B705&lt;='Input sheet(dashboard)'!$D$27*12,IF(S705&lt;AD705,AD705-S705,0),0)</f>
        <v>0</v>
      </c>
      <c r="V705" s="3">
        <f>IF(B705&lt;='Input sheet(dashboard)'!$D$27*12,V704*(1+'Input sheet(dashboard)'!$E$25)+U705,0)</f>
        <v>0</v>
      </c>
      <c r="W705" s="17">
        <f>IF(B705&lt;='Input sheet(dashboard)'!$D$27*12,J705-I705+V705-N705,0)</f>
        <v>0</v>
      </c>
      <c r="X705" s="3">
        <f>IF(B705&lt;='Input sheet(dashboard)'!$D$27*12,'Input sheet(dashboard)'!$D$17*(1+'Input sheet(dashboard)'!$E$23)^(B705-1),0)</f>
        <v>0</v>
      </c>
      <c r="Y705" s="3"/>
      <c r="Z705" s="18"/>
      <c r="AA705" s="18"/>
      <c r="AB705" s="3">
        <f>IF(B705=1,'Input sheet(dashboard)'!$D$18*Calculations!X705,IF(Calculations!B705=12*'Input sheet(dashboard)'!$D$27,'Input sheet(dashboard)'!$D$18*-Calculations!X705,0))</f>
        <v>0</v>
      </c>
      <c r="AC705" s="3">
        <f>IF(B705&lt;='Input sheet(dashboard)'!$D$27*12,IF(MOD(B704,'Input sheet(dashboard)'!$D$19*12),0,'Input sheet(dashboard)'!$D$20*(1+'Input sheet(dashboard)'!$E$22)^Calculations!B705),0)</f>
        <v>0</v>
      </c>
      <c r="AD705" s="17">
        <f t="shared" si="93"/>
        <v>0</v>
      </c>
      <c r="AE705" s="17">
        <f>IF(B705&lt;='Input sheet(dashboard)'!$D$27*12,IF(D705=12,SUM(AD694:AD705),0),0)</f>
        <v>0</v>
      </c>
      <c r="AF705" s="17">
        <f t="shared" si="94"/>
        <v>0</v>
      </c>
      <c r="AG705" s="17">
        <f t="shared" si="95"/>
        <v>0</v>
      </c>
      <c r="AH705" s="3" t="str">
        <f>IF(B705&lt;='Input sheet(dashboard)'!$D$27*12,AH704*(1+'Input sheet(dashboard)'!$E$25)+AG705," ")</f>
        <v xml:space="preserve"> </v>
      </c>
    </row>
    <row r="706" spans="2:34">
      <c r="B706">
        <f t="shared" si="90"/>
        <v>703</v>
      </c>
      <c r="C706">
        <f t="shared" si="97"/>
        <v>59</v>
      </c>
      <c r="D706">
        <f t="shared" si="98"/>
        <v>7</v>
      </c>
      <c r="E706" s="15">
        <f>IF(C706&lt;='Input sheet(dashboard)'!$D$6, -PMT('Input sheet(dashboard)'!$E$5,'Input sheet(dashboard)'!$D$6*12,'Input sheet(dashboard)'!$D$3*'Input sheet(dashboard)'!$D$4),0)</f>
        <v>0</v>
      </c>
      <c r="F706" s="3">
        <f>I705*'Input sheet(dashboard)'!$E$5</f>
        <v>2.6196580551656312E-11</v>
      </c>
      <c r="G706" s="3">
        <f>IF(C706&lt;='Input sheet(dashboard)'!$D$6,E706*'Input sheet(dashboard)'!$D$7,0)</f>
        <v>0</v>
      </c>
      <c r="H706" s="3">
        <f t="shared" si="91"/>
        <v>-2.6196580551656312E-11</v>
      </c>
      <c r="I706" s="3">
        <f t="shared" si="92"/>
        <v>7.2175500085386622E-9</v>
      </c>
      <c r="J706" s="3">
        <f>IF(B706&lt;='Input sheet(dashboard)'!$D$27*12,'Input sheet(dashboard)'!$D$3*(1+'Input sheet(dashboard)'!$E$24)^B706,0)</f>
        <v>0</v>
      </c>
      <c r="K706" s="3">
        <f>IF(B706&lt;='Input sheet(dashboard)'!$D$27*12,J706*'Input sheet(dashboard)'!$E$8,0)</f>
        <v>0</v>
      </c>
      <c r="L706" s="3">
        <f>IF(B706&lt;='Input sheet(dashboard)'!$D$27*12,'Input sheet(dashboard)'!$D$9*(1+'Input sheet(dashboard)'!$E$22)^B706,0)</f>
        <v>0</v>
      </c>
      <c r="M706" s="3">
        <f>IF(B706=1,'Input sheet(dashboard)'!$D$3*'Input sheet(dashboard)'!$D$10,0)</f>
        <v>0</v>
      </c>
      <c r="N706" s="3">
        <f>IF(B706='Input sheet(dashboard)'!$D$27*12,J706*'Input sheet(dashboard)'!$D$11,0)</f>
        <v>0</v>
      </c>
      <c r="O706" s="3">
        <f>IF(SUM(F706:F717)&gt;=150000,150000/12*'Input sheet(dashboard)'!$D$28,SUM(F706:F717)/12*'Input sheet(dashboard)'!$D$28)</f>
        <v>4.0091795361027783E-12</v>
      </c>
      <c r="P706" s="3">
        <f t="shared" si="96"/>
        <v>0</v>
      </c>
      <c r="Q706" s="3">
        <f>IF(B706&lt;='Input sheet(dashboard)'!$D$27*12,'Input sheet(dashboard)'!$D$12/12,0)</f>
        <v>0</v>
      </c>
      <c r="R706" s="3">
        <f>IF(B706&lt;='Input sheet(dashboard)'!$D$27*12,('Input sheet(dashboard)'!$D$15/12)*(1+'Input sheet(dashboard)'!$E$22)^Calculations!B706,0)</f>
        <v>0</v>
      </c>
      <c r="S706" s="3">
        <f>IF(B706&lt;='Input sheet(dashboard)'!$D$27*12,(E706+G706+K706+L706-O706+M706+Q706+R706),0)</f>
        <v>0</v>
      </c>
      <c r="T706" s="3">
        <f>IF(B706&lt;='Input sheet(dashboard)'!$D$27*12,IF(D706=12,SUM(S695:S706),0),0)</f>
        <v>0</v>
      </c>
      <c r="U706" s="3">
        <f>IF(B706&lt;='Input sheet(dashboard)'!$D$27*12,IF(S706&lt;AD706,AD706-S706,0),0)</f>
        <v>0</v>
      </c>
      <c r="V706" s="3">
        <f>IF(B706&lt;='Input sheet(dashboard)'!$D$27*12,V705*(1+'Input sheet(dashboard)'!$E$25)+U706,0)</f>
        <v>0</v>
      </c>
      <c r="W706" s="17">
        <f>IF(B706&lt;='Input sheet(dashboard)'!$D$27*12,J706-I706+V706-N706,0)</f>
        <v>0</v>
      </c>
      <c r="X706" s="3">
        <f>IF(B706&lt;='Input sheet(dashboard)'!$D$27*12,'Input sheet(dashboard)'!$D$17*(1+'Input sheet(dashboard)'!$E$23)^(B706-1),0)</f>
        <v>0</v>
      </c>
      <c r="Y706" s="3"/>
      <c r="Z706" s="18"/>
      <c r="AA706" s="18"/>
      <c r="AB706" s="3">
        <f>IF(B706=1,'Input sheet(dashboard)'!$D$18*Calculations!X706,IF(Calculations!B706=12*'Input sheet(dashboard)'!$D$27,'Input sheet(dashboard)'!$D$18*-Calculations!X706,0))</f>
        <v>0</v>
      </c>
      <c r="AC706" s="3">
        <f>IF(B706&lt;='Input sheet(dashboard)'!$D$27*12,IF(MOD(B705,'Input sheet(dashboard)'!$D$19*12),0,'Input sheet(dashboard)'!$D$20*(1+'Input sheet(dashboard)'!$E$22)^Calculations!B706),0)</f>
        <v>0</v>
      </c>
      <c r="AD706" s="17">
        <f t="shared" si="93"/>
        <v>0</v>
      </c>
      <c r="AE706" s="17">
        <f>IF(B706&lt;='Input sheet(dashboard)'!$D$27*12,IF(D706=12,SUM(AD695:AD706),0),0)</f>
        <v>0</v>
      </c>
      <c r="AF706" s="17">
        <f t="shared" si="94"/>
        <v>0</v>
      </c>
      <c r="AG706" s="17">
        <f t="shared" si="95"/>
        <v>0</v>
      </c>
      <c r="AH706" s="3" t="str">
        <f>IF(B706&lt;='Input sheet(dashboard)'!$D$27*12,AH705*(1+'Input sheet(dashboard)'!$E$25)+AG706," ")</f>
        <v xml:space="preserve"> </v>
      </c>
    </row>
    <row r="707" spans="2:34">
      <c r="B707">
        <f t="shared" si="90"/>
        <v>704</v>
      </c>
      <c r="C707">
        <f t="shared" si="97"/>
        <v>59</v>
      </c>
      <c r="D707">
        <f t="shared" si="98"/>
        <v>8</v>
      </c>
      <c r="E707" s="15">
        <f>IF(C707&lt;='Input sheet(dashboard)'!$D$6, -PMT('Input sheet(dashboard)'!$E$5,'Input sheet(dashboard)'!$D$6*12,'Input sheet(dashboard)'!$D$3*'Input sheet(dashboard)'!$D$4),0)</f>
        <v>0</v>
      </c>
      <c r="F707" s="3">
        <f>I706*'Input sheet(dashboard)'!$E$5</f>
        <v>2.6292009157616445E-11</v>
      </c>
      <c r="G707" s="3">
        <f>IF(C707&lt;='Input sheet(dashboard)'!$D$6,E707*'Input sheet(dashboard)'!$D$7,0)</f>
        <v>0</v>
      </c>
      <c r="H707" s="3">
        <f t="shared" si="91"/>
        <v>-2.6292009157616445E-11</v>
      </c>
      <c r="I707" s="3">
        <f t="shared" si="92"/>
        <v>7.2438420176962788E-9</v>
      </c>
      <c r="J707" s="3">
        <f>IF(B707&lt;='Input sheet(dashboard)'!$D$27*12,'Input sheet(dashboard)'!$D$3*(1+'Input sheet(dashboard)'!$E$24)^B707,0)</f>
        <v>0</v>
      </c>
      <c r="K707" s="3">
        <f>IF(B707&lt;='Input sheet(dashboard)'!$D$27*12,J707*'Input sheet(dashboard)'!$E$8,0)</f>
        <v>0</v>
      </c>
      <c r="L707" s="3">
        <f>IF(B707&lt;='Input sheet(dashboard)'!$D$27*12,'Input sheet(dashboard)'!$D$9*(1+'Input sheet(dashboard)'!$E$22)^B707,0)</f>
        <v>0</v>
      </c>
      <c r="M707" s="3">
        <f>IF(B707=1,'Input sheet(dashboard)'!$D$3*'Input sheet(dashboard)'!$D$10,0)</f>
        <v>0</v>
      </c>
      <c r="N707" s="3">
        <f>IF(B707='Input sheet(dashboard)'!$D$27*12,J707*'Input sheet(dashboard)'!$D$11,0)</f>
        <v>0</v>
      </c>
      <c r="O707" s="3">
        <f>IF(SUM(F707:F718)&gt;=150000,150000/12*'Input sheet(dashboard)'!$D$28,SUM(F707:F718)/12*'Input sheet(dashboard)'!$D$28)</f>
        <v>4.0237841297603263E-12</v>
      </c>
      <c r="P707" s="3">
        <f t="shared" si="96"/>
        <v>0</v>
      </c>
      <c r="Q707" s="3">
        <f>IF(B707&lt;='Input sheet(dashboard)'!$D$27*12,'Input sheet(dashboard)'!$D$12/12,0)</f>
        <v>0</v>
      </c>
      <c r="R707" s="3">
        <f>IF(B707&lt;='Input sheet(dashboard)'!$D$27*12,('Input sheet(dashboard)'!$D$15/12)*(1+'Input sheet(dashboard)'!$E$22)^Calculations!B707,0)</f>
        <v>0</v>
      </c>
      <c r="S707" s="3">
        <f>IF(B707&lt;='Input sheet(dashboard)'!$D$27*12,(E707+G707+K707+L707-O707+M707+Q707+R707),0)</f>
        <v>0</v>
      </c>
      <c r="T707" s="3">
        <f>IF(B707&lt;='Input sheet(dashboard)'!$D$27*12,IF(D707=12,SUM(S696:S707),0),0)</f>
        <v>0</v>
      </c>
      <c r="U707" s="3">
        <f>IF(B707&lt;='Input sheet(dashboard)'!$D$27*12,IF(S707&lt;AD707,AD707-S707,0),0)</f>
        <v>0</v>
      </c>
      <c r="V707" s="3">
        <f>IF(B707&lt;='Input sheet(dashboard)'!$D$27*12,V706*(1+'Input sheet(dashboard)'!$E$25)+U707,0)</f>
        <v>0</v>
      </c>
      <c r="W707" s="17">
        <f>IF(B707&lt;='Input sheet(dashboard)'!$D$27*12,J707-I707+V707-N707,0)</f>
        <v>0</v>
      </c>
      <c r="X707" s="3">
        <f>IF(B707&lt;='Input sheet(dashboard)'!$D$27*12,'Input sheet(dashboard)'!$D$17*(1+'Input sheet(dashboard)'!$E$23)^(B707-1),0)</f>
        <v>0</v>
      </c>
      <c r="Y707" s="3"/>
      <c r="Z707" s="18"/>
      <c r="AA707" s="18"/>
      <c r="AB707" s="3">
        <f>IF(B707=1,'Input sheet(dashboard)'!$D$18*Calculations!X707,IF(Calculations!B707=12*'Input sheet(dashboard)'!$D$27,'Input sheet(dashboard)'!$D$18*-Calculations!X707,0))</f>
        <v>0</v>
      </c>
      <c r="AC707" s="3">
        <f>IF(B707&lt;='Input sheet(dashboard)'!$D$27*12,IF(MOD(B706,'Input sheet(dashboard)'!$D$19*12),0,'Input sheet(dashboard)'!$D$20*(1+'Input sheet(dashboard)'!$E$22)^Calculations!B707),0)</f>
        <v>0</v>
      </c>
      <c r="AD707" s="17">
        <f t="shared" si="93"/>
        <v>0</v>
      </c>
      <c r="AE707" s="17">
        <f>IF(B707&lt;='Input sheet(dashboard)'!$D$27*12,IF(D707=12,SUM(AD696:AD707),0),0)</f>
        <v>0</v>
      </c>
      <c r="AF707" s="17">
        <f t="shared" si="94"/>
        <v>0</v>
      </c>
      <c r="AG707" s="17">
        <f t="shared" si="95"/>
        <v>0</v>
      </c>
      <c r="AH707" s="3" t="str">
        <f>IF(B707&lt;='Input sheet(dashboard)'!$D$27*12,AH706*(1+'Input sheet(dashboard)'!$E$25)+AG707," ")</f>
        <v xml:space="preserve"> </v>
      </c>
    </row>
    <row r="708" spans="2:34">
      <c r="B708">
        <f t="shared" ref="B708:B723" si="99">B707+1</f>
        <v>705</v>
      </c>
      <c r="C708">
        <f t="shared" si="97"/>
        <v>59</v>
      </c>
      <c r="D708">
        <f t="shared" si="98"/>
        <v>9</v>
      </c>
      <c r="E708" s="15">
        <f>IF(C708&lt;='Input sheet(dashboard)'!$D$6, -PMT('Input sheet(dashboard)'!$E$5,'Input sheet(dashboard)'!$D$6*12,'Input sheet(dashboard)'!$D$3*'Input sheet(dashboard)'!$D$4),0)</f>
        <v>0</v>
      </c>
      <c r="F708" s="3">
        <f>I707*'Input sheet(dashboard)'!$E$5</f>
        <v>2.6387785389818008E-11</v>
      </c>
      <c r="G708" s="3">
        <f>IF(C708&lt;='Input sheet(dashboard)'!$D$6,E708*'Input sheet(dashboard)'!$D$7,0)</f>
        <v>0</v>
      </c>
      <c r="H708" s="3">
        <f t="shared" ref="H708:H723" si="100">E708-F708</f>
        <v>-2.6387785389818008E-11</v>
      </c>
      <c r="I708" s="3">
        <f t="shared" ref="I708:I723" si="101">I707-H708</f>
        <v>7.2702298030860971E-9</v>
      </c>
      <c r="J708" s="3">
        <f>IF(B708&lt;='Input sheet(dashboard)'!$D$27*12,'Input sheet(dashboard)'!$D$3*(1+'Input sheet(dashboard)'!$E$24)^B708,0)</f>
        <v>0</v>
      </c>
      <c r="K708" s="3">
        <f>IF(B708&lt;='Input sheet(dashboard)'!$D$27*12,J708*'Input sheet(dashboard)'!$E$8,0)</f>
        <v>0</v>
      </c>
      <c r="L708" s="3">
        <f>IF(B708&lt;='Input sheet(dashboard)'!$D$27*12,'Input sheet(dashboard)'!$D$9*(1+'Input sheet(dashboard)'!$E$22)^B708,0)</f>
        <v>0</v>
      </c>
      <c r="M708" s="3">
        <f>IF(B708=1,'Input sheet(dashboard)'!$D$3*'Input sheet(dashboard)'!$D$10,0)</f>
        <v>0</v>
      </c>
      <c r="N708" s="3">
        <f>IF(B708='Input sheet(dashboard)'!$D$27*12,J708*'Input sheet(dashboard)'!$D$11,0)</f>
        <v>0</v>
      </c>
      <c r="O708" s="3">
        <f>IF(SUM(F708:F719)&gt;=150000,150000/12*'Input sheet(dashboard)'!$D$28,SUM(F708:F719)/12*'Input sheet(dashboard)'!$D$28)</f>
        <v>4.0384419248656973E-12</v>
      </c>
      <c r="P708" s="3">
        <f t="shared" si="96"/>
        <v>0</v>
      </c>
      <c r="Q708" s="3">
        <f>IF(B708&lt;='Input sheet(dashboard)'!$D$27*12,'Input sheet(dashboard)'!$D$12/12,0)</f>
        <v>0</v>
      </c>
      <c r="R708" s="3">
        <f>IF(B708&lt;='Input sheet(dashboard)'!$D$27*12,('Input sheet(dashboard)'!$D$15/12)*(1+'Input sheet(dashboard)'!$E$22)^Calculations!B708,0)</f>
        <v>0</v>
      </c>
      <c r="S708" s="3">
        <f>IF(B708&lt;='Input sheet(dashboard)'!$D$27*12,(E708+G708+K708+L708-O708+M708+Q708+R708),0)</f>
        <v>0</v>
      </c>
      <c r="T708" s="3">
        <f>IF(B708&lt;='Input sheet(dashboard)'!$D$27*12,IF(D708=12,SUM(S697:S708),0),0)</f>
        <v>0</v>
      </c>
      <c r="U708" s="3">
        <f>IF(B708&lt;='Input sheet(dashboard)'!$D$27*12,IF(S708&lt;AD708,AD708-S708,0),0)</f>
        <v>0</v>
      </c>
      <c r="V708" s="3">
        <f>IF(B708&lt;='Input sheet(dashboard)'!$D$27*12,V707*(1+'Input sheet(dashboard)'!$E$25)+U708,0)</f>
        <v>0</v>
      </c>
      <c r="W708" s="17">
        <f>IF(B708&lt;='Input sheet(dashboard)'!$D$27*12,J708-I708+V708-N708,0)</f>
        <v>0</v>
      </c>
      <c r="X708" s="3">
        <f>IF(B708&lt;='Input sheet(dashboard)'!$D$27*12,'Input sheet(dashboard)'!$D$17*(1+'Input sheet(dashboard)'!$E$23)^(B708-1),0)</f>
        <v>0</v>
      </c>
      <c r="Y708" s="3"/>
      <c r="Z708" s="18"/>
      <c r="AA708" s="18"/>
      <c r="AB708" s="3">
        <f>IF(B708=1,'Input sheet(dashboard)'!$D$18*Calculations!X708,IF(Calculations!B708=12*'Input sheet(dashboard)'!$D$27,'Input sheet(dashboard)'!$D$18*-Calculations!X708,0))</f>
        <v>0</v>
      </c>
      <c r="AC708" s="3">
        <f>IF(B708&lt;='Input sheet(dashboard)'!$D$27*12,IF(MOD(B707,'Input sheet(dashboard)'!$D$19*12),0,'Input sheet(dashboard)'!$D$20*(1+'Input sheet(dashboard)'!$E$22)^Calculations!B708),0)</f>
        <v>0</v>
      </c>
      <c r="AD708" s="17">
        <f t="shared" ref="AD708:AD723" si="102">X708+Y708+AB708+AC708</f>
        <v>0</v>
      </c>
      <c r="AE708" s="17">
        <f>IF(B708&lt;='Input sheet(dashboard)'!$D$27*12,IF(D708=12,SUM(AD697:AD708),0),0)</f>
        <v>0</v>
      </c>
      <c r="AF708" s="17">
        <f t="shared" ref="AF708:AF723" si="103">S708-AD708</f>
        <v>0</v>
      </c>
      <c r="AG708" s="17">
        <f t="shared" ref="AG708:AG723" si="104">IF(AF708&gt;0,AF708,0)</f>
        <v>0</v>
      </c>
      <c r="AH708" s="3" t="str">
        <f>IF(B708&lt;='Input sheet(dashboard)'!$D$27*12,AH707*(1+'Input sheet(dashboard)'!$E$25)+AG708," ")</f>
        <v xml:space="preserve"> </v>
      </c>
    </row>
    <row r="709" spans="2:34">
      <c r="B709">
        <f t="shared" si="99"/>
        <v>706</v>
      </c>
      <c r="C709">
        <f t="shared" si="97"/>
        <v>59</v>
      </c>
      <c r="D709">
        <f t="shared" si="98"/>
        <v>10</v>
      </c>
      <c r="E709" s="15">
        <f>IF(C709&lt;='Input sheet(dashboard)'!$D$6, -PMT('Input sheet(dashboard)'!$E$5,'Input sheet(dashboard)'!$D$6*12,'Input sheet(dashboard)'!$D$3*'Input sheet(dashboard)'!$D$4),0)</f>
        <v>0</v>
      </c>
      <c r="F709" s="3">
        <f>I708*'Input sheet(dashboard)'!$E$5</f>
        <v>2.6483910514589922E-11</v>
      </c>
      <c r="G709" s="3">
        <f>IF(C709&lt;='Input sheet(dashboard)'!$D$6,E709*'Input sheet(dashboard)'!$D$7,0)</f>
        <v>0</v>
      </c>
      <c r="H709" s="3">
        <f t="shared" si="100"/>
        <v>-2.6483910514589922E-11</v>
      </c>
      <c r="I709" s="3">
        <f t="shared" si="101"/>
        <v>7.2967137136006869E-9</v>
      </c>
      <c r="J709" s="3">
        <f>IF(B709&lt;='Input sheet(dashboard)'!$D$27*12,'Input sheet(dashboard)'!$D$3*(1+'Input sheet(dashboard)'!$E$24)^B709,0)</f>
        <v>0</v>
      </c>
      <c r="K709" s="3">
        <f>IF(B709&lt;='Input sheet(dashboard)'!$D$27*12,J709*'Input sheet(dashboard)'!$E$8,0)</f>
        <v>0</v>
      </c>
      <c r="L709" s="3">
        <f>IF(B709&lt;='Input sheet(dashboard)'!$D$27*12,'Input sheet(dashboard)'!$D$9*(1+'Input sheet(dashboard)'!$E$22)^B709,0)</f>
        <v>0</v>
      </c>
      <c r="M709" s="3">
        <f>IF(B709=1,'Input sheet(dashboard)'!$D$3*'Input sheet(dashboard)'!$D$10,0)</f>
        <v>0</v>
      </c>
      <c r="N709" s="3">
        <f>IF(B709='Input sheet(dashboard)'!$D$27*12,J709*'Input sheet(dashboard)'!$D$11,0)</f>
        <v>0</v>
      </c>
      <c r="O709" s="3">
        <f>IF(SUM(F709:F720)&gt;=150000,150000/12*'Input sheet(dashboard)'!$D$28,SUM(F709:F720)/12*'Input sheet(dashboard)'!$D$28)</f>
        <v>4.0531531152205216E-12</v>
      </c>
      <c r="P709" s="3">
        <f t="shared" si="96"/>
        <v>0</v>
      </c>
      <c r="Q709" s="3">
        <f>IF(B709&lt;='Input sheet(dashboard)'!$D$27*12,'Input sheet(dashboard)'!$D$12/12,0)</f>
        <v>0</v>
      </c>
      <c r="R709" s="3">
        <f>IF(B709&lt;='Input sheet(dashboard)'!$D$27*12,('Input sheet(dashboard)'!$D$15/12)*(1+'Input sheet(dashboard)'!$E$22)^Calculations!B709,0)</f>
        <v>0</v>
      </c>
      <c r="S709" s="3">
        <f>IF(B709&lt;='Input sheet(dashboard)'!$D$27*12,(E709+G709+K709+L709-O709+M709+Q709+R709),0)</f>
        <v>0</v>
      </c>
      <c r="T709" s="3">
        <f>IF(B709&lt;='Input sheet(dashboard)'!$D$27*12,IF(D709=12,SUM(S698:S709),0),0)</f>
        <v>0</v>
      </c>
      <c r="U709" s="3">
        <f>IF(B709&lt;='Input sheet(dashboard)'!$D$27*12,IF(S709&lt;AD709,AD709-S709,0),0)</f>
        <v>0</v>
      </c>
      <c r="V709" s="3">
        <f>IF(B709&lt;='Input sheet(dashboard)'!$D$27*12,V708*(1+'Input sheet(dashboard)'!$E$25)+U709,0)</f>
        <v>0</v>
      </c>
      <c r="W709" s="17">
        <f>IF(B709&lt;='Input sheet(dashboard)'!$D$27*12,J709-I709+V709-N709,0)</f>
        <v>0</v>
      </c>
      <c r="X709" s="3">
        <f>IF(B709&lt;='Input sheet(dashboard)'!$D$27*12,'Input sheet(dashboard)'!$D$17*(1+'Input sheet(dashboard)'!$E$23)^(B709-1),0)</f>
        <v>0</v>
      </c>
      <c r="Y709" s="3"/>
      <c r="Z709" s="18"/>
      <c r="AA709" s="18"/>
      <c r="AB709" s="3">
        <f>IF(B709=1,'Input sheet(dashboard)'!$D$18*Calculations!X709,IF(Calculations!B709=12*'Input sheet(dashboard)'!$D$27,'Input sheet(dashboard)'!$D$18*-Calculations!X709,0))</f>
        <v>0</v>
      </c>
      <c r="AC709" s="3">
        <f>IF(B709&lt;='Input sheet(dashboard)'!$D$27*12,IF(MOD(B708,'Input sheet(dashboard)'!$D$19*12),0,'Input sheet(dashboard)'!$D$20*(1+'Input sheet(dashboard)'!$E$22)^Calculations!B709),0)</f>
        <v>0</v>
      </c>
      <c r="AD709" s="17">
        <f t="shared" si="102"/>
        <v>0</v>
      </c>
      <c r="AE709" s="17">
        <f>IF(B709&lt;='Input sheet(dashboard)'!$D$27*12,IF(D709=12,SUM(AD698:AD709),0),0)</f>
        <v>0</v>
      </c>
      <c r="AF709" s="17">
        <f t="shared" si="103"/>
        <v>0</v>
      </c>
      <c r="AG709" s="17">
        <f t="shared" si="104"/>
        <v>0</v>
      </c>
      <c r="AH709" s="3" t="str">
        <f>IF(B709&lt;='Input sheet(dashboard)'!$D$27*12,AH708*(1+'Input sheet(dashboard)'!$E$25)+AG709," ")</f>
        <v xml:space="preserve"> </v>
      </c>
    </row>
    <row r="710" spans="2:34">
      <c r="B710">
        <f t="shared" si="99"/>
        <v>707</v>
      </c>
      <c r="C710">
        <f t="shared" si="97"/>
        <v>59</v>
      </c>
      <c r="D710">
        <f t="shared" si="98"/>
        <v>11</v>
      </c>
      <c r="E710" s="15">
        <f>IF(C710&lt;='Input sheet(dashboard)'!$D$6, -PMT('Input sheet(dashboard)'!$E$5,'Input sheet(dashboard)'!$D$6*12,'Input sheet(dashboard)'!$D$3*'Input sheet(dashboard)'!$D$4),0)</f>
        <v>0</v>
      </c>
      <c r="F710" s="3">
        <f>I709*'Input sheet(dashboard)'!$E$5</f>
        <v>2.6580385802874081E-11</v>
      </c>
      <c r="G710" s="3">
        <f>IF(C710&lt;='Input sheet(dashboard)'!$D$6,E710*'Input sheet(dashboard)'!$D$7,0)</f>
        <v>0</v>
      </c>
      <c r="H710" s="3">
        <f t="shared" si="100"/>
        <v>-2.6580385802874081E-11</v>
      </c>
      <c r="I710" s="3">
        <f t="shared" si="101"/>
        <v>7.3232940994035613E-9</v>
      </c>
      <c r="J710" s="3">
        <f>IF(B710&lt;='Input sheet(dashboard)'!$D$27*12,'Input sheet(dashboard)'!$D$3*(1+'Input sheet(dashboard)'!$E$24)^B710,0)</f>
        <v>0</v>
      </c>
      <c r="K710" s="3">
        <f>IF(B710&lt;='Input sheet(dashboard)'!$D$27*12,J710*'Input sheet(dashboard)'!$E$8,0)</f>
        <v>0</v>
      </c>
      <c r="L710" s="3">
        <f>IF(B710&lt;='Input sheet(dashboard)'!$D$27*12,'Input sheet(dashboard)'!$D$9*(1+'Input sheet(dashboard)'!$E$22)^B710,0)</f>
        <v>0</v>
      </c>
      <c r="M710" s="3">
        <f>IF(B710=1,'Input sheet(dashboard)'!$D$3*'Input sheet(dashboard)'!$D$10,0)</f>
        <v>0</v>
      </c>
      <c r="N710" s="3">
        <f>IF(B710='Input sheet(dashboard)'!$D$27*12,J710*'Input sheet(dashboard)'!$D$11,0)</f>
        <v>0</v>
      </c>
      <c r="O710" s="3">
        <f>IF(SUM(F710:F721)&gt;=150000,150000/12*'Input sheet(dashboard)'!$D$28,SUM(F710:F721)/12*'Input sheet(dashboard)'!$D$28)</f>
        <v>4.0679178953324059E-12</v>
      </c>
      <c r="P710" s="3">
        <f t="shared" si="96"/>
        <v>0</v>
      </c>
      <c r="Q710" s="3">
        <f>IF(B710&lt;='Input sheet(dashboard)'!$D$27*12,'Input sheet(dashboard)'!$D$12/12,0)</f>
        <v>0</v>
      </c>
      <c r="R710" s="3">
        <f>IF(B710&lt;='Input sheet(dashboard)'!$D$27*12,('Input sheet(dashboard)'!$D$15/12)*(1+'Input sheet(dashboard)'!$E$22)^Calculations!B710,0)</f>
        <v>0</v>
      </c>
      <c r="S710" s="3">
        <f>IF(B710&lt;='Input sheet(dashboard)'!$D$27*12,(E710+G710+K710+L710-O710+M710+Q710+R710),0)</f>
        <v>0</v>
      </c>
      <c r="T710" s="3">
        <f>IF(B710&lt;='Input sheet(dashboard)'!$D$27*12,IF(D710=12,SUM(S699:S710),0),0)</f>
        <v>0</v>
      </c>
      <c r="U710" s="3">
        <f>IF(B710&lt;='Input sheet(dashboard)'!$D$27*12,IF(S710&lt;AD710,AD710-S710,0),0)</f>
        <v>0</v>
      </c>
      <c r="V710" s="3">
        <f>IF(B710&lt;='Input sheet(dashboard)'!$D$27*12,V709*(1+'Input sheet(dashboard)'!$E$25)+U710,0)</f>
        <v>0</v>
      </c>
      <c r="W710" s="17">
        <f>IF(B710&lt;='Input sheet(dashboard)'!$D$27*12,J710-I710+V710-N710,0)</f>
        <v>0</v>
      </c>
      <c r="X710" s="3">
        <f>IF(B710&lt;='Input sheet(dashboard)'!$D$27*12,'Input sheet(dashboard)'!$D$17*(1+'Input sheet(dashboard)'!$E$23)^(B710-1),0)</f>
        <v>0</v>
      </c>
      <c r="Y710" s="3"/>
      <c r="Z710" s="18"/>
      <c r="AA710" s="18"/>
      <c r="AB710" s="3">
        <f>IF(B710=1,'Input sheet(dashboard)'!$D$18*Calculations!X710,IF(Calculations!B710=12*'Input sheet(dashboard)'!$D$27,'Input sheet(dashboard)'!$D$18*-Calculations!X710,0))</f>
        <v>0</v>
      </c>
      <c r="AC710" s="3">
        <f>IF(B710&lt;='Input sheet(dashboard)'!$D$27*12,IF(MOD(B709,'Input sheet(dashboard)'!$D$19*12),0,'Input sheet(dashboard)'!$D$20*(1+'Input sheet(dashboard)'!$E$22)^Calculations!B710),0)</f>
        <v>0</v>
      </c>
      <c r="AD710" s="17">
        <f t="shared" si="102"/>
        <v>0</v>
      </c>
      <c r="AE710" s="17">
        <f>IF(B710&lt;='Input sheet(dashboard)'!$D$27*12,IF(D710=12,SUM(AD699:AD710),0),0)</f>
        <v>0</v>
      </c>
      <c r="AF710" s="17">
        <f t="shared" si="103"/>
        <v>0</v>
      </c>
      <c r="AG710" s="17">
        <f t="shared" si="104"/>
        <v>0</v>
      </c>
      <c r="AH710" s="3" t="str">
        <f>IF(B710&lt;='Input sheet(dashboard)'!$D$27*12,AH709*(1+'Input sheet(dashboard)'!$E$25)+AG710," ")</f>
        <v xml:space="preserve"> </v>
      </c>
    </row>
    <row r="711" spans="2:34">
      <c r="B711">
        <f t="shared" si="99"/>
        <v>708</v>
      </c>
      <c r="C711">
        <f t="shared" si="97"/>
        <v>59</v>
      </c>
      <c r="D711">
        <f t="shared" si="98"/>
        <v>12</v>
      </c>
      <c r="E711" s="15">
        <f>IF(C711&lt;='Input sheet(dashboard)'!$D$6, -PMT('Input sheet(dashboard)'!$E$5,'Input sheet(dashboard)'!$D$6*12,'Input sheet(dashboard)'!$D$3*'Input sheet(dashboard)'!$D$4),0)</f>
        <v>0</v>
      </c>
      <c r="F711" s="3">
        <f>I710*'Input sheet(dashboard)'!$E$5</f>
        <v>2.6677212530242145E-11</v>
      </c>
      <c r="G711" s="3">
        <f>IF(C711&lt;='Input sheet(dashboard)'!$D$6,E711*'Input sheet(dashboard)'!$D$7,0)</f>
        <v>0</v>
      </c>
      <c r="H711" s="3">
        <f t="shared" si="100"/>
        <v>-2.6677212530242145E-11</v>
      </c>
      <c r="I711" s="3">
        <f t="shared" si="101"/>
        <v>7.3499713119338038E-9</v>
      </c>
      <c r="J711" s="3">
        <f>IF(B711&lt;='Input sheet(dashboard)'!$D$27*12,'Input sheet(dashboard)'!$D$3*(1+'Input sheet(dashboard)'!$E$24)^B711,0)</f>
        <v>0</v>
      </c>
      <c r="K711" s="3">
        <f>IF(B711&lt;='Input sheet(dashboard)'!$D$27*12,J711*'Input sheet(dashboard)'!$E$8,0)</f>
        <v>0</v>
      </c>
      <c r="L711" s="3">
        <f>IF(B711&lt;='Input sheet(dashboard)'!$D$27*12,'Input sheet(dashboard)'!$D$9*(1+'Input sheet(dashboard)'!$E$22)^B711,0)</f>
        <v>0</v>
      </c>
      <c r="M711" s="3">
        <f>IF(B711=1,'Input sheet(dashboard)'!$D$3*'Input sheet(dashboard)'!$D$10,0)</f>
        <v>0</v>
      </c>
      <c r="N711" s="3">
        <f>IF(B711='Input sheet(dashboard)'!$D$27*12,J711*'Input sheet(dashboard)'!$D$11,0)</f>
        <v>0</v>
      </c>
      <c r="O711" s="3">
        <f>IF(SUM(F711:F722)&gt;=150000,150000/12*'Input sheet(dashboard)'!$D$28,SUM(F711:F722)/12*'Input sheet(dashboard)'!$D$28)</f>
        <v>4.0827364604175086E-12</v>
      </c>
      <c r="P711" s="3">
        <f t="shared" si="96"/>
        <v>5.1088060076296968E-11</v>
      </c>
      <c r="Q711" s="3">
        <f>IF(B711&lt;='Input sheet(dashboard)'!$D$27*12,'Input sheet(dashboard)'!$D$12/12,0)</f>
        <v>0</v>
      </c>
      <c r="R711" s="3">
        <f>IF(B711&lt;='Input sheet(dashboard)'!$D$27*12,('Input sheet(dashboard)'!$D$15/12)*(1+'Input sheet(dashboard)'!$E$22)^Calculations!B711,0)</f>
        <v>0</v>
      </c>
      <c r="S711" s="3">
        <f>IF(B711&lt;='Input sheet(dashboard)'!$D$27*12,(E711+G711+K711+L711-O711+M711+Q711+R711),0)</f>
        <v>0</v>
      </c>
      <c r="T711" s="3">
        <f>IF(B711&lt;='Input sheet(dashboard)'!$D$27*12,IF(D711=12,SUM(S700:S711),0),0)</f>
        <v>0</v>
      </c>
      <c r="U711" s="3">
        <f>IF(B711&lt;='Input sheet(dashboard)'!$D$27*12,IF(S711&lt;AD711,AD711-S711,0),0)</f>
        <v>0</v>
      </c>
      <c r="V711" s="3">
        <f>IF(B711&lt;='Input sheet(dashboard)'!$D$27*12,V710*(1+'Input sheet(dashboard)'!$E$25)+U711,0)</f>
        <v>0</v>
      </c>
      <c r="W711" s="17">
        <f>IF(B711&lt;='Input sheet(dashboard)'!$D$27*12,J711-I711+V711-N711,0)</f>
        <v>0</v>
      </c>
      <c r="X711" s="3">
        <f>IF(B711&lt;='Input sheet(dashboard)'!$D$27*12,'Input sheet(dashboard)'!$D$17*(1+'Input sheet(dashboard)'!$E$23)^(B711-1),0)</f>
        <v>0</v>
      </c>
      <c r="Y711" s="3"/>
      <c r="Z711" s="18"/>
      <c r="AA711" s="18"/>
      <c r="AB711" s="3">
        <f>IF(B711=1,'Input sheet(dashboard)'!$D$18*Calculations!X711,IF(Calculations!B711=12*'Input sheet(dashboard)'!$D$27,'Input sheet(dashboard)'!$D$18*-Calculations!X711,0))</f>
        <v>0</v>
      </c>
      <c r="AC711" s="3">
        <f>IF(B711&lt;='Input sheet(dashboard)'!$D$27*12,IF(MOD(B710,'Input sheet(dashboard)'!$D$19*12),0,'Input sheet(dashboard)'!$D$20*(1+'Input sheet(dashboard)'!$E$22)^Calculations!B711),0)</f>
        <v>0</v>
      </c>
      <c r="AD711" s="17">
        <f t="shared" si="102"/>
        <v>0</v>
      </c>
      <c r="AE711" s="17">
        <f>IF(B711&lt;='Input sheet(dashboard)'!$D$27*12,IF(D711=12,SUM(AD700:AD711),0),0)</f>
        <v>0</v>
      </c>
      <c r="AF711" s="17">
        <f t="shared" si="103"/>
        <v>0</v>
      </c>
      <c r="AG711" s="17">
        <f t="shared" si="104"/>
        <v>0</v>
      </c>
      <c r="AH711" s="3" t="str">
        <f>IF(B711&lt;='Input sheet(dashboard)'!$D$27*12,AH710*(1+'Input sheet(dashboard)'!$E$25)+AG711," ")</f>
        <v xml:space="preserve"> </v>
      </c>
    </row>
    <row r="712" spans="2:34">
      <c r="B712">
        <f t="shared" si="99"/>
        <v>709</v>
      </c>
      <c r="C712">
        <f t="shared" si="97"/>
        <v>60</v>
      </c>
      <c r="D712">
        <f t="shared" si="98"/>
        <v>1</v>
      </c>
      <c r="E712" s="15">
        <f>IF(C712&lt;='Input sheet(dashboard)'!$D$6, -PMT('Input sheet(dashboard)'!$E$5,'Input sheet(dashboard)'!$D$6*12,'Input sheet(dashboard)'!$D$3*'Input sheet(dashboard)'!$D$4),0)</f>
        <v>0</v>
      </c>
      <c r="F712" s="3">
        <f>I711*'Input sheet(dashboard)'!$E$5</f>
        <v>2.677439197691242E-11</v>
      </c>
      <c r="G712" s="3">
        <f>IF(C712&lt;='Input sheet(dashboard)'!$D$6,E712*'Input sheet(dashboard)'!$D$7,0)</f>
        <v>0</v>
      </c>
      <c r="H712" s="3">
        <f t="shared" si="100"/>
        <v>-2.677439197691242E-11</v>
      </c>
      <c r="I712" s="3">
        <f t="shared" si="101"/>
        <v>7.376745703910716E-9</v>
      </c>
      <c r="J712" s="3">
        <f>IF(B712&lt;='Input sheet(dashboard)'!$D$27*12,'Input sheet(dashboard)'!$D$3*(1+'Input sheet(dashboard)'!$E$24)^B712,0)</f>
        <v>0</v>
      </c>
      <c r="K712" s="3">
        <f>IF(B712&lt;='Input sheet(dashboard)'!$D$27*12,J712*'Input sheet(dashboard)'!$E$8,0)</f>
        <v>0</v>
      </c>
      <c r="L712" s="3">
        <f>IF(B712&lt;='Input sheet(dashboard)'!$D$27*12,'Input sheet(dashboard)'!$D$9*(1+'Input sheet(dashboard)'!$E$22)^B712,0)</f>
        <v>0</v>
      </c>
      <c r="M712" s="3">
        <f>IF(B712=1,'Input sheet(dashboard)'!$D$3*'Input sheet(dashboard)'!$D$10,0)</f>
        <v>0</v>
      </c>
      <c r="N712" s="3">
        <f>IF(B712='Input sheet(dashboard)'!$D$27*12,J712*'Input sheet(dashboard)'!$D$11,0)</f>
        <v>0</v>
      </c>
      <c r="O712" s="3">
        <f>IF(SUM(F712:F723)&gt;=150000,150000/12*'Input sheet(dashboard)'!$D$28,SUM(F712:F723)/12*'Input sheet(dashboard)'!$D$28)</f>
        <v>4.0976090064031181E-12</v>
      </c>
      <c r="P712" s="3">
        <f t="shared" si="96"/>
        <v>0</v>
      </c>
      <c r="Q712" s="3">
        <f>IF(B712&lt;='Input sheet(dashboard)'!$D$27*12,'Input sheet(dashboard)'!$D$12/12,0)</f>
        <v>0</v>
      </c>
      <c r="R712" s="3">
        <f>IF(B712&lt;='Input sheet(dashboard)'!$D$27*12,('Input sheet(dashboard)'!$D$15/12)*(1+'Input sheet(dashboard)'!$E$22)^Calculations!B712,0)</f>
        <v>0</v>
      </c>
      <c r="S712" s="3">
        <f>IF(B712&lt;='Input sheet(dashboard)'!$D$27*12,(E712+G712+K712+L712-O712+M712+Q712+R712),0)</f>
        <v>0</v>
      </c>
      <c r="T712" s="3">
        <f>IF(B712&lt;='Input sheet(dashboard)'!$D$27*12,IF(D712=12,SUM(S701:S712),0),0)</f>
        <v>0</v>
      </c>
      <c r="U712" s="3">
        <f>IF(B712&lt;='Input sheet(dashboard)'!$D$27*12,IF(S712&lt;AD712,AD712-S712,0),0)</f>
        <v>0</v>
      </c>
      <c r="V712" s="3">
        <f>IF(B712&lt;='Input sheet(dashboard)'!$D$27*12,V711*(1+'Input sheet(dashboard)'!$E$25)+U712,0)</f>
        <v>0</v>
      </c>
      <c r="W712" s="17">
        <f>IF(B712&lt;='Input sheet(dashboard)'!$D$27*12,J712-I712+V712-N712,0)</f>
        <v>0</v>
      </c>
      <c r="X712" s="3">
        <f>IF(B712&lt;='Input sheet(dashboard)'!$D$27*12,'Input sheet(dashboard)'!$D$17*(1+'Input sheet(dashboard)'!$E$23)^(B712-1),0)</f>
        <v>0</v>
      </c>
      <c r="Y712" s="3"/>
      <c r="Z712" s="18"/>
      <c r="AA712" s="18"/>
      <c r="AB712" s="3">
        <f>IF(B712=1,'Input sheet(dashboard)'!$D$18*Calculations!X712,IF(Calculations!B712=12*'Input sheet(dashboard)'!$D$27,'Input sheet(dashboard)'!$D$18*-Calculations!X712,0))</f>
        <v>0</v>
      </c>
      <c r="AC712" s="3">
        <f>IF(B712&lt;='Input sheet(dashboard)'!$D$27*12,IF(MOD(B711,'Input sheet(dashboard)'!$D$19*12),0,'Input sheet(dashboard)'!$D$20*(1+'Input sheet(dashboard)'!$E$22)^Calculations!B712),0)</f>
        <v>0</v>
      </c>
      <c r="AD712" s="17">
        <f t="shared" si="102"/>
        <v>0</v>
      </c>
      <c r="AE712" s="17">
        <f>IF(B712&lt;='Input sheet(dashboard)'!$D$27*12,IF(D712=12,SUM(AD701:AD712),0),0)</f>
        <v>0</v>
      </c>
      <c r="AF712" s="17">
        <f t="shared" si="103"/>
        <v>0</v>
      </c>
      <c r="AG712" s="17">
        <f t="shared" si="104"/>
        <v>0</v>
      </c>
      <c r="AH712" s="3" t="str">
        <f>IF(B712&lt;='Input sheet(dashboard)'!$D$27*12,AH711*(1+'Input sheet(dashboard)'!$E$25)+AG712," ")</f>
        <v xml:space="preserve"> </v>
      </c>
    </row>
    <row r="713" spans="2:34">
      <c r="B713">
        <f t="shared" si="99"/>
        <v>710</v>
      </c>
      <c r="C713">
        <f t="shared" si="97"/>
        <v>60</v>
      </c>
      <c r="D713">
        <f t="shared" si="98"/>
        <v>2</v>
      </c>
      <c r="E713" s="15">
        <f>IF(C713&lt;='Input sheet(dashboard)'!$D$6, -PMT('Input sheet(dashboard)'!$E$5,'Input sheet(dashboard)'!$D$6*12,'Input sheet(dashboard)'!$D$3*'Input sheet(dashboard)'!$D$4),0)</f>
        <v>0</v>
      </c>
      <c r="F713" s="3">
        <f>I712*'Input sheet(dashboard)'!$E$5</f>
        <v>2.6871925427766766E-11</v>
      </c>
      <c r="G713" s="3">
        <f>IF(C713&lt;='Input sheet(dashboard)'!$D$6,E713*'Input sheet(dashboard)'!$D$7,0)</f>
        <v>0</v>
      </c>
      <c r="H713" s="3">
        <f t="shared" si="100"/>
        <v>-2.6871925427766766E-11</v>
      </c>
      <c r="I713" s="3">
        <f t="shared" si="101"/>
        <v>7.4036176293384827E-9</v>
      </c>
      <c r="J713" s="3">
        <f>IF(B713&lt;='Input sheet(dashboard)'!$D$27*12,'Input sheet(dashboard)'!$D$3*(1+'Input sheet(dashboard)'!$E$24)^B713,0)</f>
        <v>0</v>
      </c>
      <c r="K713" s="3">
        <f>IF(B713&lt;='Input sheet(dashboard)'!$D$27*12,J713*'Input sheet(dashboard)'!$E$8,0)</f>
        <v>0</v>
      </c>
      <c r="L713" s="3">
        <f>IF(B713&lt;='Input sheet(dashboard)'!$D$27*12,'Input sheet(dashboard)'!$D$9*(1+'Input sheet(dashboard)'!$E$22)^B713,0)</f>
        <v>0</v>
      </c>
      <c r="M713" s="3">
        <f>IF(B713=1,'Input sheet(dashboard)'!$D$3*'Input sheet(dashboard)'!$D$10,0)</f>
        <v>0</v>
      </c>
      <c r="N713" s="3">
        <f>IF(B713='Input sheet(dashboard)'!$D$27*12,J713*'Input sheet(dashboard)'!$D$11,0)</f>
        <v>0</v>
      </c>
      <c r="O713" s="3">
        <f>IF(SUM(F713:F724)&gt;=150000,150000/12*'Input sheet(dashboard)'!$D$28,SUM(F713:F724)/12*'Input sheet(dashboard)'!$D$28)</f>
        <v>3.7629291066917129E-12</v>
      </c>
      <c r="P713" s="3">
        <f t="shared" si="96"/>
        <v>0</v>
      </c>
      <c r="Q713" s="3">
        <f>IF(B713&lt;='Input sheet(dashboard)'!$D$27*12,'Input sheet(dashboard)'!$D$12/12,0)</f>
        <v>0</v>
      </c>
      <c r="R713" s="3">
        <f>IF(B713&lt;='Input sheet(dashboard)'!$D$27*12,('Input sheet(dashboard)'!$D$15/12)*(1+'Input sheet(dashboard)'!$E$22)^Calculations!B713,0)</f>
        <v>0</v>
      </c>
      <c r="S713" s="3">
        <f>IF(B713&lt;='Input sheet(dashboard)'!$D$27*12,(E713+G713+K713+L713-O713+M713+Q713+R713),0)</f>
        <v>0</v>
      </c>
      <c r="T713" s="3">
        <f>IF(B713&lt;='Input sheet(dashboard)'!$D$27*12,IF(D713=12,SUM(S702:S713),0),0)</f>
        <v>0</v>
      </c>
      <c r="U713" s="3">
        <f>IF(B713&lt;='Input sheet(dashboard)'!$D$27*12,IF(S713&lt;AD713,AD713-S713,0),0)</f>
        <v>0</v>
      </c>
      <c r="V713" s="3">
        <f>IF(B713&lt;='Input sheet(dashboard)'!$D$27*12,V712*(1+'Input sheet(dashboard)'!$E$25)+U713,0)</f>
        <v>0</v>
      </c>
      <c r="W713" s="17">
        <f>IF(B713&lt;='Input sheet(dashboard)'!$D$27*12,J713-I713+V713-N713,0)</f>
        <v>0</v>
      </c>
      <c r="X713" s="3">
        <f>IF(B713&lt;='Input sheet(dashboard)'!$D$27*12,'Input sheet(dashboard)'!$D$17*(1+'Input sheet(dashboard)'!$E$23)^(B713-1),0)</f>
        <v>0</v>
      </c>
      <c r="Y713" s="3"/>
      <c r="Z713" s="18"/>
      <c r="AA713" s="18"/>
      <c r="AB713" s="3">
        <f>IF(B713=1,'Input sheet(dashboard)'!$D$18*Calculations!X713,IF(Calculations!B713=12*'Input sheet(dashboard)'!$D$27,'Input sheet(dashboard)'!$D$18*-Calculations!X713,0))</f>
        <v>0</v>
      </c>
      <c r="AC713" s="3">
        <f>IF(B713&lt;='Input sheet(dashboard)'!$D$27*12,IF(MOD(B712,'Input sheet(dashboard)'!$D$19*12),0,'Input sheet(dashboard)'!$D$20*(1+'Input sheet(dashboard)'!$E$22)^Calculations!B713),0)</f>
        <v>0</v>
      </c>
      <c r="AD713" s="17">
        <f t="shared" si="102"/>
        <v>0</v>
      </c>
      <c r="AE713" s="17">
        <f>IF(B713&lt;='Input sheet(dashboard)'!$D$27*12,IF(D713=12,SUM(AD702:AD713),0),0)</f>
        <v>0</v>
      </c>
      <c r="AF713" s="17">
        <f t="shared" si="103"/>
        <v>0</v>
      </c>
      <c r="AG713" s="17">
        <f t="shared" si="104"/>
        <v>0</v>
      </c>
      <c r="AH713" s="3" t="str">
        <f>IF(B713&lt;='Input sheet(dashboard)'!$D$27*12,AH712*(1+'Input sheet(dashboard)'!$E$25)+AG713," ")</f>
        <v xml:space="preserve"> </v>
      </c>
    </row>
    <row r="714" spans="2:34">
      <c r="B714">
        <f t="shared" si="99"/>
        <v>711</v>
      </c>
      <c r="C714">
        <f t="shared" si="97"/>
        <v>60</v>
      </c>
      <c r="D714">
        <f t="shared" si="98"/>
        <v>3</v>
      </c>
      <c r="E714" s="15">
        <f>IF(C714&lt;='Input sheet(dashboard)'!$D$6, -PMT('Input sheet(dashboard)'!$E$5,'Input sheet(dashboard)'!$D$6*12,'Input sheet(dashboard)'!$D$3*'Input sheet(dashboard)'!$D$4),0)</f>
        <v>0</v>
      </c>
      <c r="F714" s="3">
        <f>I713*'Input sheet(dashboard)'!$E$5</f>
        <v>2.6969814172367606E-11</v>
      </c>
      <c r="G714" s="3">
        <f>IF(C714&lt;='Input sheet(dashboard)'!$D$6,E714*'Input sheet(dashboard)'!$D$7,0)</f>
        <v>0</v>
      </c>
      <c r="H714" s="3">
        <f t="shared" si="100"/>
        <v>-2.6969814172367606E-11</v>
      </c>
      <c r="I714" s="3">
        <f t="shared" si="101"/>
        <v>7.4305874435108505E-9</v>
      </c>
      <c r="J714" s="3">
        <f>IF(B714&lt;='Input sheet(dashboard)'!$D$27*12,'Input sheet(dashboard)'!$D$3*(1+'Input sheet(dashboard)'!$E$24)^B714,0)</f>
        <v>0</v>
      </c>
      <c r="K714" s="3">
        <f>IF(B714&lt;='Input sheet(dashboard)'!$D$27*12,J714*'Input sheet(dashboard)'!$E$8,0)</f>
        <v>0</v>
      </c>
      <c r="L714" s="3">
        <f>IF(B714&lt;='Input sheet(dashboard)'!$D$27*12,'Input sheet(dashboard)'!$D$9*(1+'Input sheet(dashboard)'!$E$22)^B714,0)</f>
        <v>0</v>
      </c>
      <c r="M714" s="3">
        <f>IF(B714=1,'Input sheet(dashboard)'!$D$3*'Input sheet(dashboard)'!$D$10,0)</f>
        <v>0</v>
      </c>
      <c r="N714" s="3">
        <f>IF(B714='Input sheet(dashboard)'!$D$27*12,J714*'Input sheet(dashboard)'!$D$11,0)</f>
        <v>0</v>
      </c>
      <c r="O714" s="3">
        <f>IF(SUM(F714:F725)&gt;=150000,150000/12*'Input sheet(dashboard)'!$D$28,SUM(F714:F725)/12*'Input sheet(dashboard)'!$D$28)</f>
        <v>3.4270300388446279E-12</v>
      </c>
      <c r="P714" s="3">
        <f t="shared" si="96"/>
        <v>0</v>
      </c>
      <c r="Q714" s="3">
        <f>IF(B714&lt;='Input sheet(dashboard)'!$D$27*12,'Input sheet(dashboard)'!$D$12/12,0)</f>
        <v>0</v>
      </c>
      <c r="R714" s="3">
        <f>IF(B714&lt;='Input sheet(dashboard)'!$D$27*12,('Input sheet(dashboard)'!$D$15/12)*(1+'Input sheet(dashboard)'!$E$22)^Calculations!B714,0)</f>
        <v>0</v>
      </c>
      <c r="S714" s="3">
        <f>IF(B714&lt;='Input sheet(dashboard)'!$D$27*12,(E714+G714+K714+L714-O714+M714+Q714+R714),0)</f>
        <v>0</v>
      </c>
      <c r="T714" s="3">
        <f>IF(B714&lt;='Input sheet(dashboard)'!$D$27*12,IF(D714=12,SUM(S703:S714),0),0)</f>
        <v>0</v>
      </c>
      <c r="U714" s="3">
        <f>IF(B714&lt;='Input sheet(dashboard)'!$D$27*12,IF(S714&lt;AD714,AD714-S714,0),0)</f>
        <v>0</v>
      </c>
      <c r="V714" s="3">
        <f>IF(B714&lt;='Input sheet(dashboard)'!$D$27*12,V713*(1+'Input sheet(dashboard)'!$E$25)+U714,0)</f>
        <v>0</v>
      </c>
      <c r="W714" s="17">
        <f>IF(B714&lt;='Input sheet(dashboard)'!$D$27*12,J714-I714+V714-N714,0)</f>
        <v>0</v>
      </c>
      <c r="X714" s="3">
        <f>IF(B714&lt;='Input sheet(dashboard)'!$D$27*12,'Input sheet(dashboard)'!$D$17*(1+'Input sheet(dashboard)'!$E$23)^(B714-1),0)</f>
        <v>0</v>
      </c>
      <c r="Y714" s="3"/>
      <c r="Z714" s="18"/>
      <c r="AA714" s="18"/>
      <c r="AB714" s="3">
        <f>IF(B714=1,'Input sheet(dashboard)'!$D$18*Calculations!X714,IF(Calculations!B714=12*'Input sheet(dashboard)'!$D$27,'Input sheet(dashboard)'!$D$18*-Calculations!X714,0))</f>
        <v>0</v>
      </c>
      <c r="AC714" s="3">
        <f>IF(B714&lt;='Input sheet(dashboard)'!$D$27*12,IF(MOD(B713,'Input sheet(dashboard)'!$D$19*12),0,'Input sheet(dashboard)'!$D$20*(1+'Input sheet(dashboard)'!$E$22)^Calculations!B714),0)</f>
        <v>0</v>
      </c>
      <c r="AD714" s="17">
        <f t="shared" si="102"/>
        <v>0</v>
      </c>
      <c r="AE714" s="17">
        <f>IF(B714&lt;='Input sheet(dashboard)'!$D$27*12,IF(D714=12,SUM(AD703:AD714),0),0)</f>
        <v>0</v>
      </c>
      <c r="AF714" s="17">
        <f t="shared" si="103"/>
        <v>0</v>
      </c>
      <c r="AG714" s="17">
        <f t="shared" si="104"/>
        <v>0</v>
      </c>
      <c r="AH714" s="3" t="str">
        <f>IF(B714&lt;='Input sheet(dashboard)'!$D$27*12,AH713*(1+'Input sheet(dashboard)'!$E$25)+AG714," ")</f>
        <v xml:space="preserve"> </v>
      </c>
    </row>
    <row r="715" spans="2:34">
      <c r="B715">
        <f t="shared" si="99"/>
        <v>712</v>
      </c>
      <c r="C715">
        <f t="shared" si="97"/>
        <v>60</v>
      </c>
      <c r="D715">
        <f t="shared" si="98"/>
        <v>4</v>
      </c>
      <c r="E715" s="15">
        <f>IF(C715&lt;='Input sheet(dashboard)'!$D$6, -PMT('Input sheet(dashboard)'!$E$5,'Input sheet(dashboard)'!$D$6*12,'Input sheet(dashboard)'!$D$3*'Input sheet(dashboard)'!$D$4),0)</f>
        <v>0</v>
      </c>
      <c r="F715" s="3">
        <f>I714*'Input sheet(dashboard)'!$E$5</f>
        <v>2.7068059504974962E-11</v>
      </c>
      <c r="G715" s="3">
        <f>IF(C715&lt;='Input sheet(dashboard)'!$D$6,E715*'Input sheet(dashboard)'!$D$7,0)</f>
        <v>0</v>
      </c>
      <c r="H715" s="3">
        <f t="shared" si="100"/>
        <v>-2.7068059504974962E-11</v>
      </c>
      <c r="I715" s="3">
        <f t="shared" si="101"/>
        <v>7.4576555030158251E-9</v>
      </c>
      <c r="J715" s="3">
        <f>IF(B715&lt;='Input sheet(dashboard)'!$D$27*12,'Input sheet(dashboard)'!$D$3*(1+'Input sheet(dashboard)'!$E$24)^B715,0)</f>
        <v>0</v>
      </c>
      <c r="K715" s="3">
        <f>IF(B715&lt;='Input sheet(dashboard)'!$D$27*12,J715*'Input sheet(dashboard)'!$E$8,0)</f>
        <v>0</v>
      </c>
      <c r="L715" s="3">
        <f>IF(B715&lt;='Input sheet(dashboard)'!$D$27*12,'Input sheet(dashboard)'!$D$9*(1+'Input sheet(dashboard)'!$E$22)^B715,0)</f>
        <v>0</v>
      </c>
      <c r="M715" s="3">
        <f>IF(B715=1,'Input sheet(dashboard)'!$D$3*'Input sheet(dashboard)'!$D$10,0)</f>
        <v>0</v>
      </c>
      <c r="N715" s="3">
        <f>IF(B715='Input sheet(dashboard)'!$D$27*12,J715*'Input sheet(dashboard)'!$D$11,0)</f>
        <v>0</v>
      </c>
      <c r="O715" s="3">
        <f>IF(SUM(F715:F726)&gt;=150000,150000/12*'Input sheet(dashboard)'!$D$28,SUM(F715:F726)/12*'Input sheet(dashboard)'!$D$28)</f>
        <v>3.0899073616900333E-12</v>
      </c>
      <c r="P715" s="3">
        <f t="shared" si="96"/>
        <v>0</v>
      </c>
      <c r="Q715" s="3">
        <f>IF(B715&lt;='Input sheet(dashboard)'!$D$27*12,'Input sheet(dashboard)'!$D$12/12,0)</f>
        <v>0</v>
      </c>
      <c r="R715" s="3">
        <f>IF(B715&lt;='Input sheet(dashboard)'!$D$27*12,('Input sheet(dashboard)'!$D$15/12)*(1+'Input sheet(dashboard)'!$E$22)^Calculations!B715,0)</f>
        <v>0</v>
      </c>
      <c r="S715" s="3">
        <f>IF(B715&lt;='Input sheet(dashboard)'!$D$27*12,(E715+G715+K715+L715-O715+M715+Q715+R715),0)</f>
        <v>0</v>
      </c>
      <c r="T715" s="3">
        <f>IF(B715&lt;='Input sheet(dashboard)'!$D$27*12,IF(D715=12,SUM(S704:S715),0),0)</f>
        <v>0</v>
      </c>
      <c r="U715" s="3">
        <f>IF(B715&lt;='Input sheet(dashboard)'!$D$27*12,IF(S715&lt;AD715,AD715-S715,0),0)</f>
        <v>0</v>
      </c>
      <c r="V715" s="3">
        <f>IF(B715&lt;='Input sheet(dashboard)'!$D$27*12,V714*(1+'Input sheet(dashboard)'!$E$25)+U715,0)</f>
        <v>0</v>
      </c>
      <c r="W715" s="17">
        <f>IF(B715&lt;='Input sheet(dashboard)'!$D$27*12,J715-I715+V715-N715,0)</f>
        <v>0</v>
      </c>
      <c r="X715" s="3">
        <f>IF(B715&lt;='Input sheet(dashboard)'!$D$27*12,'Input sheet(dashboard)'!$D$17*(1+'Input sheet(dashboard)'!$E$23)^(B715-1),0)</f>
        <v>0</v>
      </c>
      <c r="Y715" s="3"/>
      <c r="Z715" s="18"/>
      <c r="AA715" s="18"/>
      <c r="AB715" s="3">
        <f>IF(B715=1,'Input sheet(dashboard)'!$D$18*Calculations!X715,IF(Calculations!B715=12*'Input sheet(dashboard)'!$D$27,'Input sheet(dashboard)'!$D$18*-Calculations!X715,0))</f>
        <v>0</v>
      </c>
      <c r="AC715" s="3">
        <f>IF(B715&lt;='Input sheet(dashboard)'!$D$27*12,IF(MOD(B714,'Input sheet(dashboard)'!$D$19*12),0,'Input sheet(dashboard)'!$D$20*(1+'Input sheet(dashboard)'!$E$22)^Calculations!B715),0)</f>
        <v>0</v>
      </c>
      <c r="AD715" s="17">
        <f t="shared" si="102"/>
        <v>0</v>
      </c>
      <c r="AE715" s="17">
        <f>IF(B715&lt;='Input sheet(dashboard)'!$D$27*12,IF(D715=12,SUM(AD704:AD715),0),0)</f>
        <v>0</v>
      </c>
      <c r="AF715" s="17">
        <f t="shared" si="103"/>
        <v>0</v>
      </c>
      <c r="AG715" s="17">
        <f t="shared" si="104"/>
        <v>0</v>
      </c>
      <c r="AH715" s="3" t="str">
        <f>IF(B715&lt;='Input sheet(dashboard)'!$D$27*12,AH714*(1+'Input sheet(dashboard)'!$E$25)+AG715," ")</f>
        <v xml:space="preserve"> </v>
      </c>
    </row>
    <row r="716" spans="2:34">
      <c r="B716">
        <f t="shared" si="99"/>
        <v>713</v>
      </c>
      <c r="C716">
        <f t="shared" si="97"/>
        <v>60</v>
      </c>
      <c r="D716">
        <f t="shared" si="98"/>
        <v>5</v>
      </c>
      <c r="E716" s="15">
        <f>IF(C716&lt;='Input sheet(dashboard)'!$D$6, -PMT('Input sheet(dashboard)'!$E$5,'Input sheet(dashboard)'!$D$6*12,'Input sheet(dashboard)'!$D$3*'Input sheet(dashboard)'!$D$4),0)</f>
        <v>0</v>
      </c>
      <c r="F716" s="3">
        <f>I715*'Input sheet(dashboard)'!$E$5</f>
        <v>2.7166662724563569E-11</v>
      </c>
      <c r="G716" s="3">
        <f>IF(C716&lt;='Input sheet(dashboard)'!$D$6,E716*'Input sheet(dashboard)'!$D$7,0)</f>
        <v>0</v>
      </c>
      <c r="H716" s="3">
        <f t="shared" si="100"/>
        <v>-2.7166662724563569E-11</v>
      </c>
      <c r="I716" s="3">
        <f t="shared" si="101"/>
        <v>7.4848221657403893E-9</v>
      </c>
      <c r="J716" s="3">
        <f>IF(B716&lt;='Input sheet(dashboard)'!$D$27*12,'Input sheet(dashboard)'!$D$3*(1+'Input sheet(dashboard)'!$E$24)^B716,0)</f>
        <v>0</v>
      </c>
      <c r="K716" s="3">
        <f>IF(B716&lt;='Input sheet(dashboard)'!$D$27*12,J716*'Input sheet(dashboard)'!$E$8,0)</f>
        <v>0</v>
      </c>
      <c r="L716" s="3">
        <f>IF(B716&lt;='Input sheet(dashboard)'!$D$27*12,'Input sheet(dashboard)'!$D$9*(1+'Input sheet(dashboard)'!$E$22)^B716,0)</f>
        <v>0</v>
      </c>
      <c r="M716" s="3">
        <f>IF(B716=1,'Input sheet(dashboard)'!$D$3*'Input sheet(dashboard)'!$D$10,0)</f>
        <v>0</v>
      </c>
      <c r="N716" s="3">
        <f>IF(B716='Input sheet(dashboard)'!$D$27*12,J716*'Input sheet(dashboard)'!$D$11,0)</f>
        <v>0</v>
      </c>
      <c r="O716" s="3">
        <f>IF(SUM(F716:F727)&gt;=150000,150000/12*'Input sheet(dashboard)'!$D$28,SUM(F716:F727)/12*'Input sheet(dashboard)'!$D$28)</f>
        <v>2.751556617877847E-12</v>
      </c>
      <c r="P716" s="3">
        <f t="shared" si="96"/>
        <v>0</v>
      </c>
      <c r="Q716" s="3">
        <f>IF(B716&lt;='Input sheet(dashboard)'!$D$27*12,'Input sheet(dashboard)'!$D$12/12,0)</f>
        <v>0</v>
      </c>
      <c r="R716" s="3">
        <f>IF(B716&lt;='Input sheet(dashboard)'!$D$27*12,('Input sheet(dashboard)'!$D$15/12)*(1+'Input sheet(dashboard)'!$E$22)^Calculations!B716,0)</f>
        <v>0</v>
      </c>
      <c r="S716" s="3">
        <f>IF(B716&lt;='Input sheet(dashboard)'!$D$27*12,(E716+G716+K716+L716-O716+M716+Q716+R716),0)</f>
        <v>0</v>
      </c>
      <c r="T716" s="3">
        <f>IF(B716&lt;='Input sheet(dashboard)'!$D$27*12,IF(D716=12,SUM(S705:S716),0),0)</f>
        <v>0</v>
      </c>
      <c r="U716" s="3">
        <f>IF(B716&lt;='Input sheet(dashboard)'!$D$27*12,IF(S716&lt;AD716,AD716-S716,0),0)</f>
        <v>0</v>
      </c>
      <c r="V716" s="3">
        <f>IF(B716&lt;='Input sheet(dashboard)'!$D$27*12,V715*(1+'Input sheet(dashboard)'!$E$25)+U716,0)</f>
        <v>0</v>
      </c>
      <c r="W716" s="17">
        <f>IF(B716&lt;='Input sheet(dashboard)'!$D$27*12,J716-I716+V716-N716,0)</f>
        <v>0</v>
      </c>
      <c r="X716" s="3">
        <f>IF(B716&lt;='Input sheet(dashboard)'!$D$27*12,'Input sheet(dashboard)'!$D$17*(1+'Input sheet(dashboard)'!$E$23)^(B716-1),0)</f>
        <v>0</v>
      </c>
      <c r="Y716" s="3"/>
      <c r="Z716" s="18"/>
      <c r="AA716" s="18"/>
      <c r="AB716" s="3">
        <f>IF(B716=1,'Input sheet(dashboard)'!$D$18*Calculations!X716,IF(Calculations!B716=12*'Input sheet(dashboard)'!$D$27,'Input sheet(dashboard)'!$D$18*-Calculations!X716,0))</f>
        <v>0</v>
      </c>
      <c r="AC716" s="3">
        <f>IF(B716&lt;='Input sheet(dashboard)'!$D$27*12,IF(MOD(B715,'Input sheet(dashboard)'!$D$19*12),0,'Input sheet(dashboard)'!$D$20*(1+'Input sheet(dashboard)'!$E$22)^Calculations!B716),0)</f>
        <v>0</v>
      </c>
      <c r="AD716" s="17">
        <f t="shared" si="102"/>
        <v>0</v>
      </c>
      <c r="AE716" s="17">
        <f>IF(B716&lt;='Input sheet(dashboard)'!$D$27*12,IF(D716=12,SUM(AD705:AD716),0),0)</f>
        <v>0</v>
      </c>
      <c r="AF716" s="17">
        <f t="shared" si="103"/>
        <v>0</v>
      </c>
      <c r="AG716" s="17">
        <f t="shared" si="104"/>
        <v>0</v>
      </c>
      <c r="AH716" s="3" t="str">
        <f>IF(B716&lt;='Input sheet(dashboard)'!$D$27*12,AH715*(1+'Input sheet(dashboard)'!$E$25)+AG716," ")</f>
        <v xml:space="preserve"> </v>
      </c>
    </row>
    <row r="717" spans="2:34">
      <c r="B717">
        <f t="shared" si="99"/>
        <v>714</v>
      </c>
      <c r="C717">
        <f t="shared" si="97"/>
        <v>60</v>
      </c>
      <c r="D717">
        <f t="shared" si="98"/>
        <v>6</v>
      </c>
      <c r="E717" s="15">
        <f>IF(C717&lt;='Input sheet(dashboard)'!$D$6, -PMT('Input sheet(dashboard)'!$E$5,'Input sheet(dashboard)'!$D$6*12,'Input sheet(dashboard)'!$D$3*'Input sheet(dashboard)'!$D$4),0)</f>
        <v>0</v>
      </c>
      <c r="F717" s="3">
        <f>I716*'Input sheet(dashboard)'!$E$5</f>
        <v>2.7265625134840063E-11</v>
      </c>
      <c r="G717" s="3">
        <f>IF(C717&lt;='Input sheet(dashboard)'!$D$6,E717*'Input sheet(dashboard)'!$D$7,0)</f>
        <v>0</v>
      </c>
      <c r="H717" s="3">
        <f t="shared" si="100"/>
        <v>-2.7265625134840063E-11</v>
      </c>
      <c r="I717" s="3">
        <f t="shared" si="101"/>
        <v>7.5120877908752296E-9</v>
      </c>
      <c r="J717" s="3">
        <f>IF(B717&lt;='Input sheet(dashboard)'!$D$27*12,'Input sheet(dashboard)'!$D$3*(1+'Input sheet(dashboard)'!$E$24)^B717,0)</f>
        <v>0</v>
      </c>
      <c r="K717" s="3">
        <f>IF(B717&lt;='Input sheet(dashboard)'!$D$27*12,J717*'Input sheet(dashboard)'!$E$8,0)</f>
        <v>0</v>
      </c>
      <c r="L717" s="3">
        <f>IF(B717&lt;='Input sheet(dashboard)'!$D$27*12,'Input sheet(dashboard)'!$D$9*(1+'Input sheet(dashboard)'!$E$22)^B717,0)</f>
        <v>0</v>
      </c>
      <c r="M717" s="3">
        <f>IF(B717=1,'Input sheet(dashboard)'!$D$3*'Input sheet(dashboard)'!$D$10,0)</f>
        <v>0</v>
      </c>
      <c r="N717" s="3">
        <f>IF(B717='Input sheet(dashboard)'!$D$27*12,J717*'Input sheet(dashboard)'!$D$11,0)</f>
        <v>0</v>
      </c>
      <c r="O717" s="3">
        <f>IF(SUM(F717:F728)&gt;=150000,150000/12*'Input sheet(dashboard)'!$D$28,SUM(F717:F728)/12*'Input sheet(dashboard)'!$D$28)</f>
        <v>2.4119733338208022E-12</v>
      </c>
      <c r="P717" s="3">
        <f t="shared" si="96"/>
        <v>0</v>
      </c>
      <c r="Q717" s="3">
        <f>IF(B717&lt;='Input sheet(dashboard)'!$D$27*12,'Input sheet(dashboard)'!$D$12/12,0)</f>
        <v>0</v>
      </c>
      <c r="R717" s="3">
        <f>IF(B717&lt;='Input sheet(dashboard)'!$D$27*12,('Input sheet(dashboard)'!$D$15/12)*(1+'Input sheet(dashboard)'!$E$22)^Calculations!B717,0)</f>
        <v>0</v>
      </c>
      <c r="S717" s="3">
        <f>IF(B717&lt;='Input sheet(dashboard)'!$D$27*12,(E717+G717+K717+L717-O717+M717+Q717+R717),0)</f>
        <v>0</v>
      </c>
      <c r="T717" s="3">
        <f>IF(B717&lt;='Input sheet(dashboard)'!$D$27*12,IF(D717=12,SUM(S706:S717),0),0)</f>
        <v>0</v>
      </c>
      <c r="U717" s="3">
        <f>IF(B717&lt;='Input sheet(dashboard)'!$D$27*12,IF(S717&lt;AD717,AD717-S717,0),0)</f>
        <v>0</v>
      </c>
      <c r="V717" s="3">
        <f>IF(B717&lt;='Input sheet(dashboard)'!$D$27*12,V716*(1+'Input sheet(dashboard)'!$E$25)+U717,0)</f>
        <v>0</v>
      </c>
      <c r="W717" s="17">
        <f>IF(B717&lt;='Input sheet(dashboard)'!$D$27*12,J717-I717+V717-N717,0)</f>
        <v>0</v>
      </c>
      <c r="X717" s="3">
        <f>IF(B717&lt;='Input sheet(dashboard)'!$D$27*12,'Input sheet(dashboard)'!$D$17*(1+'Input sheet(dashboard)'!$E$23)^(B717-1),0)</f>
        <v>0</v>
      </c>
      <c r="Y717" s="3"/>
      <c r="Z717" s="18"/>
      <c r="AA717" s="18"/>
      <c r="AB717" s="3">
        <f>IF(B717=1,'Input sheet(dashboard)'!$D$18*Calculations!X717,IF(Calculations!B717=12*'Input sheet(dashboard)'!$D$27,'Input sheet(dashboard)'!$D$18*-Calculations!X717,0))</f>
        <v>0</v>
      </c>
      <c r="AC717" s="3">
        <f>IF(B717&lt;='Input sheet(dashboard)'!$D$27*12,IF(MOD(B716,'Input sheet(dashboard)'!$D$19*12),0,'Input sheet(dashboard)'!$D$20*(1+'Input sheet(dashboard)'!$E$22)^Calculations!B717),0)</f>
        <v>0</v>
      </c>
      <c r="AD717" s="17">
        <f t="shared" si="102"/>
        <v>0</v>
      </c>
      <c r="AE717" s="17">
        <f>IF(B717&lt;='Input sheet(dashboard)'!$D$27*12,IF(D717=12,SUM(AD706:AD717),0),0)</f>
        <v>0</v>
      </c>
      <c r="AF717" s="17">
        <f t="shared" si="103"/>
        <v>0</v>
      </c>
      <c r="AG717" s="17">
        <f t="shared" si="104"/>
        <v>0</v>
      </c>
      <c r="AH717" s="3" t="str">
        <f>IF(B717&lt;='Input sheet(dashboard)'!$D$27*12,AH716*(1+'Input sheet(dashboard)'!$E$25)+AG717," ")</f>
        <v xml:space="preserve"> </v>
      </c>
    </row>
    <row r="718" spans="2:34">
      <c r="B718">
        <f t="shared" si="99"/>
        <v>715</v>
      </c>
      <c r="C718">
        <f t="shared" si="97"/>
        <v>60</v>
      </c>
      <c r="D718">
        <f t="shared" si="98"/>
        <v>7</v>
      </c>
      <c r="E718" s="15">
        <f>IF(C718&lt;='Input sheet(dashboard)'!$D$6, -PMT('Input sheet(dashboard)'!$E$5,'Input sheet(dashboard)'!$D$6*12,'Input sheet(dashboard)'!$D$3*'Input sheet(dashboard)'!$D$4),0)</f>
        <v>0</v>
      </c>
      <c r="F718" s="3">
        <f>I717*'Input sheet(dashboard)'!$E$5</f>
        <v>2.7364948044260195E-11</v>
      </c>
      <c r="G718" s="3">
        <f>IF(C718&lt;='Input sheet(dashboard)'!$D$6,E718*'Input sheet(dashboard)'!$D$7,0)</f>
        <v>0</v>
      </c>
      <c r="H718" s="3">
        <f t="shared" si="100"/>
        <v>-2.7364948044260195E-11</v>
      </c>
      <c r="I718" s="3">
        <f t="shared" si="101"/>
        <v>7.539452738919489E-9</v>
      </c>
      <c r="J718" s="3">
        <f>IF(B718&lt;='Input sheet(dashboard)'!$D$27*12,'Input sheet(dashboard)'!$D$3*(1+'Input sheet(dashboard)'!$E$24)^B718,0)</f>
        <v>0</v>
      </c>
      <c r="K718" s="3">
        <f>IF(B718&lt;='Input sheet(dashboard)'!$D$27*12,J718*'Input sheet(dashboard)'!$E$8,0)</f>
        <v>0</v>
      </c>
      <c r="L718" s="3">
        <f>IF(B718&lt;='Input sheet(dashboard)'!$D$27*12,'Input sheet(dashboard)'!$D$9*(1+'Input sheet(dashboard)'!$E$22)^B718,0)</f>
        <v>0</v>
      </c>
      <c r="M718" s="3">
        <f>IF(B718=1,'Input sheet(dashboard)'!$D$3*'Input sheet(dashboard)'!$D$10,0)</f>
        <v>0</v>
      </c>
      <c r="N718" s="3">
        <f>IF(B718='Input sheet(dashboard)'!$D$27*12,J718*'Input sheet(dashboard)'!$D$11,0)</f>
        <v>0</v>
      </c>
      <c r="O718" s="3">
        <f>IF(SUM(F718:F729)&gt;=150000,150000/12*'Input sheet(dashboard)'!$D$28,SUM(F718:F729)/12*'Input sheet(dashboard)'!$D$28)</f>
        <v>2.0711530196353014E-12</v>
      </c>
      <c r="P718" s="3">
        <f t="shared" si="96"/>
        <v>0</v>
      </c>
      <c r="Q718" s="3">
        <f>IF(B718&lt;='Input sheet(dashboard)'!$D$27*12,'Input sheet(dashboard)'!$D$12/12,0)</f>
        <v>0</v>
      </c>
      <c r="R718" s="3">
        <f>IF(B718&lt;='Input sheet(dashboard)'!$D$27*12,('Input sheet(dashboard)'!$D$15/12)*(1+'Input sheet(dashboard)'!$E$22)^Calculations!B718,0)</f>
        <v>0</v>
      </c>
      <c r="S718" s="3">
        <f>IF(B718&lt;='Input sheet(dashboard)'!$D$27*12,(E718+G718+K718+L718-O718+M718+Q718+R718),0)</f>
        <v>0</v>
      </c>
      <c r="T718" s="3">
        <f>IF(B718&lt;='Input sheet(dashboard)'!$D$27*12,IF(D718=12,SUM(S707:S718),0),0)</f>
        <v>0</v>
      </c>
      <c r="U718" s="3">
        <f>IF(B718&lt;='Input sheet(dashboard)'!$D$27*12,IF(S718&lt;AD718,AD718-S718,0),0)</f>
        <v>0</v>
      </c>
      <c r="V718" s="3">
        <f>IF(B718&lt;='Input sheet(dashboard)'!$D$27*12,V717*(1+'Input sheet(dashboard)'!$E$25)+U718,0)</f>
        <v>0</v>
      </c>
      <c r="W718" s="17">
        <f>IF(B718&lt;='Input sheet(dashboard)'!$D$27*12,J718-I718+V718-N718,0)</f>
        <v>0</v>
      </c>
      <c r="X718" s="3">
        <f>IF(B718&lt;='Input sheet(dashboard)'!$D$27*12,'Input sheet(dashboard)'!$D$17*(1+'Input sheet(dashboard)'!$E$23)^(B718-1),0)</f>
        <v>0</v>
      </c>
      <c r="Y718" s="3"/>
      <c r="Z718" s="18"/>
      <c r="AA718" s="18"/>
      <c r="AB718" s="3">
        <f>IF(B718=1,'Input sheet(dashboard)'!$D$18*Calculations!X718,IF(Calculations!B718=12*'Input sheet(dashboard)'!$D$27,'Input sheet(dashboard)'!$D$18*-Calculations!X718,0))</f>
        <v>0</v>
      </c>
      <c r="AC718" s="3">
        <f>IF(B718&lt;='Input sheet(dashboard)'!$D$27*12,IF(MOD(B717,'Input sheet(dashboard)'!$D$19*12),0,'Input sheet(dashboard)'!$D$20*(1+'Input sheet(dashboard)'!$E$22)^Calculations!B718),0)</f>
        <v>0</v>
      </c>
      <c r="AD718" s="17">
        <f t="shared" si="102"/>
        <v>0</v>
      </c>
      <c r="AE718" s="17">
        <f>IF(B718&lt;='Input sheet(dashboard)'!$D$27*12,IF(D718=12,SUM(AD707:AD718),0),0)</f>
        <v>0</v>
      </c>
      <c r="AF718" s="17">
        <f t="shared" si="103"/>
        <v>0</v>
      </c>
      <c r="AG718" s="17">
        <f t="shared" si="104"/>
        <v>0</v>
      </c>
      <c r="AH718" s="3" t="str">
        <f>IF(B718&lt;='Input sheet(dashboard)'!$D$27*12,AH717*(1+'Input sheet(dashboard)'!$E$25)+AG718," ")</f>
        <v xml:space="preserve"> </v>
      </c>
    </row>
    <row r="719" spans="2:34">
      <c r="B719">
        <f t="shared" si="99"/>
        <v>716</v>
      </c>
      <c r="C719">
        <f t="shared" si="97"/>
        <v>60</v>
      </c>
      <c r="D719">
        <f t="shared" si="98"/>
        <v>8</v>
      </c>
      <c r="E719" s="15">
        <f>IF(C719&lt;='Input sheet(dashboard)'!$D$6, -PMT('Input sheet(dashboard)'!$E$5,'Input sheet(dashboard)'!$D$6*12,'Input sheet(dashboard)'!$D$3*'Input sheet(dashboard)'!$D$4),0)</f>
        <v>0</v>
      </c>
      <c r="F719" s="3">
        <f>I718*'Input sheet(dashboard)'!$E$5</f>
        <v>2.7464632766046146E-11</v>
      </c>
      <c r="G719" s="3">
        <f>IF(C719&lt;='Input sheet(dashboard)'!$D$6,E719*'Input sheet(dashboard)'!$D$7,0)</f>
        <v>0</v>
      </c>
      <c r="H719" s="3">
        <f t="shared" si="100"/>
        <v>-2.7464632766046146E-11</v>
      </c>
      <c r="I719" s="3">
        <f t="shared" si="101"/>
        <v>7.5669173716855358E-9</v>
      </c>
      <c r="J719" s="3">
        <f>IF(B719&lt;='Input sheet(dashboard)'!$D$27*12,'Input sheet(dashboard)'!$D$3*(1+'Input sheet(dashboard)'!$E$24)^B719,0)</f>
        <v>0</v>
      </c>
      <c r="K719" s="3">
        <f>IF(B719&lt;='Input sheet(dashboard)'!$D$27*12,J719*'Input sheet(dashboard)'!$E$8,0)</f>
        <v>0</v>
      </c>
      <c r="L719" s="3">
        <f>IF(B719&lt;='Input sheet(dashboard)'!$D$27*12,'Input sheet(dashboard)'!$D$9*(1+'Input sheet(dashboard)'!$E$22)^B719,0)</f>
        <v>0</v>
      </c>
      <c r="M719" s="3">
        <f>IF(B719=1,'Input sheet(dashboard)'!$D$3*'Input sheet(dashboard)'!$D$10,0)</f>
        <v>0</v>
      </c>
      <c r="N719" s="3">
        <f>IF(B719='Input sheet(dashboard)'!$D$27*12,J719*'Input sheet(dashboard)'!$D$11,0)</f>
        <v>0</v>
      </c>
      <c r="O719" s="3">
        <f>IF(SUM(F719:F730)&gt;=150000,150000/12*'Input sheet(dashboard)'!$D$28,SUM(F719:F730)/12*'Input sheet(dashboard)'!$D$28)</f>
        <v>1.7290911690820489E-12</v>
      </c>
      <c r="P719" s="3">
        <f t="shared" ref="P719:P723" si="105">IF(D719=12,IF(SUM(F708:F720)&gt;=150000,150000*0.15,SUM(F708:F720)*0.15),0)</f>
        <v>0</v>
      </c>
      <c r="Q719" s="3">
        <f>IF(B719&lt;='Input sheet(dashboard)'!$D$27*12,'Input sheet(dashboard)'!$D$12/12,0)</f>
        <v>0</v>
      </c>
      <c r="R719" s="3">
        <f>IF(B719&lt;='Input sheet(dashboard)'!$D$27*12,('Input sheet(dashboard)'!$D$15/12)*(1+'Input sheet(dashboard)'!$E$22)^Calculations!B719,0)</f>
        <v>0</v>
      </c>
      <c r="S719" s="3">
        <f>IF(B719&lt;='Input sheet(dashboard)'!$D$27*12,(E719+G719+K719+L719-O719+M719+Q719+R719),0)</f>
        <v>0</v>
      </c>
      <c r="T719" s="3">
        <f>IF(B719&lt;='Input sheet(dashboard)'!$D$27*12,IF(D719=12,SUM(S708:S719),0),0)</f>
        <v>0</v>
      </c>
      <c r="U719" s="3">
        <f>IF(B719&lt;='Input sheet(dashboard)'!$D$27*12,IF(S719&lt;AD719,AD719-S719,0),0)</f>
        <v>0</v>
      </c>
      <c r="V719" s="3">
        <f>IF(B719&lt;='Input sheet(dashboard)'!$D$27*12,V718*(1+'Input sheet(dashboard)'!$E$25)+U719,0)</f>
        <v>0</v>
      </c>
      <c r="W719" s="17">
        <f>IF(B719&lt;='Input sheet(dashboard)'!$D$27*12,J719-I719+V719-N719,0)</f>
        <v>0</v>
      </c>
      <c r="X719" s="3">
        <f>IF(B719&lt;='Input sheet(dashboard)'!$D$27*12,'Input sheet(dashboard)'!$D$17*(1+'Input sheet(dashboard)'!$E$23)^(B719-1),0)</f>
        <v>0</v>
      </c>
      <c r="Y719" s="3"/>
      <c r="Z719" s="18"/>
      <c r="AA719" s="18"/>
      <c r="AB719" s="3">
        <f>IF(B719=1,'Input sheet(dashboard)'!$D$18*Calculations!X719,IF(Calculations!B719=12*'Input sheet(dashboard)'!$D$27,'Input sheet(dashboard)'!$D$18*-Calculations!X719,0))</f>
        <v>0</v>
      </c>
      <c r="AC719" s="3">
        <f>IF(B719&lt;='Input sheet(dashboard)'!$D$27*12,IF(MOD(B718,'Input sheet(dashboard)'!$D$19*12),0,'Input sheet(dashboard)'!$D$20*(1+'Input sheet(dashboard)'!$E$22)^Calculations!B719),0)</f>
        <v>0</v>
      </c>
      <c r="AD719" s="17">
        <f t="shared" si="102"/>
        <v>0</v>
      </c>
      <c r="AE719" s="17">
        <f>IF(B719&lt;='Input sheet(dashboard)'!$D$27*12,IF(D719=12,SUM(AD708:AD719),0),0)</f>
        <v>0</v>
      </c>
      <c r="AF719" s="17">
        <f t="shared" si="103"/>
        <v>0</v>
      </c>
      <c r="AG719" s="17">
        <f t="shared" si="104"/>
        <v>0</v>
      </c>
      <c r="AH719" s="3" t="str">
        <f>IF(B719&lt;='Input sheet(dashboard)'!$D$27*12,AH718*(1+'Input sheet(dashboard)'!$E$25)+AG719," ")</f>
        <v xml:space="preserve"> </v>
      </c>
    </row>
    <row r="720" spans="2:34">
      <c r="B720">
        <f t="shared" si="99"/>
        <v>717</v>
      </c>
      <c r="C720">
        <f t="shared" ref="C720:C723" si="106">C708+1</f>
        <v>60</v>
      </c>
      <c r="D720">
        <f t="shared" ref="D720:D723" si="107">D708</f>
        <v>9</v>
      </c>
      <c r="E720" s="15">
        <f>IF(C720&lt;='Input sheet(dashboard)'!$D$6, -PMT('Input sheet(dashboard)'!$E$5,'Input sheet(dashboard)'!$D$6*12,'Input sheet(dashboard)'!$D$3*'Input sheet(dashboard)'!$D$4),0)</f>
        <v>0</v>
      </c>
      <c r="F720" s="3">
        <f>I719*'Input sheet(dashboard)'!$E$5</f>
        <v>2.7564680618203903E-11</v>
      </c>
      <c r="G720" s="3">
        <f>IF(C720&lt;='Input sheet(dashboard)'!$D$6,E720*'Input sheet(dashboard)'!$D$7,0)</f>
        <v>0</v>
      </c>
      <c r="H720" s="3">
        <f t="shared" si="100"/>
        <v>-2.7564680618203903E-11</v>
      </c>
      <c r="I720" s="3">
        <f t="shared" si="101"/>
        <v>7.59448205230374E-9</v>
      </c>
      <c r="J720" s="3">
        <f>IF(B720&lt;='Input sheet(dashboard)'!$D$27*12,'Input sheet(dashboard)'!$D$3*(1+'Input sheet(dashboard)'!$E$24)^B720,0)</f>
        <v>0</v>
      </c>
      <c r="K720" s="3">
        <f>IF(B720&lt;='Input sheet(dashboard)'!$D$27*12,J720*'Input sheet(dashboard)'!$E$8,0)</f>
        <v>0</v>
      </c>
      <c r="L720" s="3">
        <f>IF(B720&lt;='Input sheet(dashboard)'!$D$27*12,'Input sheet(dashboard)'!$D$9*(1+'Input sheet(dashboard)'!$E$22)^B720,0)</f>
        <v>0</v>
      </c>
      <c r="M720" s="3">
        <f>IF(B720=1,'Input sheet(dashboard)'!$D$3*'Input sheet(dashboard)'!$D$10,0)</f>
        <v>0</v>
      </c>
      <c r="N720" s="3">
        <f>IF(B720='Input sheet(dashboard)'!$D$27*12,J720*'Input sheet(dashboard)'!$D$11,0)</f>
        <v>0</v>
      </c>
      <c r="O720" s="3">
        <f>IF(SUM(F720:F731)&gt;=150000,150000/12*'Input sheet(dashboard)'!$D$28,SUM(F720:F731)/12*'Input sheet(dashboard)'!$D$28)</f>
        <v>1.3857832595064722E-12</v>
      </c>
      <c r="P720" s="3">
        <f t="shared" si="105"/>
        <v>0</v>
      </c>
      <c r="Q720" s="3">
        <f>IF(B720&lt;='Input sheet(dashboard)'!$D$27*12,'Input sheet(dashboard)'!$D$12/12,0)</f>
        <v>0</v>
      </c>
      <c r="R720" s="3">
        <f>IF(B720&lt;='Input sheet(dashboard)'!$D$27*12,('Input sheet(dashboard)'!$D$15/12)*(1+'Input sheet(dashboard)'!$E$22)^Calculations!B720,0)</f>
        <v>0</v>
      </c>
      <c r="S720" s="3">
        <f>IF(B720&lt;='Input sheet(dashboard)'!$D$27*12,(E720+G720+K720+L720-O720+M720+Q720+R720),0)</f>
        <v>0</v>
      </c>
      <c r="T720" s="3">
        <f>IF(B720&lt;='Input sheet(dashboard)'!$D$27*12,IF(D720=12,SUM(S709:S720),0),0)</f>
        <v>0</v>
      </c>
      <c r="U720" s="3">
        <f>IF(B720&lt;='Input sheet(dashboard)'!$D$27*12,IF(S720&lt;AD720,AD720-S720,0),0)</f>
        <v>0</v>
      </c>
      <c r="V720" s="3">
        <f>IF(B720&lt;='Input sheet(dashboard)'!$D$27*12,V719*(1+'Input sheet(dashboard)'!$E$25)+U720,0)</f>
        <v>0</v>
      </c>
      <c r="W720" s="17">
        <f>IF(B720&lt;='Input sheet(dashboard)'!$D$27*12,J720-I720+V720-N720,0)</f>
        <v>0</v>
      </c>
      <c r="X720" s="3">
        <f>IF(B720&lt;='Input sheet(dashboard)'!$D$27*12,'Input sheet(dashboard)'!$D$17*(1+'Input sheet(dashboard)'!$E$23)^(B720-1),0)</f>
        <v>0</v>
      </c>
      <c r="Y720" s="3"/>
      <c r="Z720" s="18"/>
      <c r="AA720" s="18"/>
      <c r="AB720" s="3">
        <f>IF(B720=1,'Input sheet(dashboard)'!$D$18*Calculations!X720,IF(Calculations!B720=12*'Input sheet(dashboard)'!$D$27,'Input sheet(dashboard)'!$D$18*-Calculations!X720,0))</f>
        <v>0</v>
      </c>
      <c r="AC720" s="3">
        <f>IF(B720&lt;='Input sheet(dashboard)'!$D$27*12,IF(MOD(B719,'Input sheet(dashboard)'!$D$19*12),0,'Input sheet(dashboard)'!$D$20*(1+'Input sheet(dashboard)'!$E$22)^Calculations!B720),0)</f>
        <v>0</v>
      </c>
      <c r="AD720" s="17">
        <f t="shared" si="102"/>
        <v>0</v>
      </c>
      <c r="AE720" s="17">
        <f>IF(B720&lt;='Input sheet(dashboard)'!$D$27*12,IF(D720=12,SUM(AD709:AD720),0),0)</f>
        <v>0</v>
      </c>
      <c r="AF720" s="17">
        <f t="shared" si="103"/>
        <v>0</v>
      </c>
      <c r="AG720" s="17">
        <f t="shared" si="104"/>
        <v>0</v>
      </c>
      <c r="AH720" s="3" t="str">
        <f>IF(B720&lt;='Input sheet(dashboard)'!$D$27*12,AH719*(1+'Input sheet(dashboard)'!$E$25)+AG720," ")</f>
        <v xml:space="preserve"> </v>
      </c>
    </row>
    <row r="721" spans="2:34">
      <c r="B721">
        <f t="shared" si="99"/>
        <v>718</v>
      </c>
      <c r="C721">
        <f t="shared" si="106"/>
        <v>60</v>
      </c>
      <c r="D721">
        <f t="shared" si="107"/>
        <v>10</v>
      </c>
      <c r="E721" s="15">
        <f>IF(C721&lt;='Input sheet(dashboard)'!$D$6, -PMT('Input sheet(dashboard)'!$E$5,'Input sheet(dashboard)'!$D$6*12,'Input sheet(dashboard)'!$D$3*'Input sheet(dashboard)'!$D$4),0)</f>
        <v>0</v>
      </c>
      <c r="F721" s="3">
        <f>I720*'Input sheet(dashboard)'!$E$5</f>
        <v>2.7665092923540643E-11</v>
      </c>
      <c r="G721" s="3">
        <f>IF(C721&lt;='Input sheet(dashboard)'!$D$6,E721*'Input sheet(dashboard)'!$D$7,0)</f>
        <v>0</v>
      </c>
      <c r="H721" s="3">
        <f t="shared" si="100"/>
        <v>-2.7665092923540643E-11</v>
      </c>
      <c r="I721" s="3">
        <f t="shared" si="101"/>
        <v>7.6221471452272805E-9</v>
      </c>
      <c r="J721" s="3">
        <f>IF(B721&lt;='Input sheet(dashboard)'!$D$27*12,'Input sheet(dashboard)'!$D$3*(1+'Input sheet(dashboard)'!$E$24)^B721,0)</f>
        <v>0</v>
      </c>
      <c r="K721" s="3">
        <f>IF(B721&lt;='Input sheet(dashboard)'!$D$27*12,J721*'Input sheet(dashboard)'!$E$8,0)</f>
        <v>0</v>
      </c>
      <c r="L721" s="3">
        <f>IF(B721&lt;='Input sheet(dashboard)'!$D$27*12,'Input sheet(dashboard)'!$D$9*(1+'Input sheet(dashboard)'!$E$22)^B721,0)</f>
        <v>0</v>
      </c>
      <c r="M721" s="3">
        <f>IF(B721=1,'Input sheet(dashboard)'!$D$3*'Input sheet(dashboard)'!$D$10,0)</f>
        <v>0</v>
      </c>
      <c r="N721" s="3">
        <f>IF(B721='Input sheet(dashboard)'!$D$27*12,J721*'Input sheet(dashboard)'!$D$11,0)</f>
        <v>0</v>
      </c>
      <c r="O721" s="3">
        <f>IF(SUM(F721:F732)&gt;=150000,150000/12*'Input sheet(dashboard)'!$D$28,SUM(F721:F732)/12*'Input sheet(dashboard)'!$D$28)</f>
        <v>1.0412247517789234E-12</v>
      </c>
      <c r="P721" s="3">
        <f t="shared" si="105"/>
        <v>0</v>
      </c>
      <c r="Q721" s="3">
        <f>IF(B721&lt;='Input sheet(dashboard)'!$D$27*12,'Input sheet(dashboard)'!$D$12/12,0)</f>
        <v>0</v>
      </c>
      <c r="R721" s="3">
        <f>IF(B721&lt;='Input sheet(dashboard)'!$D$27*12,('Input sheet(dashboard)'!$D$15/12)*(1+'Input sheet(dashboard)'!$E$22)^Calculations!B721,0)</f>
        <v>0</v>
      </c>
      <c r="S721" s="3">
        <f>IF(B721&lt;='Input sheet(dashboard)'!$D$27*12,(E721+G721+K721+L721-O721+M721+Q721+R721),0)</f>
        <v>0</v>
      </c>
      <c r="T721" s="3">
        <f>IF(B721&lt;='Input sheet(dashboard)'!$D$27*12,IF(D721=12,SUM(S710:S721),0),0)</f>
        <v>0</v>
      </c>
      <c r="U721" s="3">
        <f>IF(B721&lt;='Input sheet(dashboard)'!$D$27*12,IF(S721&lt;AD721,AD721-S721,0),0)</f>
        <v>0</v>
      </c>
      <c r="V721" s="3">
        <f>IF(B721&lt;='Input sheet(dashboard)'!$D$27*12,V720*(1+'Input sheet(dashboard)'!$E$25)+U721,0)</f>
        <v>0</v>
      </c>
      <c r="W721" s="17">
        <f>IF(B721&lt;='Input sheet(dashboard)'!$D$27*12,J721-I721+V721-N721,0)</f>
        <v>0</v>
      </c>
      <c r="X721" s="3">
        <f>IF(B721&lt;='Input sheet(dashboard)'!$D$27*12,'Input sheet(dashboard)'!$D$17*(1+'Input sheet(dashboard)'!$E$23)^(B721-1),0)</f>
        <v>0</v>
      </c>
      <c r="Y721" s="3"/>
      <c r="Z721" s="18"/>
      <c r="AA721" s="18"/>
      <c r="AB721" s="3">
        <f>IF(B721=1,'Input sheet(dashboard)'!$D$18*Calculations!X721,IF(Calculations!B721=12*'Input sheet(dashboard)'!$D$27,'Input sheet(dashboard)'!$D$18*-Calculations!X721,0))</f>
        <v>0</v>
      </c>
      <c r="AC721" s="3">
        <f>IF(B721&lt;='Input sheet(dashboard)'!$D$27*12,IF(MOD(B720,'Input sheet(dashboard)'!$D$19*12),0,'Input sheet(dashboard)'!$D$20*(1+'Input sheet(dashboard)'!$E$22)^Calculations!B721),0)</f>
        <v>0</v>
      </c>
      <c r="AD721" s="17">
        <f t="shared" si="102"/>
        <v>0</v>
      </c>
      <c r="AE721" s="17">
        <f>IF(B721&lt;='Input sheet(dashboard)'!$D$27*12,IF(D721=12,SUM(AD710:AD721),0),0)</f>
        <v>0</v>
      </c>
      <c r="AF721" s="17">
        <f t="shared" si="103"/>
        <v>0</v>
      </c>
      <c r="AG721" s="17">
        <f t="shared" si="104"/>
        <v>0</v>
      </c>
      <c r="AH721" s="3" t="str">
        <f>IF(B721&lt;='Input sheet(dashboard)'!$D$27*12,AH720*(1+'Input sheet(dashboard)'!$E$25)+AG721," ")</f>
        <v xml:space="preserve"> </v>
      </c>
    </row>
    <row r="722" spans="2:34">
      <c r="B722">
        <f t="shared" si="99"/>
        <v>719</v>
      </c>
      <c r="C722">
        <f t="shared" si="106"/>
        <v>60</v>
      </c>
      <c r="D722">
        <f t="shared" si="107"/>
        <v>11</v>
      </c>
      <c r="E722" s="15">
        <f>IF(C722&lt;='Input sheet(dashboard)'!$D$6, -PMT('Input sheet(dashboard)'!$E$5,'Input sheet(dashboard)'!$D$6*12,'Input sheet(dashboard)'!$D$3*'Input sheet(dashboard)'!$D$4),0)</f>
        <v>0</v>
      </c>
      <c r="F722" s="3">
        <f>I721*'Input sheet(dashboard)'!$E$5</f>
        <v>2.7765871009682274E-11</v>
      </c>
      <c r="G722" s="3">
        <f>IF(C722&lt;='Input sheet(dashboard)'!$D$6,E722*'Input sheet(dashboard)'!$D$7,0)</f>
        <v>0</v>
      </c>
      <c r="H722" s="3">
        <f t="shared" si="100"/>
        <v>-2.7765871009682274E-11</v>
      </c>
      <c r="I722" s="3">
        <f t="shared" si="101"/>
        <v>7.6499130162369626E-9</v>
      </c>
      <c r="J722" s="3">
        <f>IF(B722&lt;='Input sheet(dashboard)'!$D$27*12,'Input sheet(dashboard)'!$D$3*(1+'Input sheet(dashboard)'!$E$24)^B722,0)</f>
        <v>0</v>
      </c>
      <c r="K722" s="3">
        <f>IF(B722&lt;='Input sheet(dashboard)'!$D$27*12,J722*'Input sheet(dashboard)'!$E$8,0)</f>
        <v>0</v>
      </c>
      <c r="L722" s="3">
        <f>IF(B722&lt;='Input sheet(dashboard)'!$D$27*12,'Input sheet(dashboard)'!$D$9*(1+'Input sheet(dashboard)'!$E$22)^B722,0)</f>
        <v>0</v>
      </c>
      <c r="M722" s="3">
        <f>IF(B722=1,'Input sheet(dashboard)'!$D$3*'Input sheet(dashboard)'!$D$10,0)</f>
        <v>0</v>
      </c>
      <c r="N722" s="3">
        <f>IF(B722='Input sheet(dashboard)'!$D$27*12,J722*'Input sheet(dashboard)'!$D$11,0)</f>
        <v>0</v>
      </c>
      <c r="O722" s="3">
        <f>IF(SUM(F722:F733)&gt;=150000,150000/12*'Input sheet(dashboard)'!$D$28,SUM(F722:F733)/12*'Input sheet(dashboard)'!$D$28)</f>
        <v>6.9541109023466535E-13</v>
      </c>
      <c r="P722" s="3">
        <f t="shared" si="105"/>
        <v>0</v>
      </c>
      <c r="Q722" s="3">
        <f>IF(B722&lt;='Input sheet(dashboard)'!$D$27*12,'Input sheet(dashboard)'!$D$12/12,0)</f>
        <v>0</v>
      </c>
      <c r="R722" s="3">
        <f>IF(B722&lt;='Input sheet(dashboard)'!$D$27*12,('Input sheet(dashboard)'!$D$15/12)*(1+'Input sheet(dashboard)'!$E$22)^Calculations!B722,0)</f>
        <v>0</v>
      </c>
      <c r="S722" s="3">
        <f>IF(B722&lt;='Input sheet(dashboard)'!$D$27*12,(E722+G722+K722+L722-O722+M722+Q722+R722),0)</f>
        <v>0</v>
      </c>
      <c r="T722" s="3">
        <f>IF(B722&lt;='Input sheet(dashboard)'!$D$27*12,IF(D722=12,SUM(S711:S722),0),0)</f>
        <v>0</v>
      </c>
      <c r="U722" s="3">
        <f>IF(B722&lt;='Input sheet(dashboard)'!$D$27*12,IF(S722&lt;AD722,AD722-S722,0),0)</f>
        <v>0</v>
      </c>
      <c r="V722" s="3">
        <f>IF(B722&lt;='Input sheet(dashboard)'!$D$27*12,V721*(1+'Input sheet(dashboard)'!$E$25)+U722,0)</f>
        <v>0</v>
      </c>
      <c r="W722" s="17">
        <f>IF(B722&lt;='Input sheet(dashboard)'!$D$27*12,J722-I722+V722-N722,0)</f>
        <v>0</v>
      </c>
      <c r="X722" s="3">
        <f>IF(B722&lt;='Input sheet(dashboard)'!$D$27*12,'Input sheet(dashboard)'!$D$17*(1+'Input sheet(dashboard)'!$E$23)^(B722-1),0)</f>
        <v>0</v>
      </c>
      <c r="Y722" s="3"/>
      <c r="Z722" s="18"/>
      <c r="AA722" s="18"/>
      <c r="AB722" s="3">
        <f>IF(B722=1,'Input sheet(dashboard)'!$D$18*Calculations!X722,IF(Calculations!B722=12*'Input sheet(dashboard)'!$D$27,'Input sheet(dashboard)'!$D$18*-Calculations!X722,0))</f>
        <v>0</v>
      </c>
      <c r="AC722" s="3">
        <f>IF(B722&lt;='Input sheet(dashboard)'!$D$27*12,IF(MOD(B721,'Input sheet(dashboard)'!$D$19*12),0,'Input sheet(dashboard)'!$D$20*(1+'Input sheet(dashboard)'!$E$22)^Calculations!B722),0)</f>
        <v>0</v>
      </c>
      <c r="AD722" s="17">
        <f t="shared" si="102"/>
        <v>0</v>
      </c>
      <c r="AE722" s="17">
        <f>IF(B722&lt;='Input sheet(dashboard)'!$D$27*12,IF(D722=12,SUM(AD711:AD722),0),0)</f>
        <v>0</v>
      </c>
      <c r="AF722" s="17">
        <f t="shared" si="103"/>
        <v>0</v>
      </c>
      <c r="AG722" s="17">
        <f t="shared" si="104"/>
        <v>0</v>
      </c>
      <c r="AH722" s="3" t="str">
        <f>IF(B722&lt;='Input sheet(dashboard)'!$D$27*12,AH721*(1+'Input sheet(dashboard)'!$E$25)+AG722," ")</f>
        <v xml:space="preserve"> </v>
      </c>
    </row>
    <row r="723" spans="2:34">
      <c r="B723">
        <f t="shared" si="99"/>
        <v>720</v>
      </c>
      <c r="C723">
        <f t="shared" si="106"/>
        <v>60</v>
      </c>
      <c r="D723">
        <f t="shared" si="107"/>
        <v>12</v>
      </c>
      <c r="E723" s="15">
        <f>IF(C723&lt;='Input sheet(dashboard)'!$D$6, -PMT('Input sheet(dashboard)'!$E$5,'Input sheet(dashboard)'!$D$6*12,'Input sheet(dashboard)'!$D$3*'Input sheet(dashboard)'!$D$4),0)</f>
        <v>0</v>
      </c>
      <c r="F723" s="3">
        <f>I722*'Input sheet(dashboard)'!$E$5</f>
        <v>2.7867016209090954E-11</v>
      </c>
      <c r="G723" s="3">
        <f>IF(C723&lt;='Input sheet(dashboard)'!$D$6,E723*'Input sheet(dashboard)'!$D$7,0)</f>
        <v>0</v>
      </c>
      <c r="H723" s="3">
        <f t="shared" si="100"/>
        <v>-2.7867016209090954E-11</v>
      </c>
      <c r="I723" s="3">
        <f t="shared" si="101"/>
        <v>7.677780032446054E-9</v>
      </c>
      <c r="J723" s="3">
        <f>IF(B723&lt;='Input sheet(dashboard)'!$D$27*12,'Input sheet(dashboard)'!$D$3*(1+'Input sheet(dashboard)'!$E$24)^B723,0)</f>
        <v>0</v>
      </c>
      <c r="K723" s="3">
        <f>IF(B723&lt;='Input sheet(dashboard)'!$D$27*12,J723*'Input sheet(dashboard)'!$E$8,0)</f>
        <v>0</v>
      </c>
      <c r="L723" s="3">
        <f>IF(B723&lt;='Input sheet(dashboard)'!$D$27*12,'Input sheet(dashboard)'!$D$9*(1+'Input sheet(dashboard)'!$E$22)^B723,0)</f>
        <v>0</v>
      </c>
      <c r="M723" s="3">
        <f>IF(B723=1,'Input sheet(dashboard)'!$D$3*'Input sheet(dashboard)'!$D$10,0)</f>
        <v>0</v>
      </c>
      <c r="N723" s="3">
        <f>IF(B723='Input sheet(dashboard)'!$D$27*12,J723*'Input sheet(dashboard)'!$D$11,0)</f>
        <v>0</v>
      </c>
      <c r="O723" s="3">
        <f>IF(SUM(F723:F734)&gt;=150000,150000/12*'Input sheet(dashboard)'!$D$28,SUM(F723:F734)/12*'Input sheet(dashboard)'!$D$28)</f>
        <v>3.4833770261363693E-13</v>
      </c>
      <c r="P723" s="3">
        <f t="shared" si="105"/>
        <v>4.9171308076837417E-11</v>
      </c>
      <c r="Q723" s="3">
        <f>IF(B723&lt;='Input sheet(dashboard)'!$D$27*12,'Input sheet(dashboard)'!$D$12/12,0)</f>
        <v>0</v>
      </c>
      <c r="R723" s="3">
        <f>IF(B723&lt;='Input sheet(dashboard)'!$D$27*12,('Input sheet(dashboard)'!$D$15/12)*(1+'Input sheet(dashboard)'!$E$22)^Calculations!B723,0)</f>
        <v>0</v>
      </c>
      <c r="S723" s="3">
        <f>IF(B723&lt;='Input sheet(dashboard)'!$D$27*12,(E723+G723+K723+L723-O723+M723+Q723+R723),0)</f>
        <v>0</v>
      </c>
      <c r="T723" s="3">
        <f>IF(B723&lt;='Input sheet(dashboard)'!$D$27*12,IF(D723=12,SUM(S712:S723),0),0)</f>
        <v>0</v>
      </c>
      <c r="U723" s="3">
        <f>IF(B723&lt;='Input sheet(dashboard)'!$D$27*12,IF(S723&lt;AD723,AD723-S723,0),0)</f>
        <v>0</v>
      </c>
      <c r="V723" s="3">
        <f>IF(B723&lt;='Input sheet(dashboard)'!$D$27*12,V722*(1+'Input sheet(dashboard)'!$E$25)+U723,0)</f>
        <v>0</v>
      </c>
      <c r="W723" s="17">
        <f>IF(B723&lt;='Input sheet(dashboard)'!$D$27*12,J723-I723+V723-N723,0)</f>
        <v>0</v>
      </c>
      <c r="X723" s="3">
        <f>IF(B723&lt;='Input sheet(dashboard)'!$D$27*12,'Input sheet(dashboard)'!$D$17*(1+'Input sheet(dashboard)'!$E$23)^(B723-1),0)</f>
        <v>0</v>
      </c>
      <c r="Y723" s="3"/>
      <c r="Z723" s="18"/>
      <c r="AA723" s="18"/>
      <c r="AB723" s="3">
        <f>IF(B723=1,'Input sheet(dashboard)'!$D$18*Calculations!X723,IF(Calculations!B723=12*'Input sheet(dashboard)'!$D$27,'Input sheet(dashboard)'!$D$18*-Calculations!X723,0))</f>
        <v>0</v>
      </c>
      <c r="AC723" s="3">
        <f>IF(B723&lt;='Input sheet(dashboard)'!$D$27*12,IF(MOD(B722,'Input sheet(dashboard)'!$D$19*12),0,'Input sheet(dashboard)'!$D$20*(1+'Input sheet(dashboard)'!$E$22)^Calculations!B723),0)</f>
        <v>0</v>
      </c>
      <c r="AD723" s="17">
        <f t="shared" si="102"/>
        <v>0</v>
      </c>
      <c r="AE723" s="17">
        <f>IF(B723&lt;='Input sheet(dashboard)'!$D$27*12,IF(D723=12,SUM(AD712:AD723),0),0)</f>
        <v>0</v>
      </c>
      <c r="AF723" s="17">
        <f t="shared" si="103"/>
        <v>0</v>
      </c>
      <c r="AG723" s="17">
        <f t="shared" si="104"/>
        <v>0</v>
      </c>
      <c r="AH723" s="3" t="str">
        <f>IF(B723&lt;='Input sheet(dashboard)'!$D$27*12,AH722*(1+'Input sheet(dashboard)'!$E$25)+AG723," ")</f>
        <v xml:space="preserve">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1218-BEE3-6347-8F58-F0FA2F725FF6}">
  <sheetPr>
    <tabColor theme="1"/>
  </sheetPr>
  <dimension ref="A1"/>
  <sheetViews>
    <sheetView showGridLines="0" workbookViewId="0">
      <selection activeCell="I30" sqref="I30"/>
    </sheetView>
  </sheetViews>
  <sheetFormatPr baseColWidth="10" defaultRowHeight="16"/>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F78A-1B8D-EF47-B998-99B0B7F39693}">
  <sheetPr>
    <tabColor rgb="FFFF0000"/>
  </sheetPr>
  <dimension ref="A2:W60"/>
  <sheetViews>
    <sheetView topLeftCell="B1" zoomScale="68" workbookViewId="0">
      <selection activeCell="Y42" sqref="Y42"/>
    </sheetView>
  </sheetViews>
  <sheetFormatPr baseColWidth="10" defaultRowHeight="16"/>
  <cols>
    <col min="1" max="1" width="34.83203125" bestFit="1" customWidth="1"/>
    <col min="2" max="3" width="20.83203125" bestFit="1" customWidth="1"/>
    <col min="4" max="4" width="11.6640625" bestFit="1" customWidth="1"/>
    <col min="5" max="5" width="19.6640625" bestFit="1" customWidth="1"/>
    <col min="6" max="6" width="20.1640625" bestFit="1" customWidth="1"/>
    <col min="7" max="7" width="12.6640625" bestFit="1" customWidth="1"/>
    <col min="9" max="9" width="21.83203125" bestFit="1" customWidth="1"/>
    <col min="10" max="10" width="23.1640625" bestFit="1" customWidth="1"/>
    <col min="11" max="12" width="30.83203125" bestFit="1" customWidth="1"/>
    <col min="14" max="14" width="30.83203125" bestFit="1" customWidth="1"/>
  </cols>
  <sheetData>
    <row r="2" spans="2:23">
      <c r="Q2" s="6"/>
    </row>
    <row r="3" spans="2:23">
      <c r="Q3" s="3"/>
    </row>
    <row r="4" spans="2:23">
      <c r="B4" s="6" t="s">
        <v>81</v>
      </c>
      <c r="F4" s="6" t="s">
        <v>116</v>
      </c>
      <c r="Q4" s="4"/>
    </row>
    <row r="5" spans="2:23">
      <c r="B5" s="25" t="s">
        <v>82</v>
      </c>
      <c r="C5" s="26">
        <v>2.5000000000000001E-2</v>
      </c>
      <c r="D5" s="27">
        <v>3</v>
      </c>
      <c r="E5" s="27">
        <v>3.5</v>
      </c>
      <c r="F5" s="28">
        <v>4.46</v>
      </c>
      <c r="G5" s="27">
        <v>5.5</v>
      </c>
      <c r="H5" s="29"/>
      <c r="Q5" s="7"/>
    </row>
    <row r="6" spans="2:23">
      <c r="B6" s="30" t="s">
        <v>112</v>
      </c>
      <c r="C6" s="38"/>
      <c r="E6" s="42">
        <v>0.01</v>
      </c>
      <c r="F6" s="41">
        <v>1.2500000000000001E-2</v>
      </c>
      <c r="G6" s="38">
        <v>1.4999999999999999E-2</v>
      </c>
      <c r="H6" s="32"/>
    </row>
    <row r="7" spans="2:23">
      <c r="B7" s="30" t="s">
        <v>114</v>
      </c>
      <c r="C7" s="38"/>
      <c r="E7">
        <v>2000</v>
      </c>
      <c r="F7" s="31">
        <v>3000</v>
      </c>
      <c r="G7">
        <v>4000</v>
      </c>
      <c r="H7" s="32"/>
      <c r="Q7" s="5"/>
    </row>
    <row r="8" spans="2:23">
      <c r="B8" s="30" t="s">
        <v>62</v>
      </c>
      <c r="D8">
        <v>3</v>
      </c>
      <c r="E8">
        <v>4</v>
      </c>
      <c r="F8" s="31">
        <v>5</v>
      </c>
      <c r="G8">
        <v>6</v>
      </c>
      <c r="H8" s="32">
        <v>7</v>
      </c>
      <c r="Q8" s="7"/>
    </row>
    <row r="9" spans="2:23">
      <c r="B9" s="30" t="s">
        <v>63</v>
      </c>
      <c r="D9">
        <v>3</v>
      </c>
      <c r="E9">
        <v>4</v>
      </c>
      <c r="F9" s="31">
        <v>5</v>
      </c>
      <c r="G9">
        <v>6</v>
      </c>
      <c r="H9" s="32">
        <v>7</v>
      </c>
    </row>
    <row r="10" spans="2:23">
      <c r="B10" s="30" t="s">
        <v>83</v>
      </c>
      <c r="D10">
        <v>6</v>
      </c>
      <c r="E10">
        <v>7</v>
      </c>
      <c r="F10" s="31">
        <v>8</v>
      </c>
      <c r="G10">
        <v>9</v>
      </c>
      <c r="H10" s="32">
        <v>10</v>
      </c>
      <c r="Q10" s="4"/>
    </row>
    <row r="11" spans="2:23">
      <c r="B11" s="33"/>
      <c r="C11" s="34"/>
      <c r="D11" s="34"/>
      <c r="E11" s="34"/>
      <c r="F11" s="34"/>
      <c r="G11" s="34"/>
      <c r="H11" s="35"/>
      <c r="Q11" s="4"/>
    </row>
    <row r="12" spans="2:23">
      <c r="Q12" s="3"/>
    </row>
    <row r="13" spans="2:23">
      <c r="Q13" s="3"/>
      <c r="T13" s="1" t="s">
        <v>36</v>
      </c>
      <c r="U13" s="1" t="s">
        <v>37</v>
      </c>
      <c r="V13" s="1"/>
      <c r="W13" s="1"/>
    </row>
    <row r="14" spans="2:23">
      <c r="Q14" s="4"/>
      <c r="T14" s="2" t="s">
        <v>38</v>
      </c>
      <c r="U14" s="2"/>
      <c r="V14" s="2"/>
      <c r="W14" s="2" t="s">
        <v>39</v>
      </c>
    </row>
    <row r="15" spans="2:23">
      <c r="B15" s="6" t="s">
        <v>115</v>
      </c>
      <c r="Q15" s="98"/>
      <c r="T15" t="s">
        <v>40</v>
      </c>
      <c r="U15" t="s">
        <v>41</v>
      </c>
      <c r="V15" s="3">
        <v>8868530</v>
      </c>
    </row>
    <row r="16" spans="2:23" ht="34">
      <c r="B16" s="31" t="s">
        <v>84</v>
      </c>
      <c r="C16" s="31" t="s">
        <v>85</v>
      </c>
      <c r="D16" s="31" t="s">
        <v>86</v>
      </c>
      <c r="E16" s="20" t="s">
        <v>68</v>
      </c>
      <c r="F16" s="45" t="s">
        <v>24</v>
      </c>
      <c r="G16" s="6" t="s">
        <v>69</v>
      </c>
      <c r="H16" s="6" t="s">
        <v>70</v>
      </c>
      <c r="I16" s="6" t="s">
        <v>124</v>
      </c>
      <c r="J16" s="6" t="s">
        <v>125</v>
      </c>
      <c r="K16" s="44" t="s">
        <v>122</v>
      </c>
      <c r="L16" s="44" t="s">
        <v>123</v>
      </c>
      <c r="M16" s="8" t="s">
        <v>72</v>
      </c>
      <c r="N16" s="8" t="s">
        <v>73</v>
      </c>
      <c r="Q16" s="3"/>
      <c r="T16" t="s">
        <v>42</v>
      </c>
      <c r="U16" t="s">
        <v>43</v>
      </c>
      <c r="V16" s="4">
        <v>0.9</v>
      </c>
    </row>
    <row r="17" spans="1:23">
      <c r="B17" s="43" t="s">
        <v>87</v>
      </c>
      <c r="C17" s="43" t="s">
        <v>88</v>
      </c>
      <c r="D17" s="43" t="s">
        <v>88</v>
      </c>
      <c r="E17" s="21">
        <v>83391235.803864673</v>
      </c>
      <c r="F17" s="46">
        <v>62067437.410827316</v>
      </c>
      <c r="G17" s="23">
        <v>21323798.393037356</v>
      </c>
      <c r="H17" s="6" t="s">
        <v>89</v>
      </c>
      <c r="I17" s="21">
        <v>21581228.221654519</v>
      </c>
      <c r="J17" s="42">
        <v>0.25879492027691431</v>
      </c>
      <c r="K17" t="s">
        <v>117</v>
      </c>
      <c r="L17">
        <v>20</v>
      </c>
      <c r="M17" s="24">
        <v>39834.137922259193</v>
      </c>
      <c r="N17" s="24">
        <v>99585.344805647983</v>
      </c>
      <c r="T17" t="s">
        <v>44</v>
      </c>
      <c r="U17" t="s">
        <v>43</v>
      </c>
      <c r="V17" s="7">
        <v>4.4600000000000001E-2</v>
      </c>
      <c r="W17" s="7">
        <f>((1+V17)^(1/12))-1</f>
        <v>3.6427886369352347E-3</v>
      </c>
    </row>
    <row r="18" spans="1:23">
      <c r="B18" s="8" t="s">
        <v>90</v>
      </c>
      <c r="C18" s="8" t="s">
        <v>82</v>
      </c>
      <c r="D18" s="36">
        <v>2.5000000000000001E-2</v>
      </c>
      <c r="E18" s="66">
        <v>88831712.958766609</v>
      </c>
      <c r="F18" s="67">
        <v>40457899.355356142</v>
      </c>
      <c r="G18" s="68">
        <v>48373813.603410468</v>
      </c>
      <c r="H18" s="69" t="s">
        <v>89</v>
      </c>
      <c r="I18" s="66">
        <v>27021705.376556464</v>
      </c>
      <c r="J18" s="70">
        <v>0.30418984928388404</v>
      </c>
      <c r="K18" s="16" t="s">
        <v>117</v>
      </c>
      <c r="L18" s="16">
        <v>14</v>
      </c>
      <c r="M18" s="71">
        <v>31420.387853452878</v>
      </c>
      <c r="N18" s="71">
        <v>78550.969633632194</v>
      </c>
      <c r="Q18" s="19"/>
      <c r="T18" t="s">
        <v>45</v>
      </c>
      <c r="U18" t="s">
        <v>46</v>
      </c>
      <c r="V18">
        <v>30</v>
      </c>
    </row>
    <row r="19" spans="1:23">
      <c r="B19" s="8" t="s">
        <v>91</v>
      </c>
      <c r="C19" s="8" t="s">
        <v>82</v>
      </c>
      <c r="D19" s="37">
        <v>0.03</v>
      </c>
      <c r="E19" s="66">
        <v>87230773.642804831</v>
      </c>
      <c r="F19" s="67">
        <v>45336683.059196182</v>
      </c>
      <c r="G19" s="68">
        <v>41894090.58360865</v>
      </c>
      <c r="H19" s="69" t="s">
        <v>89</v>
      </c>
      <c r="I19" s="66">
        <v>25420766.060594659</v>
      </c>
      <c r="J19" s="70">
        <v>0.29141970200434503</v>
      </c>
      <c r="K19" s="16" t="s">
        <v>117</v>
      </c>
      <c r="L19" s="16">
        <v>16</v>
      </c>
      <c r="M19" s="71">
        <v>33477.084123454617</v>
      </c>
      <c r="N19" s="71">
        <v>83692.710308636539</v>
      </c>
      <c r="T19" t="s">
        <v>47</v>
      </c>
      <c r="U19" t="s">
        <v>43</v>
      </c>
      <c r="V19" s="5">
        <v>0.08</v>
      </c>
      <c r="W19" s="7">
        <f>((1+V19)^(1/12))-1</f>
        <v>6.4340301100034303E-3</v>
      </c>
    </row>
    <row r="20" spans="1:23">
      <c r="B20" s="8" t="s">
        <v>92</v>
      </c>
      <c r="C20" s="8" t="s">
        <v>82</v>
      </c>
      <c r="D20" s="38">
        <v>3.5000000000000003E-2</v>
      </c>
      <c r="E20" s="66">
        <v>85786946.271025553</v>
      </c>
      <c r="F20" s="67">
        <v>50702586.452403605</v>
      </c>
      <c r="G20" s="68">
        <v>35084359.818621948</v>
      </c>
      <c r="H20" s="69" t="s">
        <v>89</v>
      </c>
      <c r="I20" s="66">
        <v>23976938.688815385</v>
      </c>
      <c r="J20" s="70">
        <v>0.27949402247126692</v>
      </c>
      <c r="K20" s="16" t="s">
        <v>117</v>
      </c>
      <c r="L20" s="16">
        <v>17</v>
      </c>
      <c r="M20" s="71">
        <v>35597.044829308245</v>
      </c>
      <c r="N20" s="71">
        <v>88992.612073270604</v>
      </c>
      <c r="T20" t="s">
        <v>48</v>
      </c>
      <c r="U20" t="s">
        <v>43</v>
      </c>
      <c r="V20" s="7">
        <v>1.2500000000000001E-2</v>
      </c>
      <c r="W20" s="7">
        <f>((1+V20)^(1/12))-1</f>
        <v>1.0357460146983577E-3</v>
      </c>
    </row>
    <row r="21" spans="1:23">
      <c r="B21" s="8" t="s">
        <v>93</v>
      </c>
      <c r="C21" s="8" t="s">
        <v>82</v>
      </c>
      <c r="D21" s="38">
        <v>5.5E-2</v>
      </c>
      <c r="E21" s="66">
        <v>81372731.686420068</v>
      </c>
      <c r="F21" s="67">
        <v>75783242.209142208</v>
      </c>
      <c r="G21" s="68">
        <v>5589489.47727786</v>
      </c>
      <c r="H21" s="69" t="s">
        <v>89</v>
      </c>
      <c r="I21" s="66">
        <v>19562724.104209945</v>
      </c>
      <c r="J21" s="70">
        <v>0.24040884088293032</v>
      </c>
      <c r="K21" s="16" t="s">
        <v>117</v>
      </c>
      <c r="L21" s="16">
        <v>22</v>
      </c>
      <c r="M21" s="71">
        <v>44650.515030990166</v>
      </c>
      <c r="N21" s="71">
        <v>111626.28757747541</v>
      </c>
      <c r="Q21" s="98"/>
      <c r="T21" t="s">
        <v>49</v>
      </c>
      <c r="U21" t="s">
        <v>41</v>
      </c>
      <c r="V21">
        <v>3000</v>
      </c>
    </row>
    <row r="22" spans="1:23">
      <c r="B22" s="8" t="s">
        <v>108</v>
      </c>
      <c r="C22" s="8" t="s">
        <v>112</v>
      </c>
      <c r="D22" s="38">
        <v>0.01</v>
      </c>
      <c r="E22" s="66">
        <v>88266181.538646355</v>
      </c>
      <c r="F22" s="67">
        <v>55516544.590211488</v>
      </c>
      <c r="G22" s="68">
        <v>32749636.948434867</v>
      </c>
      <c r="H22" s="69" t="s">
        <v>89</v>
      </c>
      <c r="I22" s="66">
        <v>26456173.956436198</v>
      </c>
      <c r="J22" s="70">
        <v>0.29973171485675587</v>
      </c>
      <c r="K22" s="16" t="s">
        <v>117</v>
      </c>
      <c r="L22" s="16">
        <v>17</v>
      </c>
      <c r="M22" s="71">
        <v>39834.137922259193</v>
      </c>
      <c r="N22" s="71">
        <v>99585.344805647983</v>
      </c>
      <c r="Q22" s="5"/>
      <c r="T22" t="s">
        <v>50</v>
      </c>
      <c r="U22" t="s">
        <v>43</v>
      </c>
      <c r="V22" s="4">
        <v>0.01</v>
      </c>
    </row>
    <row r="23" spans="1:23">
      <c r="B23" s="8" t="s">
        <v>109</v>
      </c>
      <c r="C23" s="8" t="s">
        <v>112</v>
      </c>
      <c r="D23" s="38">
        <v>1.4999999999999999E-2</v>
      </c>
      <c r="E23" s="66">
        <v>79168914.141872674</v>
      </c>
      <c r="F23" s="67">
        <v>69245122.5589706</v>
      </c>
      <c r="G23" s="68">
        <v>9923791.5829020739</v>
      </c>
      <c r="H23" s="69" t="s">
        <v>89</v>
      </c>
      <c r="I23" s="66">
        <v>17358906.559662521</v>
      </c>
      <c r="J23" s="70">
        <v>0.21926417392254396</v>
      </c>
      <c r="K23" s="16" t="s">
        <v>117</v>
      </c>
      <c r="L23" s="16">
        <v>22</v>
      </c>
      <c r="M23" s="71">
        <v>39834.137922259193</v>
      </c>
      <c r="N23" s="71">
        <v>99585.344805647983</v>
      </c>
      <c r="Q23" s="4"/>
      <c r="T23" t="s">
        <v>51</v>
      </c>
      <c r="U23" t="s">
        <v>43</v>
      </c>
      <c r="V23" s="4">
        <v>0.01</v>
      </c>
    </row>
    <row r="24" spans="1:23">
      <c r="B24" s="8" t="s">
        <v>110</v>
      </c>
      <c r="C24" s="8" t="s">
        <v>113</v>
      </c>
      <c r="D24">
        <v>2000</v>
      </c>
      <c r="E24" s="66">
        <v>84713435.333873689</v>
      </c>
      <c r="F24" s="67">
        <v>59027993.05375354</v>
      </c>
      <c r="G24" s="68">
        <v>25685442.280120149</v>
      </c>
      <c r="H24" s="69" t="s">
        <v>89</v>
      </c>
      <c r="I24" s="66">
        <v>22903427.751663532</v>
      </c>
      <c r="J24" s="70">
        <v>0.27036358118870102</v>
      </c>
      <c r="K24" s="16" t="s">
        <v>117</v>
      </c>
      <c r="L24" s="16">
        <v>18</v>
      </c>
      <c r="M24" s="71">
        <v>39834.137922259193</v>
      </c>
      <c r="N24" s="71">
        <v>99585.344805647983</v>
      </c>
      <c r="Q24" s="4"/>
      <c r="T24" t="s">
        <v>52</v>
      </c>
      <c r="U24" t="s">
        <v>41</v>
      </c>
      <c r="V24" s="3">
        <v>2310</v>
      </c>
    </row>
    <row r="25" spans="1:23">
      <c r="B25" s="8" t="s">
        <v>111</v>
      </c>
      <c r="C25" s="8" t="s">
        <v>113</v>
      </c>
      <c r="D25">
        <v>4000</v>
      </c>
      <c r="E25" s="66">
        <v>82147992.58532609</v>
      </c>
      <c r="F25" s="67">
        <v>65185838.079371706</v>
      </c>
      <c r="G25" s="68">
        <v>16962154.505954385</v>
      </c>
      <c r="H25" s="69" t="s">
        <v>89</v>
      </c>
      <c r="I25" s="66">
        <v>20337985.003115941</v>
      </c>
      <c r="J25" s="70">
        <v>0.24757738275821081</v>
      </c>
      <c r="K25" s="16" t="s">
        <v>117</v>
      </c>
      <c r="L25" s="16">
        <v>20</v>
      </c>
      <c r="M25" s="71">
        <v>39834.137922259193</v>
      </c>
      <c r="N25" s="71">
        <v>99585.344805647983</v>
      </c>
      <c r="Q25" s="4"/>
      <c r="T25" t="s">
        <v>53</v>
      </c>
      <c r="U25" t="s">
        <v>41</v>
      </c>
      <c r="V25" s="3">
        <v>150000</v>
      </c>
    </row>
    <row r="26" spans="1:23">
      <c r="B26" s="8" t="s">
        <v>95</v>
      </c>
      <c r="C26" s="8" t="s">
        <v>62</v>
      </c>
      <c r="D26" s="38">
        <v>0.03</v>
      </c>
      <c r="E26" s="66">
        <v>65805084.010579087</v>
      </c>
      <c r="F26" s="67">
        <v>85136124.282308027</v>
      </c>
      <c r="G26" s="68">
        <v>19331040.27172894</v>
      </c>
      <c r="H26" s="69" t="s">
        <v>94</v>
      </c>
      <c r="I26" s="66">
        <v>3995076.428368933</v>
      </c>
      <c r="J26" s="70">
        <v>6.0710756447429938E-2</v>
      </c>
      <c r="K26" s="16">
        <v>29</v>
      </c>
      <c r="L26" s="16">
        <v>31</v>
      </c>
      <c r="M26" s="71">
        <v>39834.137922259193</v>
      </c>
      <c r="N26" s="71">
        <v>99585.344805647983</v>
      </c>
      <c r="Q26" s="98"/>
      <c r="T26" t="s">
        <v>54</v>
      </c>
      <c r="U26" t="s">
        <v>43</v>
      </c>
      <c r="V26" s="4">
        <v>0.4</v>
      </c>
    </row>
    <row r="27" spans="1:23">
      <c r="B27" s="8" t="s">
        <v>96</v>
      </c>
      <c r="C27" s="8" t="s">
        <v>62</v>
      </c>
      <c r="D27" s="38">
        <v>0.04</v>
      </c>
      <c r="E27" s="66">
        <v>70972533.712231204</v>
      </c>
      <c r="F27" s="67">
        <v>72120296.712495819</v>
      </c>
      <c r="G27" s="68">
        <v>1147763.0002646148</v>
      </c>
      <c r="H27" s="69" t="s">
        <v>94</v>
      </c>
      <c r="I27" s="66">
        <v>9162526.1300210487</v>
      </c>
      <c r="J27" s="70">
        <v>0.12909960587248986</v>
      </c>
      <c r="K27" s="16">
        <v>40</v>
      </c>
      <c r="L27" s="16">
        <v>30</v>
      </c>
      <c r="M27" s="71">
        <v>39834.137922259193</v>
      </c>
      <c r="N27" s="71">
        <v>99585.344805647983</v>
      </c>
      <c r="T27" t="s">
        <v>175</v>
      </c>
      <c r="U27" t="s">
        <v>41</v>
      </c>
      <c r="V27" s="65">
        <v>4000</v>
      </c>
      <c r="W27">
        <f>V27/12</f>
        <v>333.33333333333331</v>
      </c>
    </row>
    <row r="28" spans="1:23">
      <c r="B28" s="8" t="s">
        <v>97</v>
      </c>
      <c r="C28" s="8" t="s">
        <v>62</v>
      </c>
      <c r="D28" s="38">
        <v>0.06</v>
      </c>
      <c r="E28" s="66">
        <v>104863542.79034215</v>
      </c>
      <c r="F28" s="67">
        <v>55569351.424519151</v>
      </c>
      <c r="G28" s="68">
        <v>49294191.365823001</v>
      </c>
      <c r="H28" s="69" t="s">
        <v>89</v>
      </c>
      <c r="I28" s="66">
        <v>43053535.208131999</v>
      </c>
      <c r="J28" s="70">
        <v>0.4105672387419777</v>
      </c>
      <c r="K28" s="16" t="s">
        <v>117</v>
      </c>
      <c r="L28" s="16">
        <v>15</v>
      </c>
      <c r="M28" s="71">
        <v>39834.137922259193</v>
      </c>
      <c r="N28" s="71">
        <v>99585.344805647983</v>
      </c>
      <c r="T28" s="2" t="s">
        <v>1</v>
      </c>
      <c r="U28" s="2"/>
      <c r="V28" s="2"/>
      <c r="W28" s="2"/>
    </row>
    <row r="29" spans="1:23">
      <c r="B29" s="8" t="s">
        <v>98</v>
      </c>
      <c r="C29" s="8" t="s">
        <v>62</v>
      </c>
      <c r="D29" s="38">
        <v>7.0000000000000007E-2</v>
      </c>
      <c r="E29" s="66">
        <v>135206989.92283031</v>
      </c>
      <c r="F29" s="67">
        <v>50864090.44293578</v>
      </c>
      <c r="G29" s="68">
        <v>84342899.479894534</v>
      </c>
      <c r="H29" s="69" t="s">
        <v>89</v>
      </c>
      <c r="I29" s="66">
        <v>73396982.34062016</v>
      </c>
      <c r="J29" s="70">
        <v>0.54284902269114677</v>
      </c>
      <c r="K29" s="16" t="s">
        <v>117</v>
      </c>
      <c r="L29" s="16">
        <v>13</v>
      </c>
      <c r="M29" s="71">
        <v>39834.137922259193</v>
      </c>
      <c r="N29" s="71">
        <v>99585.344805647983</v>
      </c>
      <c r="T29" t="s">
        <v>55</v>
      </c>
      <c r="U29" t="s">
        <v>41</v>
      </c>
      <c r="V29" s="3">
        <v>25905</v>
      </c>
    </row>
    <row r="30" spans="1:23">
      <c r="A30" t="s">
        <v>118</v>
      </c>
      <c r="B30" s="8" t="s">
        <v>99</v>
      </c>
      <c r="C30" s="8" t="s">
        <v>63</v>
      </c>
      <c r="D30" s="37">
        <v>0.03</v>
      </c>
      <c r="E30" s="66">
        <v>60328662.15725518</v>
      </c>
      <c r="F30" s="67">
        <v>57631605.372107409</v>
      </c>
      <c r="G30" s="68">
        <v>2697056.7851477712</v>
      </c>
      <c r="H30" s="69" t="s">
        <v>89</v>
      </c>
      <c r="I30" s="66">
        <v>31688476.937972106</v>
      </c>
      <c r="J30" s="70">
        <v>0.52526404207956101</v>
      </c>
      <c r="K30" s="16">
        <v>26</v>
      </c>
      <c r="L30" s="16">
        <v>17</v>
      </c>
      <c r="M30" s="71">
        <v>39834.137922259193</v>
      </c>
      <c r="N30" s="71">
        <v>99585.344805647983</v>
      </c>
      <c r="T30" t="s">
        <v>56</v>
      </c>
      <c r="U30" t="s">
        <v>57</v>
      </c>
      <c r="V30">
        <v>2</v>
      </c>
    </row>
    <row r="31" spans="1:23">
      <c r="B31" s="8" t="s">
        <v>100</v>
      </c>
      <c r="C31" s="8" t="s">
        <v>63</v>
      </c>
      <c r="D31" s="37">
        <v>0.04</v>
      </c>
      <c r="E31" s="66">
        <v>69315574.28866531</v>
      </c>
      <c r="F31" s="67">
        <v>59609638.750725344</v>
      </c>
      <c r="G31" s="68">
        <v>9705935.5379399657</v>
      </c>
      <c r="H31" s="69" t="s">
        <v>89</v>
      </c>
      <c r="I31" s="66">
        <v>27163358.773884147</v>
      </c>
      <c r="J31" s="70">
        <v>0.39187958914921639</v>
      </c>
      <c r="K31" s="16" t="s">
        <v>117</v>
      </c>
      <c r="L31" s="16">
        <v>18</v>
      </c>
      <c r="M31" s="71">
        <v>39834.137922259193</v>
      </c>
      <c r="N31" s="71">
        <v>99585.344805647983</v>
      </c>
      <c r="T31" t="s">
        <v>58</v>
      </c>
      <c r="U31" t="s">
        <v>46</v>
      </c>
      <c r="V31" s="19">
        <f>52/12</f>
        <v>4.333333333333333</v>
      </c>
    </row>
    <row r="32" spans="1:23">
      <c r="B32" s="8" t="s">
        <v>101</v>
      </c>
      <c r="C32" s="8" t="s">
        <v>63</v>
      </c>
      <c r="D32" s="37">
        <v>0.06</v>
      </c>
      <c r="E32" s="66">
        <v>105177052.99857192</v>
      </c>
      <c r="F32" s="67">
        <v>65367785.532429688</v>
      </c>
      <c r="G32" s="68">
        <v>39809267.46614223</v>
      </c>
      <c r="H32" s="69" t="s">
        <v>89</v>
      </c>
      <c r="I32" s="66">
        <v>14870046.882599631</v>
      </c>
      <c r="J32" s="70">
        <v>0.14138109462718579</v>
      </c>
      <c r="K32" s="16" t="s">
        <v>117</v>
      </c>
      <c r="L32" s="16">
        <v>22</v>
      </c>
      <c r="M32" s="71">
        <v>39834.137922259193</v>
      </c>
      <c r="N32" s="71">
        <v>99585.344805647983</v>
      </c>
      <c r="T32" t="s">
        <v>59</v>
      </c>
      <c r="U32" t="s">
        <v>41</v>
      </c>
      <c r="V32">
        <v>8000</v>
      </c>
    </row>
    <row r="33" spans="2:23">
      <c r="B33" s="8" t="s">
        <v>102</v>
      </c>
      <c r="C33" s="8" t="s">
        <v>63</v>
      </c>
      <c r="D33" s="37">
        <v>7.0000000000000007E-2</v>
      </c>
      <c r="E33" s="66">
        <v>139404799.94123685</v>
      </c>
      <c r="F33" s="67">
        <v>70979927.062195122</v>
      </c>
      <c r="G33" s="68">
        <v>68424872.879041731</v>
      </c>
      <c r="H33" s="69" t="s">
        <v>89</v>
      </c>
      <c r="I33" s="66">
        <v>7931385.6463027149</v>
      </c>
      <c r="J33" s="70">
        <v>5.6894638130437568E-2</v>
      </c>
      <c r="K33" s="16" t="s">
        <v>117</v>
      </c>
      <c r="L33" s="16">
        <v>31</v>
      </c>
      <c r="M33" s="71">
        <v>39834.137922259193</v>
      </c>
      <c r="N33" s="71">
        <v>99585.344805647983</v>
      </c>
      <c r="T33" s="2" t="s">
        <v>60</v>
      </c>
      <c r="U33" s="2"/>
      <c r="V33" s="2"/>
      <c r="W33" s="2"/>
    </row>
    <row r="34" spans="2:23">
      <c r="B34" s="8" t="s">
        <v>103</v>
      </c>
      <c r="C34" s="8" t="s">
        <v>104</v>
      </c>
      <c r="D34" s="37">
        <v>0.06</v>
      </c>
      <c r="E34" s="66">
        <v>80649976.457705542</v>
      </c>
      <c r="F34" s="67">
        <v>31578457.991435193</v>
      </c>
      <c r="G34" s="68">
        <v>49071518.46627035</v>
      </c>
      <c r="H34" s="69" t="s">
        <v>89</v>
      </c>
      <c r="I34" s="66">
        <v>18839968.875495397</v>
      </c>
      <c r="J34" s="70">
        <v>0.23360166615021211</v>
      </c>
      <c r="K34" s="16" t="s">
        <v>117</v>
      </c>
      <c r="L34" s="16">
        <v>20</v>
      </c>
      <c r="M34" s="71">
        <v>39834.137922259193</v>
      </c>
      <c r="N34" s="71">
        <v>99585.344805647983</v>
      </c>
      <c r="T34" t="s">
        <v>61</v>
      </c>
      <c r="U34" t="s">
        <v>43</v>
      </c>
      <c r="V34" s="5">
        <v>2.5000000000000001E-2</v>
      </c>
      <c r="W34" s="7">
        <f>((1+V34)^(1/12))-1</f>
        <v>2.0598362698427408E-3</v>
      </c>
    </row>
    <row r="35" spans="2:23">
      <c r="B35" s="8" t="s">
        <v>105</v>
      </c>
      <c r="C35" s="8" t="s">
        <v>104</v>
      </c>
      <c r="D35" s="39">
        <v>7.0000000000000007E-2</v>
      </c>
      <c r="E35" s="66">
        <v>81960037.20915848</v>
      </c>
      <c r="F35" s="67">
        <v>44307281.630802765</v>
      </c>
      <c r="G35" s="68">
        <v>37652755.578355715</v>
      </c>
      <c r="H35" s="69" t="s">
        <v>89</v>
      </c>
      <c r="I35" s="66">
        <v>20150029.626948323</v>
      </c>
      <c r="J35" s="70">
        <v>0.24585188480974351</v>
      </c>
      <c r="K35" s="16" t="s">
        <v>117</v>
      </c>
      <c r="L35" s="16">
        <v>20</v>
      </c>
      <c r="M35" s="71">
        <v>39834.137922259193</v>
      </c>
      <c r="N35" s="71">
        <v>99585.344805647983</v>
      </c>
      <c r="T35" t="s">
        <v>62</v>
      </c>
      <c r="U35" t="s">
        <v>43</v>
      </c>
      <c r="V35" s="4">
        <v>0.05</v>
      </c>
      <c r="W35" s="7">
        <f>((1+V35)^(1/12))-1</f>
        <v>4.0741237836483535E-3</v>
      </c>
    </row>
    <row r="36" spans="2:23">
      <c r="B36" s="8" t="s">
        <v>106</v>
      </c>
      <c r="C36" s="8" t="s">
        <v>104</v>
      </c>
      <c r="D36" s="37">
        <v>0.09</v>
      </c>
      <c r="E36" s="66">
        <v>84956672.323580131</v>
      </c>
      <c r="F36" s="67">
        <v>86803204.877989262</v>
      </c>
      <c r="G36" s="68">
        <v>1846532.5544091314</v>
      </c>
      <c r="H36" s="69" t="s">
        <v>94</v>
      </c>
      <c r="I36" s="66">
        <v>23146664.741369978</v>
      </c>
      <c r="J36" s="70">
        <v>0.27245258210220069</v>
      </c>
      <c r="K36" s="16">
        <v>39</v>
      </c>
      <c r="L36" s="16">
        <v>20</v>
      </c>
      <c r="M36" s="71">
        <v>39834.137922259193</v>
      </c>
      <c r="N36" s="71">
        <v>99585.344805647983</v>
      </c>
      <c r="O36" s="16"/>
      <c r="T36" t="s">
        <v>63</v>
      </c>
      <c r="U36" t="s">
        <v>43</v>
      </c>
      <c r="V36" s="4">
        <v>0.05</v>
      </c>
      <c r="W36" s="7">
        <f>((1+V36)^(1/12))-1</f>
        <v>4.0741237836483535E-3</v>
      </c>
    </row>
    <row r="37" spans="2:23">
      <c r="B37" s="8" t="s">
        <v>107</v>
      </c>
      <c r="C37" s="8" t="s">
        <v>104</v>
      </c>
      <c r="D37" s="37">
        <v>0.1</v>
      </c>
      <c r="E37" s="66">
        <v>86670990.965454951</v>
      </c>
      <c r="F37" s="67">
        <v>121191324.69522037</v>
      </c>
      <c r="G37" s="68">
        <v>34520333.729765415</v>
      </c>
      <c r="H37" s="69" t="s">
        <v>94</v>
      </c>
      <c r="I37" s="66">
        <v>24860983.383244798</v>
      </c>
      <c r="J37" s="70">
        <v>0.28684318831838224</v>
      </c>
      <c r="K37" s="16">
        <v>25</v>
      </c>
      <c r="L37" s="16">
        <v>20</v>
      </c>
      <c r="M37" s="71">
        <v>39834.137922259193</v>
      </c>
      <c r="N37" s="71">
        <v>99585.344805647983</v>
      </c>
      <c r="O37" s="16"/>
      <c r="T37" t="s">
        <v>64</v>
      </c>
      <c r="U37" t="s">
        <v>43</v>
      </c>
      <c r="V37" s="4">
        <v>0.08</v>
      </c>
      <c r="W37" s="7">
        <f>((1+V37)^(1/12))-1</f>
        <v>6.4340301100034303E-3</v>
      </c>
    </row>
    <row r="38" spans="2:23">
      <c r="B38" s="8" t="s">
        <v>130</v>
      </c>
      <c r="C38" s="8" t="s">
        <v>42</v>
      </c>
      <c r="D38" s="37">
        <v>0.8</v>
      </c>
      <c r="E38" s="66">
        <v>86025995.311204314</v>
      </c>
      <c r="F38" s="67">
        <v>69356813.152244449</v>
      </c>
      <c r="G38" s="68">
        <v>16669182.158959866</v>
      </c>
      <c r="H38" s="69" t="s">
        <v>89</v>
      </c>
      <c r="I38" s="66">
        <v>24215987.728994187</v>
      </c>
      <c r="J38" s="70">
        <v>0.28149616451854309</v>
      </c>
      <c r="K38" s="16" t="s">
        <v>117</v>
      </c>
      <c r="L38" s="16">
        <v>17</v>
      </c>
      <c r="M38" s="71">
        <v>35408.122597563721</v>
      </c>
      <c r="N38" s="71">
        <v>88520.306493909302</v>
      </c>
      <c r="O38" s="16"/>
      <c r="T38" s="2" t="s">
        <v>65</v>
      </c>
      <c r="U38" s="2"/>
      <c r="V38" s="2"/>
      <c r="W38" s="2"/>
    </row>
    <row r="39" spans="2:23">
      <c r="B39" s="8"/>
      <c r="C39" s="8"/>
      <c r="D39" s="40"/>
      <c r="E39" s="72"/>
      <c r="F39" s="73"/>
      <c r="G39" s="74"/>
      <c r="H39" s="69"/>
      <c r="I39" s="16"/>
      <c r="J39" s="16"/>
      <c r="K39" s="16"/>
      <c r="L39" s="16"/>
      <c r="M39" s="16"/>
      <c r="N39" s="16"/>
      <c r="O39" s="16"/>
      <c r="T39" t="s">
        <v>66</v>
      </c>
      <c r="U39" t="s">
        <v>46</v>
      </c>
      <c r="V39">
        <v>40</v>
      </c>
    </row>
    <row r="40" spans="2:23">
      <c r="B40" s="8"/>
      <c r="C40" s="8"/>
      <c r="D40" s="40"/>
      <c r="E40" s="72"/>
      <c r="F40" s="73"/>
      <c r="G40" s="74"/>
      <c r="H40" s="69"/>
      <c r="I40" s="16"/>
      <c r="J40" s="16"/>
      <c r="K40" s="16"/>
      <c r="L40" s="16"/>
      <c r="M40" s="16"/>
      <c r="N40" s="16"/>
      <c r="O40" s="16"/>
    </row>
    <row r="41" spans="2:23">
      <c r="B41" s="8" t="s">
        <v>119</v>
      </c>
      <c r="C41" s="8" t="s">
        <v>120</v>
      </c>
      <c r="D41" s="40" t="s">
        <v>120</v>
      </c>
      <c r="E41" s="66">
        <v>116925538.28471042</v>
      </c>
      <c r="F41" s="67">
        <v>55543170.451957546</v>
      </c>
      <c r="G41" s="68">
        <v>61382367.832752876</v>
      </c>
      <c r="H41" s="69" t="s">
        <v>89</v>
      </c>
      <c r="I41" s="66">
        <v>7229553.6463469602</v>
      </c>
      <c r="J41" s="70">
        <v>6.1830407218166482E-2</v>
      </c>
      <c r="K41" s="16" t="s">
        <v>117</v>
      </c>
      <c r="L41" s="16">
        <v>27</v>
      </c>
      <c r="M41" s="71">
        <v>33235.958806091221</v>
      </c>
      <c r="N41" s="71">
        <v>83089.897015228053</v>
      </c>
      <c r="O41" s="16"/>
    </row>
    <row r="42" spans="2:23">
      <c r="B42" s="8" t="s">
        <v>129</v>
      </c>
      <c r="C42" s="75" t="s">
        <v>121</v>
      </c>
      <c r="D42" s="76"/>
      <c r="E42" s="77"/>
      <c r="F42" s="73"/>
      <c r="G42" s="74"/>
      <c r="H42" s="69"/>
    </row>
    <row r="43" spans="2:23">
      <c r="C43" s="78">
        <v>1</v>
      </c>
      <c r="D43" s="66">
        <v>616448.59853685054</v>
      </c>
      <c r="E43" s="79">
        <v>352837.34187713376</v>
      </c>
      <c r="F43" s="16"/>
      <c r="G43" s="16"/>
      <c r="H43" s="16"/>
    </row>
    <row r="44" spans="2:23">
      <c r="C44" s="78">
        <v>10</v>
      </c>
      <c r="D44" s="66">
        <v>631538.58884218545</v>
      </c>
      <c r="E44" s="79">
        <v>467560.49987964908</v>
      </c>
      <c r="F44" s="16"/>
      <c r="G44" s="16"/>
      <c r="H44" s="16"/>
    </row>
    <row r="45" spans="2:23">
      <c r="C45" s="80">
        <v>20</v>
      </c>
      <c r="D45" s="66">
        <v>815174.85776041413</v>
      </c>
      <c r="E45" s="79">
        <v>745713.04843170801</v>
      </c>
      <c r="F45" s="16"/>
      <c r="G45" s="16"/>
      <c r="H45" s="16"/>
    </row>
    <row r="46" spans="2:23">
      <c r="C46" s="80">
        <v>30</v>
      </c>
      <c r="D46" s="66">
        <v>1186008.4030427302</v>
      </c>
      <c r="E46" s="79">
        <v>1194342.6499649708</v>
      </c>
      <c r="F46" s="16"/>
      <c r="G46" s="16"/>
      <c r="H46" s="16"/>
    </row>
    <row r="47" spans="2:23">
      <c r="C47" s="80">
        <v>31</v>
      </c>
      <c r="D47" s="66">
        <v>805199.17749225919</v>
      </c>
      <c r="E47" s="79">
        <v>1269147.2492229596</v>
      </c>
      <c r="F47" s="16"/>
      <c r="G47" s="16"/>
      <c r="H47" s="16"/>
    </row>
    <row r="48" spans="2:23">
      <c r="C48" s="81">
        <v>40</v>
      </c>
      <c r="D48" s="82">
        <v>1433266.532646067</v>
      </c>
      <c r="E48" s="83">
        <v>1896084.348436282</v>
      </c>
      <c r="F48" s="16"/>
      <c r="G48" s="16"/>
      <c r="H48" s="16"/>
    </row>
    <row r="49" spans="2:8">
      <c r="C49" s="16"/>
      <c r="D49" s="16"/>
      <c r="E49" s="16"/>
      <c r="F49" s="16"/>
      <c r="G49" s="16"/>
      <c r="H49" s="16"/>
    </row>
    <row r="50" spans="2:8">
      <c r="C50" s="16"/>
      <c r="D50" s="16"/>
      <c r="E50" s="16"/>
      <c r="F50" s="16"/>
      <c r="G50" s="16"/>
      <c r="H50" s="16"/>
    </row>
    <row r="51" spans="2:8">
      <c r="B51" t="s">
        <v>128</v>
      </c>
      <c r="C51" s="75" t="s">
        <v>121</v>
      </c>
      <c r="D51" s="76"/>
      <c r="E51" s="77"/>
      <c r="F51" s="16"/>
      <c r="G51" s="16"/>
      <c r="H51" s="16"/>
    </row>
    <row r="52" spans="2:8">
      <c r="C52" s="78">
        <v>1</v>
      </c>
      <c r="D52" s="66">
        <v>734420.9739371608</v>
      </c>
      <c r="E52" s="79">
        <v>406216.78183782753</v>
      </c>
      <c r="F52" s="16"/>
      <c r="G52" s="16"/>
      <c r="H52" s="16"/>
    </row>
    <row r="53" spans="2:8">
      <c r="C53" s="78">
        <v>10</v>
      </c>
      <c r="D53" s="66">
        <v>717220.21613579721</v>
      </c>
      <c r="E53" s="79">
        <v>538765.59618828597</v>
      </c>
      <c r="F53" s="16"/>
      <c r="G53" s="16"/>
      <c r="H53" s="16"/>
    </row>
    <row r="54" spans="2:8">
      <c r="C54" s="80">
        <v>20</v>
      </c>
      <c r="D54" s="66">
        <v>840412.68136976089</v>
      </c>
      <c r="E54" s="79">
        <v>861698.64720801834</v>
      </c>
      <c r="F54" s="16"/>
      <c r="G54" s="16"/>
      <c r="H54" s="16"/>
    </row>
    <row r="55" spans="2:8">
      <c r="C55" s="80">
        <v>30</v>
      </c>
      <c r="D55" s="66">
        <v>1058477.3124997125</v>
      </c>
      <c r="E55" s="79">
        <v>1383270.9685952684</v>
      </c>
      <c r="F55" s="16"/>
      <c r="G55" s="16"/>
      <c r="H55" s="16"/>
    </row>
    <row r="56" spans="2:8">
      <c r="C56" s="80">
        <v>31</v>
      </c>
      <c r="D56" s="66">
        <v>568040.00560820347</v>
      </c>
      <c r="E56" s="79">
        <v>1467521.9837847725</v>
      </c>
      <c r="F56" s="16"/>
      <c r="G56" s="16"/>
      <c r="H56" s="16"/>
    </row>
    <row r="57" spans="2:8">
      <c r="C57" s="81">
        <v>40</v>
      </c>
      <c r="D57" s="82">
        <v>856794.9103951552</v>
      </c>
      <c r="E57" s="83">
        <v>2196348.6714992737</v>
      </c>
      <c r="F57" s="16"/>
      <c r="G57" s="16"/>
      <c r="H57" s="16"/>
    </row>
    <row r="58" spans="2:8">
      <c r="C58" s="16"/>
      <c r="D58" s="16"/>
      <c r="E58" s="16"/>
      <c r="F58" s="16"/>
      <c r="G58" s="16"/>
      <c r="H58" s="16"/>
    </row>
    <row r="59" spans="2:8">
      <c r="C59" s="16"/>
      <c r="D59" s="16"/>
      <c r="E59" s="16"/>
      <c r="F59" s="16"/>
      <c r="G59" s="16"/>
      <c r="H59" s="16"/>
    </row>
    <row r="60" spans="2:8">
      <c r="C60" s="16"/>
      <c r="D60" s="16"/>
      <c r="E60" s="16"/>
      <c r="F60" s="16"/>
      <c r="G60" s="16"/>
      <c r="H60" s="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D399-C556-2443-AD17-1BF88825AD44}">
  <sheetPr>
    <tabColor theme="4"/>
  </sheetPr>
  <dimension ref="A1:T70"/>
  <sheetViews>
    <sheetView showGridLines="0" zoomScaleNormal="100" workbookViewId="0">
      <pane xSplit="1" ySplit="4" topLeftCell="I5" activePane="bottomRight" state="frozen"/>
      <selection pane="topRight" activeCell="B1" sqref="B1"/>
      <selection pane="bottomLeft" activeCell="A5" sqref="A5"/>
      <selection pane="bottomRight" sqref="A1:N1"/>
    </sheetView>
  </sheetViews>
  <sheetFormatPr baseColWidth="10" defaultColWidth="8.6640625" defaultRowHeight="15"/>
  <cols>
    <col min="1" max="1" width="32" style="84" customWidth="1"/>
    <col min="2" max="4" width="15" style="84" customWidth="1"/>
    <col min="5" max="5" width="15" style="120" customWidth="1"/>
    <col min="6" max="7" width="15" style="84" customWidth="1"/>
    <col min="8" max="9" width="24.33203125" style="84" bestFit="1" customWidth="1"/>
    <col min="10" max="10" width="14.1640625" style="84" bestFit="1" customWidth="1"/>
    <col min="11" max="20" width="15" style="84" customWidth="1"/>
    <col min="21" max="16384" width="8.6640625" style="84"/>
  </cols>
  <sheetData>
    <row r="1" spans="1:20" ht="18">
      <c r="A1" s="233"/>
      <c r="B1" s="233"/>
      <c r="C1" s="233"/>
      <c r="D1" s="233"/>
      <c r="E1" s="233"/>
      <c r="F1" s="233"/>
      <c r="G1" s="233"/>
      <c r="H1" s="233"/>
      <c r="I1" s="233"/>
      <c r="J1" s="233"/>
      <c r="K1" s="233"/>
      <c r="L1" s="233"/>
      <c r="M1" s="233"/>
      <c r="N1" s="233"/>
    </row>
    <row r="2" spans="1:20">
      <c r="A2" s="113"/>
      <c r="B2" s="113"/>
      <c r="C2" s="113"/>
      <c r="D2" s="113"/>
      <c r="E2" s="114"/>
      <c r="F2" s="113"/>
      <c r="G2" s="113"/>
      <c r="H2" s="113"/>
      <c r="I2" s="113"/>
      <c r="J2" s="113"/>
      <c r="K2" s="113"/>
      <c r="L2" s="113"/>
      <c r="M2" s="113"/>
      <c r="N2" s="113"/>
    </row>
    <row r="4" spans="1:20" ht="36" customHeight="1">
      <c r="A4" s="109" t="s">
        <v>213</v>
      </c>
      <c r="B4" s="100" t="s">
        <v>197</v>
      </c>
      <c r="C4" s="100" t="s">
        <v>198</v>
      </c>
      <c r="D4" s="100" t="s">
        <v>241</v>
      </c>
      <c r="E4" s="115" t="s">
        <v>70</v>
      </c>
      <c r="F4" s="100" t="s">
        <v>233</v>
      </c>
      <c r="G4" s="100" t="s">
        <v>200</v>
      </c>
      <c r="H4" s="100" t="s">
        <v>72</v>
      </c>
      <c r="I4" s="100" t="s">
        <v>201</v>
      </c>
      <c r="J4" s="99" t="s">
        <v>202</v>
      </c>
      <c r="K4" s="99" t="s">
        <v>203</v>
      </c>
      <c r="L4" s="99" t="s">
        <v>204</v>
      </c>
      <c r="M4" s="99" t="s">
        <v>205</v>
      </c>
      <c r="N4" s="99" t="s">
        <v>206</v>
      </c>
      <c r="O4" s="99" t="s">
        <v>207</v>
      </c>
      <c r="P4" s="99" t="s">
        <v>208</v>
      </c>
      <c r="Q4" s="99" t="s">
        <v>209</v>
      </c>
      <c r="R4" s="99" t="s">
        <v>210</v>
      </c>
      <c r="S4" s="99" t="s">
        <v>211</v>
      </c>
      <c r="T4" s="99" t="s">
        <v>212</v>
      </c>
    </row>
    <row r="5" spans="1:20">
      <c r="A5" s="108" t="s">
        <v>249</v>
      </c>
      <c r="B5" s="93"/>
      <c r="C5" s="93"/>
      <c r="D5" s="93"/>
      <c r="E5" s="116"/>
      <c r="F5" s="93"/>
      <c r="G5" s="93"/>
      <c r="H5" s="93"/>
      <c r="I5" s="93"/>
      <c r="J5" s="85"/>
      <c r="K5" s="85"/>
      <c r="L5" s="85"/>
      <c r="M5" s="85"/>
      <c r="N5" s="85"/>
      <c r="O5" s="85"/>
      <c r="P5" s="85"/>
      <c r="Q5" s="88"/>
      <c r="R5" s="88"/>
      <c r="S5" s="88"/>
      <c r="T5" s="88"/>
    </row>
    <row r="6" spans="1:20">
      <c r="A6" s="88" t="s">
        <v>214</v>
      </c>
      <c r="B6" s="103">
        <v>79496191.934496254</v>
      </c>
      <c r="C6" s="103">
        <v>74271374.293669149</v>
      </c>
      <c r="D6" s="103">
        <v>5224817.6408271044</v>
      </c>
      <c r="E6" s="85" t="s">
        <v>89</v>
      </c>
      <c r="F6" s="85" t="s">
        <v>117</v>
      </c>
      <c r="G6" s="104">
        <v>22</v>
      </c>
      <c r="H6" s="103">
        <v>39834.137922259193</v>
      </c>
      <c r="I6" s="103">
        <v>88520.306493909316</v>
      </c>
      <c r="J6" s="103">
        <v>17686184.352286097</v>
      </c>
      <c r="K6" s="105">
        <v>0.2224783844597143</v>
      </c>
      <c r="L6" s="103">
        <v>32123993.993908886</v>
      </c>
      <c r="M6" s="103">
        <v>38221292.786920935</v>
      </c>
      <c r="N6" s="103">
        <v>61810007.582210153</v>
      </c>
      <c r="O6" s="103">
        <v>6358612.6520133084</v>
      </c>
      <c r="P6" s="106">
        <v>273247.4127065856</v>
      </c>
      <c r="Q6" s="106">
        <v>13673276.378755197</v>
      </c>
      <c r="R6" s="106">
        <v>2459226.7143592699</v>
      </c>
      <c r="S6" s="106">
        <v>38404799.632150903</v>
      </c>
      <c r="T6" s="106">
        <v>92400</v>
      </c>
    </row>
    <row r="7" spans="1:20">
      <c r="A7" s="88"/>
      <c r="B7" s="103"/>
      <c r="C7" s="103"/>
      <c r="D7" s="103"/>
      <c r="E7" s="117"/>
      <c r="F7" s="85"/>
      <c r="G7" s="104"/>
      <c r="H7" s="103"/>
      <c r="I7" s="103"/>
      <c r="J7" s="103"/>
      <c r="K7" s="105"/>
      <c r="L7" s="103"/>
      <c r="M7" s="103"/>
      <c r="N7" s="103"/>
      <c r="O7" s="103"/>
      <c r="P7" s="106"/>
      <c r="Q7" s="95"/>
      <c r="R7" s="95"/>
      <c r="S7" s="95"/>
      <c r="T7" s="95"/>
    </row>
    <row r="8" spans="1:20">
      <c r="A8" s="108" t="s">
        <v>256</v>
      </c>
      <c r="B8" s="103"/>
      <c r="C8" s="103"/>
      <c r="D8" s="103"/>
      <c r="E8" s="117"/>
      <c r="F8" s="85"/>
      <c r="G8" s="104"/>
      <c r="H8" s="103"/>
      <c r="I8" s="103"/>
      <c r="J8" s="103"/>
      <c r="K8" s="105"/>
      <c r="L8" s="103"/>
      <c r="M8" s="103"/>
      <c r="N8" s="103"/>
      <c r="O8" s="103"/>
      <c r="P8" s="106"/>
      <c r="Q8" s="95"/>
      <c r="R8" s="95"/>
      <c r="S8" s="95"/>
      <c r="T8" s="95"/>
    </row>
    <row r="9" spans="1:20">
      <c r="A9" s="88">
        <v>10</v>
      </c>
      <c r="B9" s="103">
        <v>7935373.3679952743</v>
      </c>
      <c r="C9" s="103">
        <v>6423545.9387574345</v>
      </c>
      <c r="D9" s="103">
        <v>1511827.4292378398</v>
      </c>
      <c r="E9" s="85" t="s">
        <v>89</v>
      </c>
      <c r="F9" s="85" t="s">
        <v>117</v>
      </c>
      <c r="G9" s="104">
        <v>0</v>
      </c>
      <c r="H9" s="103">
        <v>39834.137922259193</v>
      </c>
      <c r="I9" s="103">
        <v>88520.306493909316</v>
      </c>
      <c r="J9" s="103">
        <v>0</v>
      </c>
      <c r="K9" s="105">
        <v>0</v>
      </c>
      <c r="L9" s="103">
        <v>17046926.304855611</v>
      </c>
      <c r="M9" s="103">
        <v>3985388.3393193632</v>
      </c>
      <c r="N9" s="103">
        <v>14301441.855770558</v>
      </c>
      <c r="O9" s="103">
        <v>6358612.6520133084</v>
      </c>
      <c r="P9" s="106">
        <v>45418.087610190712</v>
      </c>
      <c r="Q9" s="106">
        <v>1423686.4429531412</v>
      </c>
      <c r="R9" s="106">
        <v>408762.78849171643</v>
      </c>
      <c r="S9" s="106">
        <v>3998777.6935144989</v>
      </c>
      <c r="T9" s="106">
        <v>23100</v>
      </c>
    </row>
    <row r="10" spans="1:20">
      <c r="A10" s="88">
        <v>15</v>
      </c>
      <c r="B10" s="103">
        <v>13000514.09194329</v>
      </c>
      <c r="C10" s="103">
        <v>10532145.321848623</v>
      </c>
      <c r="D10" s="103">
        <v>2468368.7700946666</v>
      </c>
      <c r="E10" s="85" t="s">
        <v>89</v>
      </c>
      <c r="F10" s="85" t="s">
        <v>117</v>
      </c>
      <c r="G10" s="104">
        <v>0</v>
      </c>
      <c r="H10" s="103">
        <v>39834.137922259193</v>
      </c>
      <c r="I10" s="103">
        <v>88520.306493909316</v>
      </c>
      <c r="J10" s="103">
        <v>0</v>
      </c>
      <c r="K10" s="105">
        <v>0</v>
      </c>
      <c r="L10" s="103">
        <v>18389942.566444825</v>
      </c>
      <c r="M10" s="103">
        <v>6834720.9431277281</v>
      </c>
      <c r="N10" s="103">
        <v>18252666.557685848</v>
      </c>
      <c r="O10" s="103">
        <v>6358612.6520133084</v>
      </c>
      <c r="P10" s="106">
        <v>72695.355111150682</v>
      </c>
      <c r="Q10" s="106">
        <v>2442468.6689073509</v>
      </c>
      <c r="R10" s="106">
        <v>654258.19600035634</v>
      </c>
      <c r="S10" s="106">
        <v>6860281.1234722417</v>
      </c>
      <c r="T10" s="106">
        <v>34650</v>
      </c>
    </row>
    <row r="11" spans="1:20">
      <c r="A11" s="84">
        <v>20</v>
      </c>
      <c r="B11" s="103">
        <v>19434608.503423322</v>
      </c>
      <c r="C11" s="103">
        <v>15997352.846399959</v>
      </c>
      <c r="D11" s="103">
        <v>3437255.6570233628</v>
      </c>
      <c r="E11" s="85" t="s">
        <v>89</v>
      </c>
      <c r="F11" s="85" t="s">
        <v>117</v>
      </c>
      <c r="G11" s="104">
        <v>0</v>
      </c>
      <c r="H11" s="103">
        <v>39834.137922259193</v>
      </c>
      <c r="I11" s="103">
        <v>88520.306493909316</v>
      </c>
      <c r="J11" s="103">
        <v>5731.8464801651626</v>
      </c>
      <c r="K11" s="105">
        <v>2.9492986592220382E-4</v>
      </c>
      <c r="L11" s="103">
        <v>20061300.916091405</v>
      </c>
      <c r="M11" s="103">
        <v>10469466.507895304</v>
      </c>
      <c r="N11" s="103">
        <v>23295541.794034921</v>
      </c>
      <c r="O11" s="103">
        <v>6358612.6520133084</v>
      </c>
      <c r="P11" s="106">
        <v>103557.07958695113</v>
      </c>
      <c r="Q11" s="106">
        <v>3742721.6400954276</v>
      </c>
      <c r="R11" s="106">
        <v>932013.71628256026</v>
      </c>
      <c r="S11" s="106">
        <v>10512365.192157833</v>
      </c>
      <c r="T11" s="106">
        <v>46200</v>
      </c>
    </row>
    <row r="12" spans="1:20">
      <c r="A12" s="84">
        <v>30</v>
      </c>
      <c r="B12" s="103">
        <v>39293977.084690727</v>
      </c>
      <c r="C12" s="103">
        <v>34485107.366294026</v>
      </c>
      <c r="D12" s="103">
        <v>4808869.7183967009</v>
      </c>
      <c r="E12" s="85" t="s">
        <v>89</v>
      </c>
      <c r="F12" s="85" t="s">
        <v>117</v>
      </c>
      <c r="G12" s="104">
        <v>22</v>
      </c>
      <c r="H12" s="103">
        <v>39834.137922259193</v>
      </c>
      <c r="I12" s="103">
        <v>88520.306493909316</v>
      </c>
      <c r="J12" s="103">
        <v>1347994.2285175065</v>
      </c>
      <c r="K12" s="105">
        <v>3.4305365059183503E-2</v>
      </c>
      <c r="L12" s="103">
        <v>24754077.391623244</v>
      </c>
      <c r="M12" s="103">
        <v>21022233.962888539</v>
      </c>
      <c r="N12" s="103">
        <v>37945982.856173217</v>
      </c>
      <c r="O12" s="103">
        <v>6358612.6520133084</v>
      </c>
      <c r="P12" s="106">
        <v>177979.90463155706</v>
      </c>
      <c r="Q12" s="106">
        <v>7520185.6120282961</v>
      </c>
      <c r="R12" s="106">
        <v>1601819.1416840141</v>
      </c>
      <c r="S12" s="106">
        <v>21122312.869742785</v>
      </c>
      <c r="T12" s="106">
        <v>69300</v>
      </c>
    </row>
    <row r="13" spans="1:20">
      <c r="A13" s="84">
        <v>50</v>
      </c>
      <c r="B13" s="103">
        <v>163529242.91430151</v>
      </c>
      <c r="C13" s="103">
        <v>160207692.72505125</v>
      </c>
      <c r="D13" s="103">
        <v>3321550.1892502606</v>
      </c>
      <c r="E13" s="85" t="s">
        <v>89</v>
      </c>
      <c r="F13" s="85" t="s">
        <v>117</v>
      </c>
      <c r="G13" s="104">
        <v>22</v>
      </c>
      <c r="H13" s="103">
        <v>39834.137922259193</v>
      </c>
      <c r="I13" s="103">
        <v>88520.306493909316</v>
      </c>
      <c r="J13" s="103">
        <v>62847253.682565361</v>
      </c>
      <c r="K13" s="105">
        <v>0.38431813516987201</v>
      </c>
      <c r="L13" s="103">
        <v>43781981.407701895</v>
      </c>
      <c r="M13" s="103">
        <v>66193571.428659625</v>
      </c>
      <c r="N13" s="103">
        <v>100681989.23173615</v>
      </c>
      <c r="O13" s="103">
        <v>6358612.6520133084</v>
      </c>
      <c r="P13" s="106">
        <v>395197.87735752942</v>
      </c>
      <c r="Q13" s="106">
        <v>23696012.866750628</v>
      </c>
      <c r="R13" s="106">
        <v>3556780.8962177644</v>
      </c>
      <c r="S13" s="106">
        <v>66556149.456790052</v>
      </c>
      <c r="T13" s="106">
        <v>115500</v>
      </c>
    </row>
    <row r="14" spans="1:20">
      <c r="A14" s="84">
        <v>60</v>
      </c>
      <c r="B14" s="103">
        <v>340493437.61249447</v>
      </c>
      <c r="C14" s="103">
        <v>345653456.67161268</v>
      </c>
      <c r="D14" s="103">
        <v>-5160019.0591182113</v>
      </c>
      <c r="E14" s="85" t="s">
        <v>94</v>
      </c>
      <c r="F14" s="85">
        <v>58</v>
      </c>
      <c r="G14" s="104">
        <v>22</v>
      </c>
      <c r="H14" s="103">
        <v>39834.137922259193</v>
      </c>
      <c r="I14" s="103">
        <v>88520.306493909316</v>
      </c>
      <c r="J14" s="103">
        <v>176493086.33965343</v>
      </c>
      <c r="K14" s="105">
        <v>0.51834504528840586</v>
      </c>
      <c r="L14" s="103">
        <v>62331711.482733004</v>
      </c>
      <c r="M14" s="103">
        <v>111738193.46540122</v>
      </c>
      <c r="N14" s="103">
        <v>164000351.27284107</v>
      </c>
      <c r="O14" s="103">
        <v>6358612.6520133084</v>
      </c>
      <c r="P14" s="106">
        <v>551304.78231476503</v>
      </c>
      <c r="Q14" s="106">
        <v>40021994.477652766</v>
      </c>
      <c r="R14" s="106">
        <v>4961743.0408328809</v>
      </c>
      <c r="S14" s="106">
        <v>112411731.92267726</v>
      </c>
      <c r="T14" s="106">
        <v>138600</v>
      </c>
    </row>
    <row r="15" spans="1:20">
      <c r="B15" s="107"/>
      <c r="C15" s="107"/>
      <c r="D15" s="107"/>
      <c r="E15" s="118"/>
      <c r="F15" s="107"/>
      <c r="G15" s="107"/>
      <c r="H15" s="107"/>
      <c r="I15" s="107"/>
      <c r="J15" s="107"/>
      <c r="K15" s="107"/>
      <c r="L15" s="107"/>
      <c r="M15" s="107"/>
      <c r="N15" s="107"/>
      <c r="O15" s="107"/>
      <c r="P15" s="107"/>
    </row>
    <row r="16" spans="1:20">
      <c r="A16" s="108" t="s">
        <v>250</v>
      </c>
      <c r="B16" s="107"/>
      <c r="C16" s="107"/>
      <c r="D16" s="107"/>
      <c r="E16" s="118"/>
      <c r="F16" s="107"/>
      <c r="G16" s="107"/>
      <c r="H16" s="107"/>
      <c r="I16" s="107"/>
      <c r="J16" s="107"/>
      <c r="K16" s="107"/>
      <c r="L16" s="107"/>
      <c r="M16" s="107"/>
      <c r="N16" s="107"/>
      <c r="O16" s="107"/>
      <c r="P16" s="107"/>
    </row>
    <row r="17" spans="1:20">
      <c r="A17" s="88" t="s">
        <v>215</v>
      </c>
      <c r="B17" s="103">
        <v>83299910.88415958</v>
      </c>
      <c r="C17" s="103">
        <v>51025078.03295926</v>
      </c>
      <c r="D17" s="103">
        <v>32274832.85120032</v>
      </c>
      <c r="E17" s="85" t="s">
        <v>89</v>
      </c>
      <c r="F17" s="85" t="s">
        <v>117</v>
      </c>
      <c r="G17" s="104">
        <v>18</v>
      </c>
      <c r="H17" s="103">
        <v>31420.387853452878</v>
      </c>
      <c r="I17" s="103">
        <v>69823.084118784172</v>
      </c>
      <c r="J17" s="103">
        <v>21489903.301949438</v>
      </c>
      <c r="K17" s="105">
        <v>0.25798230843048819</v>
      </c>
      <c r="L17" s="103">
        <v>28973403.507522069</v>
      </c>
      <c r="M17" s="103">
        <v>38221292.786920935</v>
      </c>
      <c r="N17" s="103">
        <v>61810007.582210153</v>
      </c>
      <c r="O17" s="103">
        <v>3329662.6272430411</v>
      </c>
      <c r="P17" s="106">
        <v>273247.4127065856</v>
      </c>
      <c r="Q17" s="106">
        <v>13673276.378755197</v>
      </c>
      <c r="R17" s="106">
        <v>2459226.7143592699</v>
      </c>
      <c r="S17" s="106">
        <v>38404799.632150903</v>
      </c>
      <c r="T17" s="106">
        <v>92400</v>
      </c>
    </row>
    <row r="18" spans="1:20">
      <c r="A18" s="88">
        <v>3</v>
      </c>
      <c r="B18" s="103">
        <v>82163229.787165761</v>
      </c>
      <c r="C18" s="103">
        <v>56368119.955767356</v>
      </c>
      <c r="D18" s="103">
        <v>25795109.831398405</v>
      </c>
      <c r="E18" s="85" t="s">
        <v>89</v>
      </c>
      <c r="F18" s="85" t="s">
        <v>117</v>
      </c>
      <c r="G18" s="104">
        <v>18</v>
      </c>
      <c r="H18" s="103">
        <v>33477.084123454617</v>
      </c>
      <c r="I18" s="103">
        <v>74393.520274343595</v>
      </c>
      <c r="J18" s="103">
        <v>20353222.204955596</v>
      </c>
      <c r="K18" s="105">
        <v>0.24771691981532662</v>
      </c>
      <c r="L18" s="103">
        <v>29725493.076261181</v>
      </c>
      <c r="M18" s="103">
        <v>38221292.786920935</v>
      </c>
      <c r="N18" s="103">
        <v>61810007.582210153</v>
      </c>
      <c r="O18" s="103">
        <v>4070073.2844436532</v>
      </c>
      <c r="P18" s="106">
        <v>273247.4127065856</v>
      </c>
      <c r="Q18" s="106">
        <v>13673276.378755197</v>
      </c>
      <c r="R18" s="106">
        <v>2459226.7143592699</v>
      </c>
      <c r="S18" s="106">
        <v>38404799.632150903</v>
      </c>
      <c r="T18" s="106">
        <v>92400</v>
      </c>
    </row>
    <row r="19" spans="1:20">
      <c r="A19" s="88">
        <v>3.5</v>
      </c>
      <c r="B19" s="103">
        <v>81135259.336695448</v>
      </c>
      <c r="C19" s="103">
        <v>62149880.270283572</v>
      </c>
      <c r="D19" s="103">
        <v>18985379.066411875</v>
      </c>
      <c r="E19" s="85" t="s">
        <v>89</v>
      </c>
      <c r="F19" s="85" t="s">
        <v>117</v>
      </c>
      <c r="G19" s="104">
        <v>20</v>
      </c>
      <c r="H19" s="103">
        <v>35597.044829308245</v>
      </c>
      <c r="I19" s="103">
        <v>79104.544065129434</v>
      </c>
      <c r="J19" s="103">
        <v>19325251.754485283</v>
      </c>
      <c r="K19" s="105">
        <v>0.23818561637042743</v>
      </c>
      <c r="L19" s="103">
        <v>30516917.179288264</v>
      </c>
      <c r="M19" s="103">
        <v>38221292.786920935</v>
      </c>
      <c r="N19" s="103">
        <v>61810007.582210153</v>
      </c>
      <c r="O19" s="103">
        <v>4833259.1385509679</v>
      </c>
      <c r="P19" s="106">
        <v>273247.4127065856</v>
      </c>
      <c r="Q19" s="106">
        <v>13673276.378755197</v>
      </c>
      <c r="R19" s="106">
        <v>2459226.7143592699</v>
      </c>
      <c r="S19" s="106">
        <v>38404799.632150903</v>
      </c>
      <c r="T19" s="106">
        <v>92400</v>
      </c>
    </row>
    <row r="20" spans="1:20">
      <c r="A20" s="85">
        <v>5.5</v>
      </c>
      <c r="B20" s="103">
        <v>78150238.611378014</v>
      </c>
      <c r="C20" s="103">
        <v>88659729.88631025</v>
      </c>
      <c r="D20" s="103">
        <v>-10509491.274932235</v>
      </c>
      <c r="E20" s="85" t="s">
        <v>94</v>
      </c>
      <c r="F20" s="85">
        <v>25</v>
      </c>
      <c r="G20" s="104">
        <v>25</v>
      </c>
      <c r="H20" s="103">
        <v>44650.515030990166</v>
      </c>
      <c r="I20" s="103">
        <v>99223.366735533695</v>
      </c>
      <c r="J20" s="103">
        <v>16340231.029167891</v>
      </c>
      <c r="K20" s="105">
        <v>0.20908741060182626</v>
      </c>
      <c r="L20" s="103">
        <v>33970788.809936844</v>
      </c>
      <c r="M20" s="103">
        <v>38221292.786920935</v>
      </c>
      <c r="N20" s="103">
        <v>61810007.582210153</v>
      </c>
      <c r="O20" s="103">
        <v>8092508.4111564783</v>
      </c>
      <c r="P20" s="106">
        <v>273247.4127065856</v>
      </c>
      <c r="Q20" s="106">
        <v>13673276.378755197</v>
      </c>
      <c r="R20" s="106">
        <v>2459226.7143592699</v>
      </c>
      <c r="S20" s="106">
        <v>38404799.632150903</v>
      </c>
      <c r="T20" s="106">
        <v>92400</v>
      </c>
    </row>
    <row r="21" spans="1:20">
      <c r="A21" s="85" t="s">
        <v>237</v>
      </c>
      <c r="B21" s="103">
        <v>79764229.426100284</v>
      </c>
      <c r="C21" s="103">
        <v>72116735.309818983</v>
      </c>
      <c r="D21" s="103">
        <v>7647494.1162813008</v>
      </c>
      <c r="E21" s="85" t="s">
        <v>89</v>
      </c>
      <c r="F21" s="85" t="s">
        <v>117</v>
      </c>
      <c r="G21" s="104">
        <v>22</v>
      </c>
      <c r="H21" s="103">
        <v>39834.137922259193</v>
      </c>
      <c r="I21" s="103">
        <v>88520.306493909316</v>
      </c>
      <c r="J21" s="103">
        <v>17954221.843890134</v>
      </c>
      <c r="K21" s="105">
        <v>0.22509114640823186</v>
      </c>
      <c r="L21" s="103">
        <v>31837188.200868625</v>
      </c>
      <c r="M21" s="103">
        <v>38221292.786920935</v>
      </c>
      <c r="N21" s="103">
        <v>61810007.582210153</v>
      </c>
      <c r="O21" s="103">
        <v>6358612.6520133084</v>
      </c>
      <c r="P21" s="106">
        <v>273247.4127065856</v>
      </c>
      <c r="Q21" s="106">
        <v>13673276.378755197</v>
      </c>
      <c r="R21" s="106">
        <v>2459226.7143592699</v>
      </c>
      <c r="S21" s="106">
        <v>38404799.632150903</v>
      </c>
      <c r="T21" s="106">
        <v>92400</v>
      </c>
    </row>
    <row r="22" spans="1:20">
      <c r="A22" s="85" t="s">
        <v>238</v>
      </c>
      <c r="B22" s="103">
        <v>79244471.340881944</v>
      </c>
      <c r="C22" s="103">
        <v>76442330.175509006</v>
      </c>
      <c r="D22" s="103">
        <v>2802141.1653729379</v>
      </c>
      <c r="E22" s="85" t="s">
        <v>89</v>
      </c>
      <c r="F22" s="85" t="s">
        <v>117</v>
      </c>
      <c r="G22" s="104">
        <v>22</v>
      </c>
      <c r="H22" s="103">
        <v>39834.137922259193</v>
      </c>
      <c r="I22" s="103">
        <v>88520.306493909316</v>
      </c>
      <c r="J22" s="103">
        <v>17434463.758671787</v>
      </c>
      <c r="K22" s="105">
        <v>0.22000858184383404</v>
      </c>
      <c r="L22" s="103">
        <v>32410799.786949154</v>
      </c>
      <c r="M22" s="103">
        <v>38221292.786920935</v>
      </c>
      <c r="N22" s="103">
        <v>61810007.582210153</v>
      </c>
      <c r="O22" s="103">
        <v>6358612.6520133084</v>
      </c>
      <c r="P22" s="106">
        <v>273247.4127065856</v>
      </c>
      <c r="Q22" s="106">
        <v>13673276.378755197</v>
      </c>
      <c r="R22" s="106">
        <v>2459226.7143592699</v>
      </c>
      <c r="S22" s="106">
        <v>38404799.632150903</v>
      </c>
      <c r="T22" s="106">
        <v>92400</v>
      </c>
    </row>
    <row r="23" spans="1:20">
      <c r="B23" s="107"/>
      <c r="C23" s="107"/>
      <c r="D23" s="107"/>
      <c r="E23" s="118"/>
      <c r="F23" s="107"/>
      <c r="G23" s="107"/>
      <c r="H23" s="107"/>
      <c r="I23" s="107"/>
      <c r="J23" s="107"/>
      <c r="K23" s="107"/>
      <c r="L23" s="107"/>
      <c r="M23" s="107"/>
      <c r="N23" s="107"/>
      <c r="O23" s="107"/>
      <c r="P23" s="107"/>
    </row>
    <row r="24" spans="1:20">
      <c r="A24" s="108" t="s">
        <v>251</v>
      </c>
      <c r="B24" s="107"/>
      <c r="C24" s="107"/>
      <c r="D24" s="107"/>
      <c r="E24" s="118"/>
      <c r="F24" s="107"/>
      <c r="G24" s="107"/>
      <c r="H24" s="107"/>
      <c r="I24" s="107"/>
      <c r="J24" s="107"/>
      <c r="K24" s="107"/>
      <c r="L24" s="107"/>
      <c r="M24" s="107"/>
      <c r="N24" s="107"/>
      <c r="O24" s="107"/>
      <c r="P24" s="107"/>
    </row>
    <row r="25" spans="1:20">
      <c r="A25" s="88" t="s">
        <v>216</v>
      </c>
      <c r="B25" s="103">
        <v>64406365.772643656</v>
      </c>
      <c r="C25" s="103">
        <v>99641715.343739837</v>
      </c>
      <c r="D25" s="103">
        <v>-35235349.571096182</v>
      </c>
      <c r="E25" s="85" t="s">
        <v>94</v>
      </c>
      <c r="F25" s="85">
        <v>22</v>
      </c>
      <c r="G25" s="104">
        <v>31</v>
      </c>
      <c r="H25" s="103">
        <v>39834.137922259193</v>
      </c>
      <c r="I25" s="103">
        <v>88520.306493909316</v>
      </c>
      <c r="J25" s="103">
        <v>2596358.1904335045</v>
      </c>
      <c r="K25" s="105">
        <v>4.0312136219558238E-2</v>
      </c>
      <c r="L25" s="103">
        <v>32123993.993908886</v>
      </c>
      <c r="M25" s="103">
        <v>23770969.662111767</v>
      </c>
      <c r="N25" s="103">
        <v>61810007.582210153</v>
      </c>
      <c r="O25" s="103">
        <v>6358612.6520133084</v>
      </c>
      <c r="P25" s="106">
        <v>273247.4127065856</v>
      </c>
      <c r="Q25" s="106">
        <v>13673276.378755197</v>
      </c>
      <c r="R25" s="106">
        <v>2459226.7143592699</v>
      </c>
      <c r="S25" s="106">
        <v>23759805.054498665</v>
      </c>
      <c r="T25" s="106">
        <v>92400</v>
      </c>
    </row>
    <row r="26" spans="1:20">
      <c r="A26" s="88" t="s">
        <v>217</v>
      </c>
      <c r="B26" s="103">
        <v>69513075.27457194</v>
      </c>
      <c r="C26" s="103">
        <v>86644486.408552736</v>
      </c>
      <c r="D26" s="103">
        <v>-17131411.133980796</v>
      </c>
      <c r="E26" s="85" t="s">
        <v>94</v>
      </c>
      <c r="F26" s="85">
        <v>28</v>
      </c>
      <c r="G26" s="104">
        <v>31</v>
      </c>
      <c r="H26" s="103">
        <v>39834.137922259193</v>
      </c>
      <c r="I26" s="103">
        <v>88520.306493909316</v>
      </c>
      <c r="J26" s="103">
        <v>7703067.6923617814</v>
      </c>
      <c r="K26" s="105">
        <v>0.11081465842124212</v>
      </c>
      <c r="L26" s="103">
        <v>32123993.993908886</v>
      </c>
      <c r="M26" s="103">
        <v>30009182.532683916</v>
      </c>
      <c r="N26" s="103">
        <v>61810007.582210153</v>
      </c>
      <c r="O26" s="103">
        <v>6358612.6520133084</v>
      </c>
      <c r="P26" s="106">
        <v>273247.4127065856</v>
      </c>
      <c r="Q26" s="106">
        <v>13673276.378755197</v>
      </c>
      <c r="R26" s="106">
        <v>2459226.7143592699</v>
      </c>
      <c r="S26" s="106">
        <v>30077356.759419691</v>
      </c>
      <c r="T26" s="106">
        <v>92400</v>
      </c>
    </row>
    <row r="27" spans="1:20">
      <c r="A27" s="88" t="s">
        <v>218</v>
      </c>
      <c r="B27" s="103">
        <v>99302257.868765607</v>
      </c>
      <c r="C27" s="103">
        <v>66274107.09242098</v>
      </c>
      <c r="D27" s="103">
        <v>33028150.776344627</v>
      </c>
      <c r="E27" s="85" t="s">
        <v>89</v>
      </c>
      <c r="F27" s="85" t="s">
        <v>117</v>
      </c>
      <c r="G27" s="104">
        <v>17</v>
      </c>
      <c r="H27" s="103">
        <v>39834.137922259193</v>
      </c>
      <c r="I27" s="103">
        <v>88520.306493909316</v>
      </c>
      <c r="J27" s="103">
        <v>37492250.286555454</v>
      </c>
      <c r="K27" s="105">
        <v>0.37755687626059725</v>
      </c>
      <c r="L27" s="103">
        <v>32123993.993908886</v>
      </c>
      <c r="M27" s="103">
        <v>49067825.572929561</v>
      </c>
      <c r="N27" s="103">
        <v>61810007.582210153</v>
      </c>
      <c r="O27" s="103">
        <v>6358612.6520133084</v>
      </c>
      <c r="P27" s="106">
        <v>273247.4127065856</v>
      </c>
      <c r="Q27" s="106">
        <v>13673276.378755197</v>
      </c>
      <c r="R27" s="106">
        <v>2459226.7143592699</v>
      </c>
      <c r="S27" s="106">
        <v>49418392.255427718</v>
      </c>
      <c r="T27" s="106">
        <v>92400</v>
      </c>
    </row>
    <row r="28" spans="1:20">
      <c r="A28" s="88" t="s">
        <v>219</v>
      </c>
      <c r="B28" s="103">
        <v>128395495.47677056</v>
      </c>
      <c r="C28" s="103">
        <v>60559779.594765857</v>
      </c>
      <c r="D28" s="103">
        <v>67835715.882004708</v>
      </c>
      <c r="E28" s="85" t="s">
        <v>89</v>
      </c>
      <c r="F28" s="85" t="s">
        <v>117</v>
      </c>
      <c r="G28" s="104">
        <v>14</v>
      </c>
      <c r="H28" s="103">
        <v>39834.137922259193</v>
      </c>
      <c r="I28" s="103">
        <v>88520.306493909316</v>
      </c>
      <c r="J28" s="103">
        <v>66585487.894560404</v>
      </c>
      <c r="K28" s="105">
        <v>0.51859675954603179</v>
      </c>
      <c r="L28" s="103">
        <v>32123993.993908886</v>
      </c>
      <c r="M28" s="103">
        <v>63433586.002942771</v>
      </c>
      <c r="N28" s="103">
        <v>61810007.582210153</v>
      </c>
      <c r="O28" s="103">
        <v>6358612.6520133084</v>
      </c>
      <c r="P28" s="106">
        <v>273247.4127065856</v>
      </c>
      <c r="Q28" s="106">
        <v>13673276.378755197</v>
      </c>
      <c r="R28" s="106">
        <v>2459226.7143592699</v>
      </c>
      <c r="S28" s="106">
        <v>64025295.693852492</v>
      </c>
      <c r="T28" s="106">
        <v>92400</v>
      </c>
    </row>
    <row r="29" spans="1:20">
      <c r="B29" s="107"/>
      <c r="C29" s="107"/>
      <c r="D29" s="107"/>
      <c r="E29" s="118"/>
      <c r="F29" s="107"/>
      <c r="G29" s="107"/>
      <c r="H29" s="107"/>
      <c r="I29" s="107"/>
      <c r="J29" s="107"/>
      <c r="K29" s="107"/>
      <c r="L29" s="107"/>
      <c r="M29" s="107"/>
      <c r="N29" s="107"/>
      <c r="O29" s="107"/>
      <c r="P29" s="107"/>
    </row>
    <row r="30" spans="1:20">
      <c r="A30" s="108" t="s">
        <v>252</v>
      </c>
      <c r="B30" s="107"/>
      <c r="C30" s="107"/>
      <c r="D30" s="107"/>
      <c r="E30" s="118"/>
      <c r="F30" s="107"/>
      <c r="G30" s="107"/>
      <c r="H30" s="107"/>
      <c r="I30" s="107"/>
      <c r="J30" s="107"/>
      <c r="K30" s="107"/>
      <c r="L30" s="107"/>
      <c r="M30" s="107"/>
      <c r="N30" s="107"/>
      <c r="O30" s="107"/>
      <c r="P30" s="107"/>
    </row>
    <row r="31" spans="1:20">
      <c r="A31" s="85">
        <v>3</v>
      </c>
      <c r="B31" s="103">
        <v>55390785.135229081</v>
      </c>
      <c r="C31" s="103">
        <v>68792709.102291644</v>
      </c>
      <c r="D31" s="103">
        <v>-13401923.967062563</v>
      </c>
      <c r="E31" s="85" t="s">
        <v>94</v>
      </c>
      <c r="F31" s="85"/>
      <c r="G31" s="104">
        <v>19</v>
      </c>
      <c r="H31" s="103">
        <v>39834.137922259193</v>
      </c>
      <c r="I31" s="103">
        <v>88520.306493909316</v>
      </c>
      <c r="J31" s="103">
        <v>26750599.915946007</v>
      </c>
      <c r="K31" s="105">
        <v>0.48294314389366477</v>
      </c>
      <c r="L31" s="103">
        <v>26561335.936430678</v>
      </c>
      <c r="M31" s="103">
        <v>38221292.786920935</v>
      </c>
      <c r="N31" s="103">
        <v>28640185.219283078</v>
      </c>
      <c r="O31" s="103">
        <v>6358612.6520133084</v>
      </c>
      <c r="P31" s="106">
        <v>273247.4127065856</v>
      </c>
      <c r="Q31" s="106">
        <v>8445667.0320136305</v>
      </c>
      <c r="R31" s="106">
        <v>2459226.7143592699</v>
      </c>
      <c r="S31" s="106">
        <v>38404799.632150903</v>
      </c>
      <c r="T31" s="106">
        <v>92400</v>
      </c>
    </row>
    <row r="32" spans="1:20">
      <c r="A32" s="85">
        <v>4</v>
      </c>
      <c r="B32" s="103">
        <v>64814650.172106043</v>
      </c>
      <c r="C32" s="103">
        <v>71207695.386376262</v>
      </c>
      <c r="D32" s="103">
        <v>-6393045.2142702192</v>
      </c>
      <c r="E32" s="85" t="s">
        <v>94</v>
      </c>
      <c r="F32" s="85">
        <v>24</v>
      </c>
      <c r="G32" s="104">
        <v>20</v>
      </c>
      <c r="H32" s="103">
        <v>39834.137922259193</v>
      </c>
      <c r="I32" s="103">
        <v>88520.306493909316</v>
      </c>
      <c r="J32" s="103">
        <v>22662434.657324892</v>
      </c>
      <c r="K32" s="105">
        <v>0.34964988003712177</v>
      </c>
      <c r="L32" s="103">
        <v>28952071.478768945</v>
      </c>
      <c r="M32" s="103">
        <v>38221292.786920935</v>
      </c>
      <c r="N32" s="103">
        <v>42152215.514781155</v>
      </c>
      <c r="O32" s="103">
        <v>6358612.6520133084</v>
      </c>
      <c r="P32" s="106">
        <v>273247.4127065856</v>
      </c>
      <c r="Q32" s="106">
        <v>10699917.419851918</v>
      </c>
      <c r="R32" s="106">
        <v>2459226.7143592699</v>
      </c>
      <c r="S32" s="106">
        <v>38404799.632150903</v>
      </c>
      <c r="T32" s="106">
        <v>92400</v>
      </c>
    </row>
    <row r="33" spans="1:20">
      <c r="A33" s="85">
        <v>6</v>
      </c>
      <c r="B33" s="103">
        <v>102230101.74853733</v>
      </c>
      <c r="C33" s="103">
        <v>78519815.034605309</v>
      </c>
      <c r="D33" s="103">
        <v>23710286.713932022</v>
      </c>
      <c r="E33" s="85" t="s">
        <v>89</v>
      </c>
      <c r="F33" s="85" t="s">
        <v>117</v>
      </c>
      <c r="G33" s="104">
        <v>26</v>
      </c>
      <c r="H33" s="103">
        <v>39834.137922259193</v>
      </c>
      <c r="I33" s="103">
        <v>88520.306493909316</v>
      </c>
      <c r="J33" s="103">
        <v>11923095.632565053</v>
      </c>
      <c r="K33" s="105">
        <v>0.11662998890378826</v>
      </c>
      <c r="L33" s="103">
        <v>36346919.573891401</v>
      </c>
      <c r="M33" s="103">
        <v>38221292.786920935</v>
      </c>
      <c r="N33" s="103">
        <v>90307006.115972281</v>
      </c>
      <c r="O33" s="103">
        <v>6358612.6520133084</v>
      </c>
      <c r="P33" s="106">
        <v>273247.4127065856</v>
      </c>
      <c r="Q33" s="106">
        <v>17608353.488699723</v>
      </c>
      <c r="R33" s="106">
        <v>2459226.7143592699</v>
      </c>
      <c r="S33" s="106">
        <v>38404799.632150903</v>
      </c>
      <c r="T33" s="106">
        <v>92400</v>
      </c>
    </row>
    <row r="34" spans="1:20">
      <c r="A34" s="85">
        <v>7</v>
      </c>
      <c r="B34" s="103">
        <v>137956001.70792603</v>
      </c>
      <c r="C34" s="103">
        <v>85630109.581094414</v>
      </c>
      <c r="D34" s="103">
        <v>52325892.126831621</v>
      </c>
      <c r="E34" s="85" t="s">
        <v>89</v>
      </c>
      <c r="F34" s="85" t="s">
        <v>117</v>
      </c>
      <c r="G34" s="104">
        <v>31</v>
      </c>
      <c r="H34" s="103">
        <v>39834.137922259193</v>
      </c>
      <c r="I34" s="103">
        <v>88520.306493909316</v>
      </c>
      <c r="J34" s="103">
        <v>6482587.4129918925</v>
      </c>
      <c r="K34" s="105">
        <v>4.6990252926556411E-2</v>
      </c>
      <c r="L34" s="103">
        <v>41985210.742015243</v>
      </c>
      <c r="M34" s="103">
        <v>38221292.786920935</v>
      </c>
      <c r="N34" s="103">
        <v>131473414.29493417</v>
      </c>
      <c r="O34" s="103">
        <v>6358612.6520133084</v>
      </c>
      <c r="P34" s="106">
        <v>273247.4127065856</v>
      </c>
      <c r="Q34" s="106">
        <v>22830822.351985563</v>
      </c>
      <c r="R34" s="106">
        <v>2459226.7143592699</v>
      </c>
      <c r="S34" s="106">
        <v>38404799.632150903</v>
      </c>
      <c r="T34" s="106">
        <v>92400</v>
      </c>
    </row>
    <row r="35" spans="1:20">
      <c r="B35" s="107"/>
      <c r="C35" s="107"/>
      <c r="D35" s="107"/>
      <c r="E35" s="118"/>
      <c r="F35" s="107"/>
      <c r="G35" s="107"/>
      <c r="H35" s="107"/>
      <c r="I35" s="107"/>
      <c r="J35" s="107"/>
      <c r="K35" s="107"/>
      <c r="L35" s="107"/>
      <c r="M35" s="107"/>
      <c r="N35" s="107"/>
      <c r="O35" s="107"/>
      <c r="P35" s="107"/>
    </row>
    <row r="36" spans="1:20">
      <c r="A36" s="108" t="s">
        <v>253</v>
      </c>
      <c r="B36" s="107"/>
      <c r="C36" s="107"/>
      <c r="D36" s="107"/>
      <c r="E36" s="118"/>
      <c r="F36" s="107"/>
      <c r="G36" s="107"/>
      <c r="H36" s="107"/>
      <c r="I36" s="107"/>
      <c r="J36" s="107"/>
      <c r="K36" s="107"/>
      <c r="L36" s="107"/>
      <c r="M36" s="107"/>
      <c r="N36" s="107"/>
      <c r="O36" s="107"/>
      <c r="P36" s="107"/>
    </row>
    <row r="37" spans="1:20">
      <c r="A37" s="85">
        <v>6</v>
      </c>
      <c r="B37" s="103">
        <v>77499772.039106771</v>
      </c>
      <c r="C37" s="103">
        <v>38358918.736058921</v>
      </c>
      <c r="D37" s="103">
        <v>39140853.303047851</v>
      </c>
      <c r="E37" s="85" t="s">
        <v>89</v>
      </c>
      <c r="F37" s="85" t="s">
        <v>117</v>
      </c>
      <c r="G37" s="104">
        <v>22</v>
      </c>
      <c r="H37" s="103">
        <v>39834.137922259193</v>
      </c>
      <c r="I37" s="103">
        <v>88520.306493909316</v>
      </c>
      <c r="J37" s="103">
        <v>15689764.456896622</v>
      </c>
      <c r="K37" s="105">
        <v>0.20244916912761354</v>
      </c>
      <c r="L37" s="103">
        <v>32123993.993908886</v>
      </c>
      <c r="M37" s="103">
        <v>38221292.786920935</v>
      </c>
      <c r="N37" s="103">
        <v>61810007.582210153</v>
      </c>
      <c r="O37" s="103">
        <v>6358612.6520133084</v>
      </c>
      <c r="P37" s="106">
        <v>273247.4127065856</v>
      </c>
      <c r="Q37" s="106">
        <v>13673276.378755197</v>
      </c>
      <c r="R37" s="106">
        <v>2459226.7143592699</v>
      </c>
      <c r="S37" s="106">
        <v>38404799.632150903</v>
      </c>
      <c r="T37" s="106">
        <v>92400</v>
      </c>
    </row>
    <row r="38" spans="1:20">
      <c r="A38" s="85">
        <v>7</v>
      </c>
      <c r="B38" s="103">
        <v>78460814.79575856</v>
      </c>
      <c r="C38" s="103">
        <v>53390564.575505465</v>
      </c>
      <c r="D38" s="103">
        <v>25070250.220253095</v>
      </c>
      <c r="E38" s="85" t="s">
        <v>89</v>
      </c>
      <c r="F38" s="85" t="s">
        <v>117</v>
      </c>
      <c r="G38" s="104">
        <v>22</v>
      </c>
      <c r="H38" s="103">
        <v>39834.137922259193</v>
      </c>
      <c r="I38" s="103">
        <v>88520.306493909316</v>
      </c>
      <c r="J38" s="103">
        <v>16650807.213548414</v>
      </c>
      <c r="K38" s="105">
        <v>0.21221812769714601</v>
      </c>
      <c r="L38" s="103">
        <v>32123993.993908886</v>
      </c>
      <c r="M38" s="103">
        <v>38221292.786920935</v>
      </c>
      <c r="N38" s="103">
        <v>61810007.582210153</v>
      </c>
      <c r="O38" s="103">
        <v>6358612.6520133084</v>
      </c>
      <c r="P38" s="106">
        <v>273247.4127065856</v>
      </c>
      <c r="Q38" s="106">
        <v>13673276.378755197</v>
      </c>
      <c r="R38" s="106">
        <v>2459226.7143592699</v>
      </c>
      <c r="S38" s="106">
        <v>38404799.632150903</v>
      </c>
      <c r="T38" s="106">
        <v>92400</v>
      </c>
    </row>
    <row r="39" spans="1:20">
      <c r="A39" s="85">
        <v>9</v>
      </c>
      <c r="B39" s="103">
        <v>80612438.358866304</v>
      </c>
      <c r="C39" s="103">
        <v>103236279.52337478</v>
      </c>
      <c r="D39" s="103">
        <v>-22623841.164508477</v>
      </c>
      <c r="E39" s="85" t="s">
        <v>94</v>
      </c>
      <c r="F39" s="85">
        <v>25</v>
      </c>
      <c r="G39" s="104">
        <v>22</v>
      </c>
      <c r="H39" s="103">
        <v>39834.137922259193</v>
      </c>
      <c r="I39" s="103">
        <v>88520.306493909316</v>
      </c>
      <c r="J39" s="103">
        <v>18802430.776656147</v>
      </c>
      <c r="K39" s="105">
        <v>0.23324478404874013</v>
      </c>
      <c r="L39" s="103">
        <v>32123993.993908886</v>
      </c>
      <c r="M39" s="103">
        <v>38221292.786920935</v>
      </c>
      <c r="N39" s="103">
        <v>61810007.582210153</v>
      </c>
      <c r="O39" s="103">
        <v>6358612.6520133084</v>
      </c>
      <c r="P39" s="106">
        <v>273247.4127065856</v>
      </c>
      <c r="Q39" s="106">
        <v>13673276.378755197</v>
      </c>
      <c r="R39" s="106">
        <v>2459226.7143592699</v>
      </c>
      <c r="S39" s="106">
        <v>38404799.632150903</v>
      </c>
      <c r="T39" s="106">
        <v>92400</v>
      </c>
    </row>
    <row r="40" spans="1:20">
      <c r="A40" s="85">
        <v>10</v>
      </c>
      <c r="B40" s="103">
        <v>81816712.286298171</v>
      </c>
      <c r="C40" s="103">
        <v>143355383.43702167</v>
      </c>
      <c r="D40" s="103">
        <v>-61538671.150723502</v>
      </c>
      <c r="E40" s="85" t="s">
        <v>94</v>
      </c>
      <c r="F40" s="85">
        <v>17</v>
      </c>
      <c r="G40" s="104">
        <v>22</v>
      </c>
      <c r="H40" s="103">
        <v>39834.137922259193</v>
      </c>
      <c r="I40" s="103">
        <v>88520.306493909316</v>
      </c>
      <c r="J40" s="103">
        <v>20006704.704088025</v>
      </c>
      <c r="K40" s="105">
        <v>0.24453078283174359</v>
      </c>
      <c r="L40" s="103">
        <v>32123993.993908886</v>
      </c>
      <c r="M40" s="103">
        <v>38221292.786920935</v>
      </c>
      <c r="N40" s="103">
        <v>61810007.582210153</v>
      </c>
      <c r="O40" s="103">
        <v>6358612.6520133084</v>
      </c>
      <c r="P40" s="106">
        <v>273247.4127065856</v>
      </c>
      <c r="Q40" s="106">
        <v>13673276.378755197</v>
      </c>
      <c r="R40" s="106">
        <v>2459226.7143592699</v>
      </c>
      <c r="S40" s="106">
        <v>38404799.632150903</v>
      </c>
      <c r="T40" s="106">
        <v>92400</v>
      </c>
    </row>
    <row r="41" spans="1:20">
      <c r="B41" s="107"/>
      <c r="C41" s="107"/>
      <c r="D41" s="107"/>
      <c r="E41" s="118"/>
      <c r="F41" s="107"/>
      <c r="G41" s="107"/>
      <c r="H41" s="107"/>
      <c r="I41" s="107"/>
      <c r="J41" s="107"/>
      <c r="K41" s="107"/>
      <c r="L41" s="107"/>
      <c r="M41" s="107"/>
      <c r="N41" s="107"/>
      <c r="O41" s="107"/>
      <c r="P41" s="107"/>
    </row>
    <row r="42" spans="1:20">
      <c r="A42" s="108" t="s">
        <v>254</v>
      </c>
      <c r="B42" s="107"/>
      <c r="C42" s="107"/>
      <c r="D42" s="107"/>
      <c r="E42" s="118"/>
      <c r="F42" s="107"/>
      <c r="G42" s="107"/>
      <c r="H42" s="107"/>
      <c r="I42" s="107"/>
      <c r="J42" s="107"/>
      <c r="K42" s="107"/>
      <c r="L42" s="107"/>
      <c r="M42" s="107"/>
      <c r="N42" s="107"/>
      <c r="O42" s="107"/>
      <c r="P42" s="107"/>
    </row>
    <row r="43" spans="1:20">
      <c r="A43" s="88" t="s">
        <v>220</v>
      </c>
      <c r="B43" s="103">
        <v>83625579.592825711</v>
      </c>
      <c r="C43" s="103">
        <v>66974923.396601088</v>
      </c>
      <c r="D43" s="103">
        <v>16650656.196224622</v>
      </c>
      <c r="E43" s="85" t="s">
        <v>89</v>
      </c>
      <c r="F43" s="85" t="s">
        <v>117</v>
      </c>
      <c r="G43" s="104">
        <v>20</v>
      </c>
      <c r="H43" s="103">
        <v>39834.137922259193</v>
      </c>
      <c r="I43" s="103">
        <v>88520.306493909316</v>
      </c>
      <c r="J43" s="103">
        <v>21815572.010615557</v>
      </c>
      <c r="K43" s="105">
        <v>0.26087199774083392</v>
      </c>
      <c r="L43" s="103">
        <v>29401765.210996773</v>
      </c>
      <c r="M43" s="103">
        <v>38221292.786920935</v>
      </c>
      <c r="N43" s="103">
        <v>61810007.582210153</v>
      </c>
      <c r="O43" s="103">
        <v>6358612.6520133084</v>
      </c>
      <c r="P43" s="106">
        <v>273247.4127065856</v>
      </c>
      <c r="Q43" s="106">
        <v>10951047.595843088</v>
      </c>
      <c r="R43" s="106">
        <v>2459226.7143592699</v>
      </c>
      <c r="S43" s="106">
        <v>38404799.632150903</v>
      </c>
      <c r="T43" s="106">
        <v>92400</v>
      </c>
    </row>
    <row r="44" spans="1:20">
      <c r="A44" s="88" t="s">
        <v>221</v>
      </c>
      <c r="B44" s="103">
        <v>76021195.33495827</v>
      </c>
      <c r="C44" s="103">
        <v>82196384.504266426</v>
      </c>
      <c r="D44" s="103">
        <v>-6175189.1693081558</v>
      </c>
      <c r="E44" s="85" t="s">
        <v>94</v>
      </c>
      <c r="F44" s="85">
        <v>33</v>
      </c>
      <c r="G44" s="104">
        <v>25</v>
      </c>
      <c r="H44" s="103">
        <v>39834.137922259193</v>
      </c>
      <c r="I44" s="103">
        <v>88520.306493909316</v>
      </c>
      <c r="J44" s="103">
        <v>14211187.752748113</v>
      </c>
      <c r="K44" s="105">
        <v>0.18693717837679294</v>
      </c>
      <c r="L44" s="103">
        <v>34840068.312085226</v>
      </c>
      <c r="M44" s="103">
        <v>38221292.786920935</v>
      </c>
      <c r="N44" s="103">
        <v>61810007.582210153</v>
      </c>
      <c r="O44" s="103">
        <v>6358612.6520133084</v>
      </c>
      <c r="P44" s="106">
        <v>273247.4127065856</v>
      </c>
      <c r="Q44" s="106">
        <v>16389350.696931543</v>
      </c>
      <c r="R44" s="106">
        <v>2459226.7143592699</v>
      </c>
      <c r="S44" s="106">
        <v>38404799.632150903</v>
      </c>
      <c r="T44" s="106">
        <v>92400</v>
      </c>
    </row>
    <row r="45" spans="1:20">
      <c r="A45" s="88" t="s">
        <v>222</v>
      </c>
      <c r="B45" s="103">
        <v>80558736.778840721</v>
      </c>
      <c r="C45" s="103">
        <v>70972275.250930488</v>
      </c>
      <c r="D45" s="103">
        <v>9586461.5279102325</v>
      </c>
      <c r="E45" s="85" t="s">
        <v>89</v>
      </c>
      <c r="F45" s="85" t="s">
        <v>117</v>
      </c>
      <c r="G45" s="104">
        <v>21</v>
      </c>
      <c r="H45" s="103">
        <v>39834.137922259193</v>
      </c>
      <c r="I45" s="103">
        <v>88520.306493909316</v>
      </c>
      <c r="J45" s="103">
        <v>18748729.196630564</v>
      </c>
      <c r="K45" s="105">
        <v>0.23273365430371346</v>
      </c>
      <c r="L45" s="103">
        <v>31304251.755789131</v>
      </c>
      <c r="M45" s="103">
        <v>38221292.786920935</v>
      </c>
      <c r="N45" s="103">
        <v>61810007.582210153</v>
      </c>
      <c r="O45" s="103">
        <v>6358612.6520133084</v>
      </c>
      <c r="P45" s="106">
        <v>273247.4127065856</v>
      </c>
      <c r="Q45" s="106">
        <v>13673276.378755197</v>
      </c>
      <c r="R45" s="106">
        <v>1639484.4762395141</v>
      </c>
      <c r="S45" s="106">
        <v>38404799.632150903</v>
      </c>
      <c r="T45" s="106">
        <v>92400</v>
      </c>
    </row>
    <row r="46" spans="1:20">
      <c r="A46" s="88" t="s">
        <v>223</v>
      </c>
      <c r="B46" s="103">
        <v>78502365.005131647</v>
      </c>
      <c r="C46" s="103">
        <v>77639191.251387253</v>
      </c>
      <c r="D46" s="103">
        <v>863173.75374439359</v>
      </c>
      <c r="E46" s="85" t="s">
        <v>89</v>
      </c>
      <c r="F46" s="85" t="s">
        <v>117</v>
      </c>
      <c r="G46" s="104">
        <v>23</v>
      </c>
      <c r="H46" s="103">
        <v>39834.137922259193</v>
      </c>
      <c r="I46" s="103">
        <v>88520.306493909316</v>
      </c>
      <c r="J46" s="103">
        <v>16692357.42292149</v>
      </c>
      <c r="K46" s="105">
        <v>0.2126350896795316</v>
      </c>
      <c r="L46" s="103">
        <v>32943736.232028645</v>
      </c>
      <c r="M46" s="103">
        <v>38221292.786920935</v>
      </c>
      <c r="N46" s="103">
        <v>61810007.582210153</v>
      </c>
      <c r="O46" s="103">
        <v>6358612.6520133084</v>
      </c>
      <c r="P46" s="106">
        <v>273247.4127065856</v>
      </c>
      <c r="Q46" s="106">
        <v>13673276.378755197</v>
      </c>
      <c r="R46" s="106">
        <v>3278968.9524790281</v>
      </c>
      <c r="S46" s="106">
        <v>38404799.632150903</v>
      </c>
      <c r="T46" s="106">
        <v>92400</v>
      </c>
    </row>
    <row r="47" spans="1:20">
      <c r="A47" s="88" t="s">
        <v>235</v>
      </c>
      <c r="B47" s="103">
        <v>79582019.303300709</v>
      </c>
      <c r="C47" s="103">
        <v>73993731.338549942</v>
      </c>
      <c r="D47" s="103">
        <v>5588287.9647507668</v>
      </c>
      <c r="E47" s="85" t="s">
        <v>89</v>
      </c>
      <c r="F47" s="85" t="s">
        <v>117</v>
      </c>
      <c r="G47" s="104">
        <v>22</v>
      </c>
      <c r="H47" s="103">
        <v>39834.137922259193</v>
      </c>
      <c r="I47" s="103">
        <v>88520.306493909316</v>
      </c>
      <c r="J47" s="103">
        <v>17772011.721090555</v>
      </c>
      <c r="K47" s="105">
        <v>0.22331692355478408</v>
      </c>
      <c r="L47" s="103">
        <v>32055682.14073224</v>
      </c>
      <c r="M47" s="103">
        <v>38221292.786920935</v>
      </c>
      <c r="N47" s="103">
        <v>61810007.582210153</v>
      </c>
      <c r="O47" s="103">
        <v>6358612.6520133084</v>
      </c>
      <c r="P47" s="106">
        <v>204935.55952993926</v>
      </c>
      <c r="Q47" s="106">
        <v>13673276.378755197</v>
      </c>
      <c r="R47" s="106">
        <v>2459226.7143592699</v>
      </c>
      <c r="S47" s="106">
        <v>38404799.632150903</v>
      </c>
      <c r="T47" s="106">
        <v>92400</v>
      </c>
    </row>
    <row r="48" spans="1:20">
      <c r="A48" s="88" t="s">
        <v>236</v>
      </c>
      <c r="B48" s="103">
        <v>79410953.070796102</v>
      </c>
      <c r="C48" s="103">
        <v>74549605.753892541</v>
      </c>
      <c r="D48" s="103">
        <v>4861347.3169035614</v>
      </c>
      <c r="E48" s="85" t="s">
        <v>89</v>
      </c>
      <c r="F48" s="85" t="s">
        <v>117</v>
      </c>
      <c r="G48" s="104">
        <v>22</v>
      </c>
      <c r="H48" s="103">
        <v>39834.137922259193</v>
      </c>
      <c r="I48" s="103">
        <v>88520.306493909316</v>
      </c>
      <c r="J48" s="103">
        <v>17600945.488585949</v>
      </c>
      <c r="K48" s="105">
        <v>0.22164380111260509</v>
      </c>
      <c r="L48" s="103">
        <v>32192305.847085532</v>
      </c>
      <c r="M48" s="103">
        <v>38221292.786920935</v>
      </c>
      <c r="N48" s="103">
        <v>61810007.582210153</v>
      </c>
      <c r="O48" s="103">
        <v>6358612.6520133084</v>
      </c>
      <c r="P48" s="106">
        <v>341559.26588323229</v>
      </c>
      <c r="Q48" s="106">
        <v>13673276.378755197</v>
      </c>
      <c r="R48" s="106">
        <v>2459226.7143592699</v>
      </c>
      <c r="S48" s="106">
        <v>38404799.632150903</v>
      </c>
      <c r="T48" s="106">
        <v>92400</v>
      </c>
    </row>
    <row r="49" spans="1:20">
      <c r="A49" s="108" t="s">
        <v>42</v>
      </c>
      <c r="B49" s="107"/>
      <c r="C49" s="107"/>
      <c r="D49" s="107"/>
      <c r="E49" s="118"/>
      <c r="F49" s="107"/>
      <c r="G49" s="107"/>
      <c r="H49" s="107"/>
      <c r="I49" s="107"/>
      <c r="J49" s="107"/>
      <c r="K49" s="107"/>
      <c r="L49" s="107"/>
      <c r="M49" s="107"/>
      <c r="N49" s="107"/>
      <c r="O49" s="107"/>
      <c r="P49" s="107"/>
    </row>
    <row r="50" spans="1:20">
      <c r="A50" s="88" t="s">
        <v>224</v>
      </c>
      <c r="B50" s="103">
        <v>81321019.392598853</v>
      </c>
      <c r="C50" s="103">
        <v>80873986.480899945</v>
      </c>
      <c r="D50" s="103">
        <v>447032.91169890761</v>
      </c>
      <c r="E50" s="85" t="s">
        <v>89</v>
      </c>
      <c r="F50" s="85" t="s">
        <v>117</v>
      </c>
      <c r="G50" s="104">
        <v>20</v>
      </c>
      <c r="H50" s="103">
        <v>35408.122597563721</v>
      </c>
      <c r="I50" s="103">
        <v>78684.716883474932</v>
      </c>
      <c r="J50" s="103">
        <v>19511011.810388725</v>
      </c>
      <c r="K50" s="105">
        <v>0.23992581445879479</v>
      </c>
      <c r="L50" s="103">
        <v>30416307.734722123</v>
      </c>
      <c r="M50" s="103">
        <v>38221292.786920935</v>
      </c>
      <c r="N50" s="103">
        <v>61810007.582210153</v>
      </c>
      <c r="O50" s="103">
        <v>5652100.1351229455</v>
      </c>
      <c r="P50" s="106">
        <v>273247.4127065856</v>
      </c>
      <c r="Q50" s="106">
        <v>13673276.378755197</v>
      </c>
      <c r="R50" s="106">
        <v>2459226.7143592699</v>
      </c>
      <c r="S50" s="106">
        <v>38404799.632150903</v>
      </c>
      <c r="T50" s="106">
        <v>92400</v>
      </c>
    </row>
    <row r="51" spans="1:20">
      <c r="A51" s="88" t="s">
        <v>225</v>
      </c>
      <c r="B51" s="103">
        <v>83873930.600305349</v>
      </c>
      <c r="C51" s="103">
        <v>88226513.421884313</v>
      </c>
      <c r="D51" s="103">
        <v>-4352582.8215789646</v>
      </c>
      <c r="E51" s="85" t="s">
        <v>94</v>
      </c>
      <c r="F51" s="85">
        <v>34</v>
      </c>
      <c r="G51" s="104">
        <v>17</v>
      </c>
      <c r="H51" s="103">
        <v>30982.107272868259</v>
      </c>
      <c r="I51" s="103">
        <v>68849.127273040576</v>
      </c>
      <c r="J51" s="103">
        <v>22063923.018095203</v>
      </c>
      <c r="K51" s="105">
        <v>0.26306055839017611</v>
      </c>
      <c r="L51" s="103">
        <v>28713116.594690271</v>
      </c>
      <c r="M51" s="103">
        <v>38221292.786920935</v>
      </c>
      <c r="N51" s="103">
        <v>61810007.582210153</v>
      </c>
      <c r="O51" s="103">
        <v>4945587.6182325771</v>
      </c>
      <c r="P51" s="106">
        <v>273247.4127065856</v>
      </c>
      <c r="Q51" s="106">
        <v>13673276.378755197</v>
      </c>
      <c r="R51" s="106">
        <v>2459226.7143592699</v>
      </c>
      <c r="S51" s="106">
        <v>38404799.632150903</v>
      </c>
      <c r="T51" s="106">
        <v>92400</v>
      </c>
    </row>
    <row r="52" spans="1:20">
      <c r="B52" s="107"/>
      <c r="C52" s="107"/>
      <c r="D52" s="107"/>
      <c r="E52" s="118"/>
      <c r="F52" s="107"/>
      <c r="G52" s="107"/>
      <c r="H52" s="107"/>
      <c r="I52" s="107"/>
      <c r="J52" s="107"/>
      <c r="K52" s="107"/>
      <c r="L52" s="107"/>
      <c r="M52" s="107"/>
      <c r="N52" s="107"/>
      <c r="O52" s="107"/>
      <c r="P52" s="107"/>
    </row>
    <row r="53" spans="1:20">
      <c r="A53" s="84" t="s">
        <v>240</v>
      </c>
      <c r="B53" s="103">
        <v>79689026.439583942</v>
      </c>
      <c r="C53" s="103">
        <v>71569399.305822298</v>
      </c>
      <c r="D53" s="103">
        <v>8119627.1337616444</v>
      </c>
      <c r="E53" s="85" t="s">
        <v>89</v>
      </c>
      <c r="F53" s="85" t="s">
        <v>117</v>
      </c>
      <c r="G53" s="104">
        <v>22</v>
      </c>
      <c r="H53" s="103">
        <v>39834.137922259193</v>
      </c>
      <c r="I53" s="103">
        <v>88520.306493909316</v>
      </c>
      <c r="J53" s="103">
        <v>17879018.857373782</v>
      </c>
      <c r="K53" s="105">
        <v>0.22435986052519691</v>
      </c>
      <c r="L53" s="103">
        <v>31817488.315499309</v>
      </c>
      <c r="M53" s="103">
        <v>38221292.786920935</v>
      </c>
      <c r="N53" s="103">
        <v>61810007.582210153</v>
      </c>
      <c r="O53" s="103">
        <v>6358612.6520133084</v>
      </c>
      <c r="P53" s="106">
        <v>273247.4127065856</v>
      </c>
      <c r="Q53" s="106">
        <v>13673276.378755197</v>
      </c>
      <c r="R53" s="106">
        <v>2459226.7143592699</v>
      </c>
      <c r="S53" s="106">
        <v>38404799.632150903</v>
      </c>
      <c r="T53" s="106">
        <v>92400</v>
      </c>
    </row>
    <row r="54" spans="1:20">
      <c r="A54" s="108" t="s">
        <v>255</v>
      </c>
      <c r="B54" s="107"/>
      <c r="C54" s="107"/>
      <c r="D54" s="107"/>
      <c r="E54" s="118"/>
      <c r="F54" s="107"/>
      <c r="G54" s="107"/>
      <c r="H54" s="107"/>
      <c r="I54" s="107"/>
      <c r="J54" s="107"/>
      <c r="K54" s="107"/>
      <c r="L54" s="107"/>
      <c r="M54" s="107"/>
      <c r="N54" s="107"/>
      <c r="O54" s="107"/>
      <c r="P54" s="107"/>
    </row>
    <row r="55" spans="1:20">
      <c r="A55" s="88" t="s">
        <v>226</v>
      </c>
      <c r="B55" s="103">
        <v>66938899.339287631</v>
      </c>
      <c r="C55" s="103">
        <v>60726836.01763045</v>
      </c>
      <c r="D55" s="103">
        <v>6212063.3216571808</v>
      </c>
      <c r="E55" s="85" t="s">
        <v>89</v>
      </c>
      <c r="F55" s="85" t="s">
        <v>117</v>
      </c>
      <c r="G55" s="104">
        <v>22</v>
      </c>
      <c r="H55" s="103">
        <v>33235.958806091221</v>
      </c>
      <c r="I55" s="103">
        <v>73857.686235758272</v>
      </c>
      <c r="J55" s="103">
        <v>15367182.893063823</v>
      </c>
      <c r="K55" s="105">
        <v>0.22957029537001289</v>
      </c>
      <c r="L55" s="103">
        <v>27196767.356331773</v>
      </c>
      <c r="M55" s="103">
        <v>32721616.248138539</v>
      </c>
      <c r="N55" s="103">
        <v>51571716.446223833</v>
      </c>
      <c r="O55" s="103">
        <v>5305363.6701928517</v>
      </c>
      <c r="P55" s="106">
        <v>273247.4127065856</v>
      </c>
      <c r="Q55" s="106">
        <v>11408416.854796955</v>
      </c>
      <c r="R55" s="106">
        <v>2459226.7143592699</v>
      </c>
      <c r="S55" s="106">
        <v>32860157.647042036</v>
      </c>
      <c r="T55" s="106">
        <v>92400</v>
      </c>
    </row>
    <row r="56" spans="1:20" ht="16">
      <c r="A56" s="88"/>
      <c r="B56"/>
      <c r="C56"/>
      <c r="D56"/>
      <c r="E56"/>
      <c r="F56"/>
      <c r="G56"/>
      <c r="H56"/>
      <c r="I56"/>
      <c r="J56"/>
      <c r="K56"/>
      <c r="L56"/>
      <c r="M56"/>
      <c r="N56"/>
      <c r="O56"/>
      <c r="P56"/>
      <c r="Q56"/>
      <c r="R56"/>
      <c r="S56"/>
      <c r="T56"/>
    </row>
    <row r="57" spans="1:20" ht="16">
      <c r="A57" s="88"/>
      <c r="B57"/>
      <c r="C57"/>
      <c r="D57"/>
      <c r="E57"/>
      <c r="F57"/>
      <c r="G57"/>
      <c r="H57"/>
      <c r="I57"/>
      <c r="J57"/>
      <c r="K57"/>
      <c r="L57"/>
      <c r="M57"/>
      <c r="N57"/>
      <c r="O57"/>
      <c r="P57"/>
      <c r="Q57"/>
      <c r="R57"/>
      <c r="S57"/>
      <c r="T57"/>
    </row>
    <row r="58" spans="1:20" ht="16">
      <c r="B58"/>
      <c r="C58"/>
      <c r="D58"/>
      <c r="E58"/>
      <c r="F58"/>
      <c r="G58"/>
      <c r="H58"/>
      <c r="I58"/>
      <c r="J58"/>
      <c r="K58"/>
      <c r="L58"/>
      <c r="M58"/>
      <c r="N58"/>
      <c r="O58"/>
      <c r="P58"/>
      <c r="Q58"/>
      <c r="R58"/>
      <c r="S58"/>
      <c r="T58"/>
    </row>
    <row r="60" spans="1:20" ht="16">
      <c r="A60"/>
      <c r="B60"/>
      <c r="C60"/>
      <c r="D60"/>
      <c r="E60" s="119"/>
      <c r="F60"/>
      <c r="G60"/>
      <c r="H60"/>
      <c r="I60"/>
    </row>
    <row r="62" spans="1:20" ht="16">
      <c r="A62"/>
      <c r="B62"/>
      <c r="C62"/>
      <c r="D62"/>
      <c r="E62" s="119"/>
      <c r="F62"/>
      <c r="G62"/>
      <c r="H62"/>
      <c r="I62"/>
    </row>
    <row r="63" spans="1:20" ht="16">
      <c r="A63"/>
      <c r="B63"/>
      <c r="C63"/>
      <c r="D63"/>
      <c r="E63" s="119"/>
      <c r="F63"/>
      <c r="G63"/>
      <c r="H63"/>
      <c r="I63"/>
    </row>
    <row r="64" spans="1:20" ht="16">
      <c r="A64"/>
      <c r="B64"/>
      <c r="C64"/>
      <c r="D64"/>
      <c r="E64" s="119"/>
      <c r="F64"/>
      <c r="G64"/>
      <c r="H64"/>
      <c r="I64"/>
    </row>
    <row r="65" spans="1:9" ht="16">
      <c r="A65"/>
      <c r="B65"/>
      <c r="C65"/>
      <c r="D65"/>
      <c r="E65" s="119"/>
      <c r="F65"/>
      <c r="G65"/>
      <c r="H65"/>
      <c r="I65"/>
    </row>
    <row r="66" spans="1:9" ht="16">
      <c r="A66"/>
      <c r="B66"/>
      <c r="C66"/>
      <c r="D66"/>
      <c r="E66" s="119"/>
      <c r="F66"/>
      <c r="G66"/>
      <c r="H66"/>
      <c r="I66"/>
    </row>
    <row r="67" spans="1:9" ht="16">
      <c r="A67"/>
      <c r="B67"/>
      <c r="C67"/>
      <c r="D67"/>
      <c r="E67" s="119"/>
      <c r="F67"/>
      <c r="G67"/>
      <c r="H67"/>
      <c r="I67"/>
    </row>
    <row r="68" spans="1:9" ht="16">
      <c r="A68"/>
      <c r="B68"/>
      <c r="C68"/>
      <c r="D68"/>
      <c r="E68" s="119"/>
      <c r="F68"/>
      <c r="G68"/>
      <c r="H68"/>
      <c r="I68"/>
    </row>
    <row r="69" spans="1:9" ht="16">
      <c r="A69"/>
      <c r="B69"/>
      <c r="C69"/>
      <c r="D69"/>
      <c r="E69" s="119"/>
      <c r="F69"/>
      <c r="G69"/>
      <c r="H69"/>
      <c r="I69"/>
    </row>
    <row r="70" spans="1:9" ht="16">
      <c r="A70"/>
      <c r="B70"/>
      <c r="C70"/>
      <c r="D70"/>
      <c r="E70" s="119"/>
      <c r="F70"/>
      <c r="G70"/>
      <c r="H70"/>
      <c r="I70"/>
    </row>
  </sheetData>
  <mergeCells count="1">
    <mergeCell ref="A1:N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6A1F1-9916-D04B-9CF8-CDD8559176D4}">
  <sheetPr>
    <tabColor theme="4"/>
  </sheetPr>
  <dimension ref="A1:W59"/>
  <sheetViews>
    <sheetView showGridLines="0" topLeftCell="A8" zoomScale="83" zoomScaleNormal="100" workbookViewId="0">
      <selection activeCell="E42" sqref="E42"/>
    </sheetView>
  </sheetViews>
  <sheetFormatPr baseColWidth="10" defaultColWidth="8.6640625" defaultRowHeight="15"/>
  <cols>
    <col min="1" max="1" width="42" style="107" customWidth="1"/>
    <col min="2" max="2" width="18" style="107" customWidth="1"/>
    <col min="3" max="3" width="14" style="107" customWidth="1"/>
    <col min="4" max="4" width="18" style="107" customWidth="1"/>
    <col min="5" max="5" width="15" style="107" bestFit="1" customWidth="1"/>
    <col min="6" max="6" width="15.1640625" style="107" bestFit="1" customWidth="1"/>
    <col min="7" max="7" width="19.1640625" style="107" bestFit="1" customWidth="1"/>
    <col min="8" max="10" width="8.6640625" style="107"/>
    <col min="11" max="12" width="24.33203125" style="107" bestFit="1" customWidth="1"/>
    <col min="13" max="13" width="14.1640625" style="107" bestFit="1" customWidth="1"/>
    <col min="14" max="14" width="8.6640625" style="107"/>
    <col min="15" max="15" width="16.5" style="107" bestFit="1" customWidth="1"/>
    <col min="16" max="16" width="16.6640625" style="107" bestFit="1" customWidth="1"/>
    <col min="17" max="17" width="10.1640625" style="107" bestFit="1" customWidth="1"/>
    <col min="18" max="18" width="19.33203125" style="107" bestFit="1" customWidth="1"/>
    <col min="19" max="19" width="20.1640625" style="107" bestFit="1" customWidth="1"/>
    <col min="20" max="20" width="11" style="107" bestFit="1" customWidth="1"/>
    <col min="21" max="21" width="14.1640625" style="107" bestFit="1" customWidth="1"/>
    <col min="22" max="22" width="12.5" style="107" bestFit="1" customWidth="1"/>
    <col min="23" max="23" width="16.83203125" style="107" bestFit="1" customWidth="1"/>
    <col min="24" max="16384" width="8.6640625" style="107"/>
  </cols>
  <sheetData>
    <row r="1" spans="1:4" ht="18">
      <c r="A1" s="233"/>
      <c r="B1" s="233"/>
      <c r="C1" s="233"/>
      <c r="D1" s="233"/>
    </row>
    <row r="2" spans="1:4">
      <c r="A2" s="110"/>
      <c r="B2" s="110"/>
      <c r="C2" s="110"/>
      <c r="D2" s="110"/>
    </row>
    <row r="4" spans="1:4">
      <c r="A4" s="235" t="s">
        <v>176</v>
      </c>
      <c r="B4" s="235"/>
      <c r="C4" s="235"/>
      <c r="D4" s="235"/>
    </row>
    <row r="6" spans="1:4">
      <c r="A6" s="86" t="s">
        <v>177</v>
      </c>
      <c r="B6" s="87" t="s">
        <v>178</v>
      </c>
      <c r="C6" s="87" t="s">
        <v>179</v>
      </c>
    </row>
    <row r="7" spans="1:4">
      <c r="A7" s="85" t="s">
        <v>7</v>
      </c>
      <c r="B7" s="103">
        <f>SUM(Calculations!F4:F723)</f>
        <v>6358612.6520133084</v>
      </c>
      <c r="C7" s="105">
        <f t="shared" ref="C7:C15" si="0">B7/$B$17</f>
        <v>0.1979396663197914</v>
      </c>
      <c r="D7" s="110"/>
    </row>
    <row r="8" spans="1:4">
      <c r="A8" s="85" t="s">
        <v>9</v>
      </c>
      <c r="B8" s="103">
        <f>SUM(Calculations!H4:H723)</f>
        <v>7981676.9999999981</v>
      </c>
      <c r="C8" s="105">
        <f t="shared" si="0"/>
        <v>0.24846465235653525</v>
      </c>
      <c r="D8" s="110"/>
    </row>
    <row r="9" spans="1:4">
      <c r="A9" s="85" t="s">
        <v>180</v>
      </c>
      <c r="B9" s="103">
        <f>SUM(Calculations!G4:G723)</f>
        <v>1147223.172161066</v>
      </c>
      <c r="C9" s="105">
        <f t="shared" si="0"/>
        <v>3.5712345494106179E-2</v>
      </c>
      <c r="D9" s="110"/>
    </row>
    <row r="10" spans="1:4">
      <c r="A10" s="85" t="s">
        <v>181</v>
      </c>
      <c r="B10" s="103">
        <f>SUM(Calculations!R4:R723)</f>
        <v>273247.4127065856</v>
      </c>
      <c r="C10" s="105">
        <f t="shared" si="0"/>
        <v>8.5060224067529319E-3</v>
      </c>
      <c r="D10" s="110"/>
    </row>
    <row r="11" spans="1:4">
      <c r="A11" s="85" t="s">
        <v>112</v>
      </c>
      <c r="B11" s="103">
        <f>SUM(Calculations!K4:K723)</f>
        <v>13673276.378755197</v>
      </c>
      <c r="C11" s="105">
        <f t="shared" si="0"/>
        <v>0.42564060936345033</v>
      </c>
      <c r="D11" s="110"/>
    </row>
    <row r="12" spans="1:4">
      <c r="A12" s="85" t="s">
        <v>182</v>
      </c>
      <c r="B12" s="103">
        <f>SUM(Calculations!L4:L723)</f>
        <v>2459226.7143592699</v>
      </c>
      <c r="C12" s="105">
        <f t="shared" si="0"/>
        <v>7.655420166077638E-2</v>
      </c>
      <c r="D12" s="110"/>
    </row>
    <row r="13" spans="1:4">
      <c r="A13" s="85" t="s">
        <v>183</v>
      </c>
      <c r="B13" s="103">
        <f>SUM(Calculations!Q4:Q723)</f>
        <v>92400</v>
      </c>
      <c r="C13" s="105">
        <f t="shared" si="0"/>
        <v>2.8763546655350579E-3</v>
      </c>
      <c r="D13" s="110"/>
    </row>
    <row r="14" spans="1:4">
      <c r="A14" s="85" t="s">
        <v>184</v>
      </c>
      <c r="B14" s="103">
        <f>SUM(Calculations!M4:M723)</f>
        <v>88685.3</v>
      </c>
      <c r="C14" s="105">
        <f t="shared" si="0"/>
        <v>2.760718359517059E-3</v>
      </c>
      <c r="D14" s="110"/>
    </row>
    <row r="15" spans="1:4">
      <c r="A15" s="85" t="s">
        <v>185</v>
      </c>
      <c r="B15" s="103">
        <f>SUM(Calculations!N4:N723)</f>
        <v>624343.51093141572</v>
      </c>
      <c r="C15" s="105">
        <f t="shared" si="0"/>
        <v>1.9435426088356234E-2</v>
      </c>
      <c r="D15" s="110"/>
    </row>
    <row r="16" spans="1:4" ht="16" thickBot="1">
      <c r="A16" s="85" t="s">
        <v>186</v>
      </c>
      <c r="B16" s="103">
        <f>-SUM(Calculations!O4:O723)</f>
        <v>-574698.14701795671</v>
      </c>
      <c r="C16" s="105">
        <f>B16/$B$17</f>
        <v>-1.7889996714820913E-2</v>
      </c>
      <c r="D16" s="110"/>
    </row>
    <row r="17" spans="1:4">
      <c r="A17" s="89" t="s">
        <v>187</v>
      </c>
      <c r="B17" s="90">
        <f>SUM(B7:B16)</f>
        <v>32123993.993908886</v>
      </c>
      <c r="C17" s="91">
        <f>SUM(C7:C16)</f>
        <v>0.99999999999999978</v>
      </c>
      <c r="D17" s="111"/>
    </row>
    <row r="19" spans="1:4">
      <c r="A19" s="235" t="s">
        <v>188</v>
      </c>
      <c r="B19" s="235"/>
      <c r="C19" s="235"/>
      <c r="D19" s="235"/>
    </row>
    <row r="21" spans="1:4">
      <c r="A21" s="92" t="s">
        <v>177</v>
      </c>
      <c r="B21" s="87" t="s">
        <v>178</v>
      </c>
      <c r="C21" s="87" t="s">
        <v>179</v>
      </c>
    </row>
    <row r="22" spans="1:4">
      <c r="A22" s="85" t="s">
        <v>24</v>
      </c>
      <c r="B22" s="103">
        <f>SUM(Calculations!X4:X723)</f>
        <v>38404799.632150903</v>
      </c>
      <c r="C22" s="105">
        <f>B22/$B$25</f>
        <v>1.0048011679315243</v>
      </c>
      <c r="D22" s="110"/>
    </row>
    <row r="23" spans="1:4">
      <c r="A23" s="85" t="s">
        <v>59</v>
      </c>
      <c r="B23" s="103">
        <f>SUM(Calculations!AC4:AC723)</f>
        <v>127944.99623721144</v>
      </c>
      <c r="C23" s="105">
        <f>B23/$B$25</f>
        <v>3.3474795567614434E-3</v>
      </c>
      <c r="D23" s="110"/>
    </row>
    <row r="24" spans="1:4" ht="16" thickBot="1">
      <c r="A24" s="85" t="s">
        <v>189</v>
      </c>
      <c r="B24" s="103">
        <f>SUM(Calculations!AB4:AB723)</f>
        <v>-311451.84146718087</v>
      </c>
      <c r="C24" s="105">
        <f>B24/$B$25</f>
        <v>-8.1486474882858373E-3</v>
      </c>
      <c r="D24" s="110"/>
    </row>
    <row r="25" spans="1:4">
      <c r="A25" s="89" t="s">
        <v>190</v>
      </c>
      <c r="B25" s="90">
        <f>SUM(B22:B24)</f>
        <v>38221292.786920935</v>
      </c>
      <c r="C25" s="91">
        <f>SUM(C22:C24)</f>
        <v>0.99999999999999989</v>
      </c>
      <c r="D25" s="111"/>
    </row>
    <row r="27" spans="1:4">
      <c r="A27" s="235" t="s">
        <v>191</v>
      </c>
      <c r="B27" s="235"/>
      <c r="C27" s="235"/>
      <c r="D27" s="235"/>
    </row>
    <row r="29" spans="1:4">
      <c r="A29" s="92" t="s">
        <v>177</v>
      </c>
      <c r="B29" s="87" t="s">
        <v>68</v>
      </c>
      <c r="C29" s="87" t="s">
        <v>24</v>
      </c>
    </row>
    <row r="30" spans="1:4">
      <c r="A30" s="85" t="s">
        <v>192</v>
      </c>
      <c r="B30" s="103">
        <f>-B17</f>
        <v>-32123993.993908886</v>
      </c>
      <c r="C30" s="103">
        <f>-B25</f>
        <v>-38221292.786920935</v>
      </c>
      <c r="D30" s="110"/>
    </row>
    <row r="31" spans="1:4">
      <c r="A31" s="85" t="s">
        <v>193</v>
      </c>
      <c r="B31" s="103">
        <f>B53</f>
        <v>61810007.582210153</v>
      </c>
      <c r="C31" s="103">
        <v>0</v>
      </c>
      <c r="D31" s="110"/>
    </row>
    <row r="32" spans="1:4">
      <c r="A32" s="85" t="s">
        <v>194</v>
      </c>
      <c r="B32" s="103">
        <f>INDEX(Calculations!V:V,MATCH('Input sheet(dashboard)'!D27*12,Calculations!B:B,0),1)</f>
        <v>17686184.352286097</v>
      </c>
      <c r="C32" s="103">
        <f>INDEX(Calculations!AH:AH,MATCH('Input sheet(dashboard)'!D27*12,Calculations!B:B,0),1)</f>
        <v>74271374.293669149</v>
      </c>
      <c r="D32" s="110"/>
    </row>
    <row r="33" spans="1:23" ht="16" thickBot="1">
      <c r="A33" s="85"/>
      <c r="B33" s="103"/>
      <c r="C33" s="103"/>
      <c r="D33" s="110"/>
    </row>
    <row r="34" spans="1:23">
      <c r="A34" s="89" t="s">
        <v>195</v>
      </c>
      <c r="B34" s="90">
        <f>B42</f>
        <v>79496191.934496254</v>
      </c>
      <c r="C34" s="90">
        <f>B43</f>
        <v>74271374.293669149</v>
      </c>
      <c r="D34" s="112"/>
    </row>
    <row r="36" spans="1:23">
      <c r="A36" s="110"/>
    </row>
    <row r="38" spans="1:23">
      <c r="A38" s="235" t="s">
        <v>196</v>
      </c>
      <c r="B38" s="235"/>
      <c r="C38" s="235"/>
      <c r="D38" s="235"/>
    </row>
    <row r="40" spans="1:23">
      <c r="A40" s="234"/>
      <c r="B40" s="234"/>
      <c r="C40" s="234"/>
      <c r="D40" s="234"/>
    </row>
    <row r="42" spans="1:23">
      <c r="A42" s="93" t="s">
        <v>197</v>
      </c>
      <c r="B42" s="103">
        <f>'Input sheet(dashboard)'!$H$36</f>
        <v>79496191.934496254</v>
      </c>
      <c r="E42" s="93" t="s">
        <v>197</v>
      </c>
      <c r="F42" s="93" t="s">
        <v>198</v>
      </c>
      <c r="G42" s="93" t="s">
        <v>199</v>
      </c>
      <c r="H42" s="93" t="s">
        <v>70</v>
      </c>
      <c r="I42" s="93" t="s">
        <v>233</v>
      </c>
      <c r="J42" s="93" t="s">
        <v>200</v>
      </c>
      <c r="K42" s="93" t="s">
        <v>72</v>
      </c>
      <c r="L42" s="93" t="s">
        <v>201</v>
      </c>
      <c r="M42" s="85" t="s">
        <v>202</v>
      </c>
      <c r="N42" s="85" t="s">
        <v>203</v>
      </c>
      <c r="O42" s="85" t="s">
        <v>204</v>
      </c>
      <c r="P42" s="85" t="s">
        <v>205</v>
      </c>
      <c r="Q42" s="85" t="s">
        <v>206</v>
      </c>
      <c r="R42" s="85" t="s">
        <v>207</v>
      </c>
      <c r="S42" s="85" t="s">
        <v>208</v>
      </c>
      <c r="T42" s="85" t="s">
        <v>209</v>
      </c>
      <c r="U42" s="85" t="s">
        <v>210</v>
      </c>
      <c r="V42" s="85" t="s">
        <v>211</v>
      </c>
      <c r="W42" s="85" t="s">
        <v>212</v>
      </c>
    </row>
    <row r="43" spans="1:23">
      <c r="A43" s="93" t="s">
        <v>198</v>
      </c>
      <c r="B43" s="103">
        <f>'Input sheet(dashboard)'!$I$36</f>
        <v>74271374.293669149</v>
      </c>
      <c r="D43" s="93"/>
      <c r="E43" s="103">
        <f>'Input sheet(dashboard)'!$H$36</f>
        <v>79496191.934496254</v>
      </c>
      <c r="F43" s="103">
        <f>'Input sheet(dashboard)'!$I$36</f>
        <v>74271374.293669149</v>
      </c>
      <c r="G43" s="103">
        <f>E43-F43</f>
        <v>5224817.6408271044</v>
      </c>
      <c r="H43" s="85" t="str">
        <f>IF(E43&gt;F43,"BUY","RENT")</f>
        <v>BUY</v>
      </c>
      <c r="I43" s="85" t="str">
        <f>'Input sheet(dashboard)'!N36</f>
        <v/>
      </c>
      <c r="J43" s="104">
        <f>'Input sheet(dashboard)'!O36</f>
        <v>22</v>
      </c>
      <c r="K43" s="103">
        <f>'Input sheet(dashboard)'!$P$36</f>
        <v>39834.137922259193</v>
      </c>
      <c r="L43" s="103">
        <f>'Input sheet(dashboard)'!$Q$36</f>
        <v>88520.306493909316</v>
      </c>
      <c r="M43" s="103">
        <f>'Input sheet(dashboard)'!$L$36</f>
        <v>17686184.352286097</v>
      </c>
      <c r="N43" s="105">
        <f>M43/E43</f>
        <v>0.2224783844597143</v>
      </c>
      <c r="O43" s="103">
        <f>$B$17</f>
        <v>32123993.993908886</v>
      </c>
      <c r="P43" s="103">
        <f>$B$25</f>
        <v>38221292.786920935</v>
      </c>
      <c r="Q43" s="103">
        <f>INDEX(Calculations!J:J,MATCH('Input sheet(dashboard)'!D27*12,Calculations!B:B,0),1)-INDEX(Calculations!N:N,MATCH('Input sheet(dashboard)'!D27*12,Calculations!B:B,0),1)</f>
        <v>61810007.582210153</v>
      </c>
      <c r="R43" s="103">
        <f>B7</f>
        <v>6358612.6520133084</v>
      </c>
      <c r="S43" s="106">
        <f>B10</f>
        <v>273247.4127065856</v>
      </c>
      <c r="T43" s="106">
        <f>B11</f>
        <v>13673276.378755197</v>
      </c>
      <c r="U43" s="106">
        <f>B12</f>
        <v>2459226.7143592699</v>
      </c>
      <c r="V43" s="106">
        <f>B22</f>
        <v>38404799.632150903</v>
      </c>
      <c r="W43" s="106">
        <f>B13</f>
        <v>92400</v>
      </c>
    </row>
    <row r="44" spans="1:23">
      <c r="A44" s="93" t="s">
        <v>199</v>
      </c>
      <c r="B44" s="103">
        <f>B42-B43</f>
        <v>5224817.6408271044</v>
      </c>
      <c r="D44" s="93"/>
      <c r="E44" s="103"/>
    </row>
    <row r="45" spans="1:23">
      <c r="A45" s="93" t="s">
        <v>70</v>
      </c>
      <c r="B45" s="85" t="str">
        <f>IF(B42&gt;B43,"BUY","RENT")</f>
        <v>BUY</v>
      </c>
      <c r="D45" s="93"/>
      <c r="E45" s="85"/>
    </row>
    <row r="46" spans="1:23">
      <c r="A46" s="93" t="s">
        <v>200</v>
      </c>
      <c r="B46" s="104" t="s">
        <v>234</v>
      </c>
      <c r="D46" s="93"/>
      <c r="E46" s="104"/>
    </row>
    <row r="47" spans="1:23">
      <c r="A47" s="93" t="s">
        <v>72</v>
      </c>
      <c r="B47" s="103">
        <f>'Input sheet(dashboard)'!$P$36</f>
        <v>39834.137922259193</v>
      </c>
      <c r="D47" s="93"/>
      <c r="E47" s="103"/>
    </row>
    <row r="48" spans="1:23">
      <c r="A48" s="93" t="s">
        <v>201</v>
      </c>
      <c r="B48" s="103">
        <f>'Input sheet(dashboard)'!$Q$36</f>
        <v>88520.306493909316</v>
      </c>
      <c r="D48" s="93"/>
      <c r="E48" s="103"/>
    </row>
    <row r="49" spans="1:5">
      <c r="A49" s="85" t="s">
        <v>202</v>
      </c>
      <c r="B49" s="103">
        <f>'Input sheet(dashboard)'!$L$36</f>
        <v>17686184.352286097</v>
      </c>
      <c r="D49" s="85"/>
      <c r="E49" s="103"/>
    </row>
    <row r="50" spans="1:5">
      <c r="A50" s="85" t="s">
        <v>203</v>
      </c>
      <c r="B50" s="105">
        <f>B49/B42</f>
        <v>0.2224783844597143</v>
      </c>
      <c r="D50" s="85"/>
      <c r="E50" s="105"/>
    </row>
    <row r="51" spans="1:5">
      <c r="A51" s="85" t="s">
        <v>204</v>
      </c>
      <c r="B51" s="103">
        <f>$B$17</f>
        <v>32123993.993908886</v>
      </c>
      <c r="D51" s="85"/>
      <c r="E51" s="103"/>
    </row>
    <row r="52" spans="1:5">
      <c r="A52" s="85" t="s">
        <v>205</v>
      </c>
      <c r="B52" s="103">
        <f>$B$25</f>
        <v>38221292.786920935</v>
      </c>
      <c r="D52" s="85"/>
      <c r="E52" s="103"/>
    </row>
    <row r="53" spans="1:5">
      <c r="A53" s="85" t="s">
        <v>206</v>
      </c>
      <c r="B53" s="103">
        <f>INDEX(Calculations!J:J,MATCH('Input sheet(dashboard)'!D27*12,Calculations!B:B,0),1)-INDEX(Calculations!N:N,MATCH('Input sheet(dashboard)'!D27*12,Calculations!B:B,0),1)</f>
        <v>61810007.582210153</v>
      </c>
      <c r="D53" s="85"/>
      <c r="E53" s="103"/>
    </row>
    <row r="54" spans="1:5">
      <c r="A54" s="85" t="s">
        <v>207</v>
      </c>
      <c r="B54" s="103">
        <f>B7</f>
        <v>6358612.6520133084</v>
      </c>
      <c r="D54" s="85"/>
      <c r="E54" s="103"/>
    </row>
    <row r="55" spans="1:5">
      <c r="A55" s="85" t="s">
        <v>208</v>
      </c>
      <c r="B55" s="103">
        <f>B10</f>
        <v>273247.4127065856</v>
      </c>
      <c r="D55" s="85"/>
      <c r="E55" s="103"/>
    </row>
    <row r="56" spans="1:5">
      <c r="A56" s="85" t="s">
        <v>209</v>
      </c>
      <c r="B56" s="103">
        <f>B11</f>
        <v>13673276.378755197</v>
      </c>
      <c r="D56" s="85"/>
      <c r="E56" s="103"/>
    </row>
    <row r="57" spans="1:5">
      <c r="A57" s="85" t="s">
        <v>210</v>
      </c>
      <c r="B57" s="103">
        <f>B12</f>
        <v>2459226.7143592699</v>
      </c>
      <c r="D57" s="85"/>
      <c r="E57" s="103"/>
    </row>
    <row r="58" spans="1:5">
      <c r="A58" s="85" t="s">
        <v>211</v>
      </c>
      <c r="B58" s="103">
        <f>B22</f>
        <v>38404799.632150903</v>
      </c>
      <c r="D58" s="85"/>
      <c r="E58" s="103"/>
    </row>
    <row r="59" spans="1:5">
      <c r="A59" s="85" t="s">
        <v>212</v>
      </c>
      <c r="B59" s="103">
        <f>B13</f>
        <v>92400</v>
      </c>
      <c r="D59" s="85"/>
      <c r="E59" s="103"/>
    </row>
  </sheetData>
  <mergeCells count="6">
    <mergeCell ref="A40:D40"/>
    <mergeCell ref="A1:D1"/>
    <mergeCell ref="A4:D4"/>
    <mergeCell ref="A19:D19"/>
    <mergeCell ref="A27:D27"/>
    <mergeCell ref="A38:D38"/>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C3:L64"/>
  <sheetViews>
    <sheetView showGridLines="0" topLeftCell="D1" zoomScale="65" zoomScaleNormal="58" workbookViewId="0">
      <selection activeCell="G5" sqref="G5"/>
    </sheetView>
  </sheetViews>
  <sheetFormatPr baseColWidth="10" defaultRowHeight="16"/>
  <cols>
    <col min="1" max="1" width="4.6640625" customWidth="1"/>
    <col min="2" max="2" width="5.33203125" customWidth="1"/>
    <col min="4" max="4" width="11.33203125" bestFit="1" customWidth="1"/>
    <col min="5" max="5" width="16.5" bestFit="1" customWidth="1"/>
    <col min="6" max="6" width="17.1640625" bestFit="1" customWidth="1"/>
    <col min="7" max="7" width="14.33203125" bestFit="1" customWidth="1"/>
    <col min="8" max="8" width="15.5" bestFit="1" customWidth="1"/>
    <col min="9" max="9" width="29.33203125" bestFit="1" customWidth="1"/>
    <col min="10" max="10" width="30" bestFit="1" customWidth="1"/>
    <col min="11" max="11" width="14.33203125" bestFit="1" customWidth="1"/>
  </cols>
  <sheetData>
    <row r="3" spans="3:12">
      <c r="G3" s="6"/>
    </row>
    <row r="4" spans="3:12">
      <c r="C4" s="6" t="s">
        <v>3</v>
      </c>
      <c r="D4" t="s">
        <v>74</v>
      </c>
      <c r="E4" s="6" t="s">
        <v>75</v>
      </c>
      <c r="F4" s="6" t="s">
        <v>76</v>
      </c>
      <c r="G4" s="6" t="s">
        <v>77</v>
      </c>
      <c r="H4" s="6" t="s">
        <v>78</v>
      </c>
      <c r="I4" s="6" t="s">
        <v>79</v>
      </c>
      <c r="J4" s="6" t="s">
        <v>80</v>
      </c>
      <c r="K4" s="6" t="s">
        <v>126</v>
      </c>
      <c r="L4" s="6" t="s">
        <v>127</v>
      </c>
    </row>
    <row r="5" spans="3:12">
      <c r="C5">
        <f t="shared" ref="C5:C36" si="0">D5*12</f>
        <v>12</v>
      </c>
      <c r="D5">
        <v>1</v>
      </c>
      <c r="E5" s="3">
        <f>INDEX(Calculations!W:W,MATCH(C5,Calculations!B:B,0),1)</f>
        <v>1462000.6953533133</v>
      </c>
      <c r="F5" s="3">
        <f>INDEX(Calculations!AH:AH,MATCH(C5,Calculations!B:B,0),1)</f>
        <v>1341299.2186986001</v>
      </c>
      <c r="G5" s="3">
        <f>INDEX(Calculations!T:T,MATCH(C5,Calculations!B:B,0),1)+INDEX(Calculations!N:N,MATCH(C5,Calculations!B:B,0),1)</f>
        <v>738474.93626311724</v>
      </c>
      <c r="H5" s="3">
        <f>INDEX(Calculations!AE:AE,MATCH(C5,Calculations!B:B,0),1)</f>
        <v>369731.12090421771</v>
      </c>
      <c r="I5" s="17">
        <f t="shared" ref="I5:I36" si="1">IF(G5&gt;0,G5/12,"")</f>
        <v>61539.578021926434</v>
      </c>
      <c r="J5" s="17">
        <f t="shared" ref="J5:J36" si="2">IF(H5&gt;0,H5/12,"")</f>
        <v>30810.926742018142</v>
      </c>
      <c r="K5" t="str">
        <f>IF(AND(F5&gt;E5,F5&lt;&gt;""),D5,"")</f>
        <v/>
      </c>
      <c r="L5" t="str">
        <f>IF(AND(H5&gt;G5,H5&lt;&gt;""),D5,"")</f>
        <v/>
      </c>
    </row>
    <row r="6" spans="3:12">
      <c r="C6">
        <f t="shared" si="0"/>
        <v>24</v>
      </c>
      <c r="D6">
        <v>2</v>
      </c>
      <c r="E6" s="3">
        <f>INDEX(Calculations!W:W,MATCH(C6,Calculations!B:B,0),1)</f>
        <v>2065194.481019388</v>
      </c>
      <c r="F6" s="3">
        <f>INDEX(Calculations!AH:AH,MATCH(C6,Calculations!B:B,0),1)</f>
        <v>1782976.9730356655</v>
      </c>
      <c r="G6" s="3">
        <f>INDEX(Calculations!T:T,MATCH(C6,Calculations!B:B,0),1)+INDEX(Calculations!N:N,MATCH(C6,Calculations!B:B,0),1)</f>
        <v>656462.60612116032</v>
      </c>
      <c r="H6" s="3">
        <f>INDEX(Calculations!AE:AE,MATCH(C6,Calculations!B:B,0),1)</f>
        <v>333817.17694942892</v>
      </c>
      <c r="I6" s="17">
        <f t="shared" si="1"/>
        <v>54705.217176763363</v>
      </c>
      <c r="J6" s="17">
        <f t="shared" si="2"/>
        <v>27818.098079119078</v>
      </c>
      <c r="K6" t="str">
        <f t="shared" ref="K6:K64" si="3">IF(AND(F6&gt;E6,F6&lt;&gt;""),D6,"")</f>
        <v/>
      </c>
      <c r="L6" t="str">
        <f t="shared" ref="L6:L64" si="4">IF(AND(H6&gt;G6,H6&lt;&gt;""),D6,"")</f>
        <v/>
      </c>
    </row>
    <row r="7" spans="3:12">
      <c r="C7">
        <f t="shared" si="0"/>
        <v>36</v>
      </c>
      <c r="D7">
        <v>3</v>
      </c>
      <c r="E7" s="3">
        <f>INDEX(Calculations!W:W,MATCH(C7,Calculations!B:B,0),1)</f>
        <v>2697804.9377811719</v>
      </c>
      <c r="F7" s="3">
        <f>INDEX(Calculations!AH:AH,MATCH(C7,Calculations!B:B,0),1)</f>
        <v>2249931.58951195</v>
      </c>
      <c r="G7" s="3">
        <f>INDEX(Calculations!T:T,MATCH(C7,Calculations!B:B,0),1)+INDEX(Calculations!N:N,MATCH(C7,Calculations!B:B,0),1)</f>
        <v>663443.88720756792</v>
      </c>
      <c r="H7" s="3">
        <f>INDEX(Calculations!AE:AE,MATCH(C7,Calculations!B:B,0),1)</f>
        <v>350508.0357969008</v>
      </c>
      <c r="I7" s="17">
        <f t="shared" si="1"/>
        <v>55286.990600630663</v>
      </c>
      <c r="J7" s="17">
        <f t="shared" si="2"/>
        <v>29209.002983075068</v>
      </c>
      <c r="K7" t="str">
        <f t="shared" si="3"/>
        <v/>
      </c>
      <c r="L7" t="str">
        <f t="shared" si="4"/>
        <v/>
      </c>
    </row>
    <row r="8" spans="3:12">
      <c r="C8">
        <f t="shared" si="0"/>
        <v>48</v>
      </c>
      <c r="D8">
        <v>4</v>
      </c>
      <c r="E8" s="3">
        <f>INDEX(Calculations!W:W,MATCH(C8,Calculations!B:B,0),1)</f>
        <v>3361269.7605822822</v>
      </c>
      <c r="F8" s="3">
        <f>INDEX(Calculations!AH:AH,MATCH(C8,Calculations!B:B,0),1)</f>
        <v>2743655.4436955699</v>
      </c>
      <c r="G8" s="3">
        <f>INDEX(Calculations!T:T,MATCH(C8,Calculations!B:B,0),1)+INDEX(Calculations!N:N,MATCH(C8,Calculations!B:B,0),1)</f>
        <v>670748.26165214553</v>
      </c>
      <c r="H8" s="3">
        <f>INDEX(Calculations!AE:AE,MATCH(C8,Calculations!B:B,0),1)</f>
        <v>368033.43758674624</v>
      </c>
      <c r="I8" s="17">
        <f t="shared" si="1"/>
        <v>55895.68847101213</v>
      </c>
      <c r="J8" s="17">
        <f t="shared" si="2"/>
        <v>30669.453132228853</v>
      </c>
      <c r="K8" t="str">
        <f t="shared" si="3"/>
        <v/>
      </c>
      <c r="L8" t="str">
        <f t="shared" si="4"/>
        <v/>
      </c>
    </row>
    <row r="9" spans="3:12">
      <c r="C9">
        <f t="shared" si="0"/>
        <v>60</v>
      </c>
      <c r="D9">
        <v>5</v>
      </c>
      <c r="E9" s="3">
        <f>INDEX(Calculations!W:W,MATCH(C9,Calculations!B:B,0),1)</f>
        <v>4057097.0511314552</v>
      </c>
      <c r="F9" s="3">
        <f>INDEX(Calculations!AH:AH,MATCH(C9,Calculations!B:B,0),1)</f>
        <v>3256401.6515789931</v>
      </c>
      <c r="G9" s="3">
        <f>INDEX(Calculations!T:T,MATCH(C9,Calculations!B:B,0),1)+INDEX(Calculations!N:N,MATCH(C9,Calculations!B:B,0),1)</f>
        <v>678391.23485539726</v>
      </c>
      <c r="H9" s="3">
        <f>INDEX(Calculations!AE:AE,MATCH(C9,Calculations!B:B,0),1)</f>
        <v>395356.93498839589</v>
      </c>
      <c r="I9" s="17">
        <f t="shared" si="1"/>
        <v>56532.60290461644</v>
      </c>
      <c r="J9" s="17">
        <f t="shared" si="2"/>
        <v>32946.411249032994</v>
      </c>
      <c r="K9" t="str">
        <f t="shared" si="3"/>
        <v/>
      </c>
      <c r="L9" t="str">
        <f t="shared" si="4"/>
        <v/>
      </c>
    </row>
    <row r="10" spans="3:12">
      <c r="C10">
        <f t="shared" si="0"/>
        <v>72</v>
      </c>
      <c r="D10">
        <v>6</v>
      </c>
      <c r="E10" s="3">
        <f>INDEX(Calculations!W:W,MATCH(C10,Calculations!B:B,0),1)</f>
        <v>4786868.7723228186</v>
      </c>
      <c r="F10" s="3">
        <f>INDEX(Calculations!AH:AH,MATCH(C10,Calculations!B:B,0),1)</f>
        <v>3807769.5071862042</v>
      </c>
      <c r="G10" s="3">
        <f>INDEX(Calculations!T:T,MATCH(C10,Calculations!B:B,0),1)+INDEX(Calculations!N:N,MATCH(C10,Calculations!B:B,0),1)</f>
        <v>686389.07125616877</v>
      </c>
      <c r="H10" s="3">
        <f>INDEX(Calculations!AE:AE,MATCH(C10,Calculations!B:B,0),1)</f>
        <v>405756.86493938859</v>
      </c>
      <c r="I10" s="17">
        <f t="shared" si="1"/>
        <v>57199.089271347395</v>
      </c>
      <c r="J10" s="17">
        <f t="shared" si="2"/>
        <v>33813.072078282385</v>
      </c>
      <c r="K10" t="str">
        <f t="shared" si="3"/>
        <v/>
      </c>
      <c r="L10" t="str">
        <f t="shared" si="4"/>
        <v/>
      </c>
    </row>
    <row r="11" spans="3:12">
      <c r="C11">
        <f t="shared" si="0"/>
        <v>84</v>
      </c>
      <c r="D11">
        <v>7</v>
      </c>
      <c r="E11" s="3">
        <f>INDEX(Calculations!W:W,MATCH(C11,Calculations!B:B,0),1)</f>
        <v>5552244.3724371986</v>
      </c>
      <c r="F11" s="3">
        <f>INDEX(Calculations!AH:AH,MATCH(C11,Calculations!B:B,0),1)</f>
        <v>4390901.8028876716</v>
      </c>
      <c r="G11" s="3">
        <f>INDEX(Calculations!T:T,MATCH(C11,Calculations!B:B,0),1)+INDEX(Calculations!N:N,MATCH(C11,Calculations!B:B,0),1)</f>
        <v>694758.83187776909</v>
      </c>
      <c r="H11" s="3">
        <f>INDEX(Calculations!AE:AE,MATCH(C11,Calculations!B:B,0),1)</f>
        <v>426044.70818635862</v>
      </c>
      <c r="I11" s="17">
        <f t="shared" si="1"/>
        <v>57896.569323147422</v>
      </c>
      <c r="J11" s="17">
        <f t="shared" si="2"/>
        <v>35503.725682196549</v>
      </c>
      <c r="K11" t="str">
        <f t="shared" si="3"/>
        <v/>
      </c>
      <c r="L11" t="str">
        <f t="shared" si="4"/>
        <v/>
      </c>
    </row>
    <row r="12" spans="3:12">
      <c r="C12">
        <f t="shared" si="0"/>
        <v>96</v>
      </c>
      <c r="D12">
        <v>8</v>
      </c>
      <c r="E12" s="3">
        <f>INDEX(Calculations!W:W,MATCH(C12,Calculations!B:B,0),1)</f>
        <v>6354964.5874824543</v>
      </c>
      <c r="F12" s="3">
        <f>INDEX(Calculations!AH:AH,MATCH(C12,Calculations!B:B,0),1)</f>
        <v>5007692.7458436238</v>
      </c>
      <c r="G12" s="3">
        <f>INDEX(Calculations!T:T,MATCH(C12,Calculations!B:B,0),1)+INDEX(Calculations!N:N,MATCH(C12,Calculations!B:B,0),1)</f>
        <v>703518.41374125995</v>
      </c>
      <c r="H12" s="3">
        <f>INDEX(Calculations!AE:AE,MATCH(C12,Calculations!B:B,0),1)</f>
        <v>447346.94359567703</v>
      </c>
      <c r="I12" s="17">
        <f t="shared" si="1"/>
        <v>58626.534478438327</v>
      </c>
      <c r="J12" s="17">
        <f t="shared" si="2"/>
        <v>37278.911966306419</v>
      </c>
      <c r="K12" t="str">
        <f t="shared" si="3"/>
        <v/>
      </c>
      <c r="L12" t="str">
        <f t="shared" si="4"/>
        <v/>
      </c>
    </row>
    <row r="13" spans="3:12">
      <c r="C13">
        <f t="shared" si="0"/>
        <v>108</v>
      </c>
      <c r="D13">
        <v>9</v>
      </c>
      <c r="E13" s="3">
        <f>INDEX(Calculations!W:W,MATCH(C13,Calculations!B:B,0),1)</f>
        <v>7196855.4304427868</v>
      </c>
      <c r="F13" s="3">
        <f>INDEX(Calculations!AH:AH,MATCH(C13,Calculations!B:B,0),1)</f>
        <v>5650032.6772522926</v>
      </c>
      <c r="G13" s="3">
        <f>INDEX(Calculations!T:T,MATCH(C13,Calculations!B:B,0),1)+INDEX(Calculations!N:N,MATCH(C13,Calculations!B:B,0),1)</f>
        <v>712686.59123900614</v>
      </c>
      <c r="H13" s="3">
        <f>INDEX(Calculations!AE:AE,MATCH(C13,Calculations!B:B,0),1)</f>
        <v>479643.70913071663</v>
      </c>
      <c r="I13" s="17">
        <f t="shared" si="1"/>
        <v>59390.549269917181</v>
      </c>
      <c r="J13" s="17">
        <f t="shared" si="2"/>
        <v>39970.309094226388</v>
      </c>
      <c r="K13" t="str">
        <f t="shared" si="3"/>
        <v/>
      </c>
      <c r="L13" t="str">
        <f t="shared" si="4"/>
        <v/>
      </c>
    </row>
    <row r="14" spans="3:12">
      <c r="C14">
        <f t="shared" si="0"/>
        <v>120</v>
      </c>
      <c r="D14">
        <v>10</v>
      </c>
      <c r="E14" s="3">
        <f>INDEX(Calculations!W:W,MATCH(C14,Calculations!B:B,0),1)</f>
        <v>8079832.3766394211</v>
      </c>
      <c r="F14" s="3">
        <f>INDEX(Calculations!AH:AH,MATCH(C14,Calculations!B:B,0),1)</f>
        <v>6339495.3406847315</v>
      </c>
      <c r="G14" s="3">
        <f>INDEX(Calculations!T:T,MATCH(C14,Calculations!B:B,0),1)+INDEX(Calculations!N:N,MATCH(C14,Calculations!B:B,0),1)</f>
        <v>722283.05956624716</v>
      </c>
      <c r="H14" s="3">
        <f>INDEX(Calculations!AE:AE,MATCH(C14,Calculations!B:B,0),1)</f>
        <v>493200.00531423499</v>
      </c>
      <c r="I14" s="17">
        <f t="shared" si="1"/>
        <v>60190.254963853928</v>
      </c>
      <c r="J14" s="17">
        <f t="shared" si="2"/>
        <v>41100.000442852914</v>
      </c>
      <c r="K14" t="str">
        <f t="shared" si="3"/>
        <v/>
      </c>
      <c r="L14" t="str">
        <f t="shared" si="4"/>
        <v/>
      </c>
    </row>
    <row r="15" spans="3:12">
      <c r="C15">
        <f t="shared" si="0"/>
        <v>132</v>
      </c>
      <c r="D15">
        <v>11</v>
      </c>
      <c r="E15" s="3">
        <f>INDEX(Calculations!W:W,MATCH(C15,Calculations!B:B,0),1)</f>
        <v>9005904.7548586987</v>
      </c>
      <c r="F15" s="3">
        <f>INDEX(Calculations!AH:AH,MATCH(C15,Calculations!B:B,0),1)</f>
        <v>7068976.9211025666</v>
      </c>
      <c r="G15" s="3">
        <f>INDEX(Calculations!T:T,MATCH(C15,Calculations!B:B,0),1)+INDEX(Calculations!N:N,MATCH(C15,Calculations!B:B,0),1)</f>
        <v>732328.48031332321</v>
      </c>
      <c r="H15" s="3">
        <f>INDEX(Calculations!AE:AE,MATCH(C15,Calculations!B:B,0),1)</f>
        <v>517860.00557994738</v>
      </c>
      <c r="I15" s="17">
        <f t="shared" si="1"/>
        <v>61027.373359443598</v>
      </c>
      <c r="J15" s="17">
        <f t="shared" si="2"/>
        <v>43155.000464995617</v>
      </c>
      <c r="K15" t="str">
        <f t="shared" si="3"/>
        <v/>
      </c>
      <c r="L15" t="str">
        <f t="shared" si="4"/>
        <v/>
      </c>
    </row>
    <row r="16" spans="3:12">
      <c r="C16">
        <f t="shared" si="0"/>
        <v>144</v>
      </c>
      <c r="D16">
        <v>12</v>
      </c>
      <c r="E16" s="3">
        <f>INDEX(Calculations!W:W,MATCH(C16,Calculations!B:B,0),1)</f>
        <v>9977180.3543799557</v>
      </c>
      <c r="F16" s="3">
        <f>INDEX(Calculations!AH:AH,MATCH(C16,Calculations!B:B,0),1)</f>
        <v>7840889.2453299863</v>
      </c>
      <c r="G16" s="3">
        <f>INDEX(Calculations!T:T,MATCH(C16,Calculations!B:B,0),1)+INDEX(Calculations!N:N,MATCH(C16,Calculations!B:B,0),1)</f>
        <v>742844.52932631259</v>
      </c>
      <c r="H16" s="3">
        <f>INDEX(Calculations!AE:AE,MATCH(C16,Calculations!B:B,0),1)</f>
        <v>543753.00585894519</v>
      </c>
      <c r="I16" s="17">
        <f t="shared" si="1"/>
        <v>61903.710777192719</v>
      </c>
      <c r="J16" s="17">
        <f t="shared" si="2"/>
        <v>45312.75048824543</v>
      </c>
      <c r="K16" t="str">
        <f t="shared" si="3"/>
        <v/>
      </c>
      <c r="L16" t="str">
        <f t="shared" si="4"/>
        <v/>
      </c>
    </row>
    <row r="17" spans="3:12">
      <c r="C17">
        <f t="shared" si="0"/>
        <v>156</v>
      </c>
      <c r="D17">
        <v>13</v>
      </c>
      <c r="E17" s="3">
        <f>INDEX(Calculations!W:W,MATCH(C17,Calculations!B:B,0),1)</f>
        <v>10995870.258534919</v>
      </c>
      <c r="F17" s="3">
        <f>INDEX(Calculations!AH:AH,MATCH(C17,Calculations!B:B,0),1)</f>
        <v>8657796.7824671268</v>
      </c>
      <c r="G17" s="3">
        <f>INDEX(Calculations!T:T,MATCH(C17,Calculations!B:B,0),1)+INDEX(Calculations!N:N,MATCH(C17,Calculations!B:B,0),1)</f>
        <v>753853.94694922538</v>
      </c>
      <c r="H17" s="3">
        <f>INDEX(Calculations!AE:AE,MATCH(C17,Calculations!B:B,0),1)</f>
        <v>570940.6561518932</v>
      </c>
      <c r="I17" s="17">
        <f t="shared" si="1"/>
        <v>62821.162245768784</v>
      </c>
      <c r="J17" s="17">
        <f t="shared" si="2"/>
        <v>47578.388012657764</v>
      </c>
      <c r="K17" t="str">
        <f t="shared" si="3"/>
        <v/>
      </c>
      <c r="L17" t="str">
        <f t="shared" si="4"/>
        <v/>
      </c>
    </row>
    <row r="18" spans="3:12">
      <c r="C18">
        <f t="shared" si="0"/>
        <v>168</v>
      </c>
      <c r="D18">
        <v>14</v>
      </c>
      <c r="E18" s="3">
        <f>INDEX(Calculations!W:W,MATCH(C18,Calculations!B:B,0),1)</f>
        <v>12064293.915955009</v>
      </c>
      <c r="F18" s="3">
        <f>INDEX(Calculations!AH:AH,MATCH(C18,Calculations!B:B,0),1)</f>
        <v>9510568.2492204588</v>
      </c>
      <c r="G18" s="3">
        <f>INDEX(Calculations!T:T,MATCH(C18,Calculations!B:B,0),1)+INDEX(Calculations!N:N,MATCH(C18,Calculations!B:B,0),1)</f>
        <v>765380.5907665391</v>
      </c>
      <c r="H18" s="3">
        <f>INDEX(Calculations!AE:AE,MATCH(C18,Calculations!B:B,0),1)</f>
        <v>610538.49337469658</v>
      </c>
      <c r="I18" s="17">
        <f t="shared" si="1"/>
        <v>63781.715897211594</v>
      </c>
      <c r="J18" s="17">
        <f t="shared" si="2"/>
        <v>50878.207781224715</v>
      </c>
      <c r="K18" t="str">
        <f t="shared" si="3"/>
        <v/>
      </c>
      <c r="L18" t="str">
        <f t="shared" si="4"/>
        <v/>
      </c>
    </row>
    <row r="19" spans="3:12">
      <c r="C19">
        <f t="shared" si="0"/>
        <v>180</v>
      </c>
      <c r="D19">
        <v>15</v>
      </c>
      <c r="E19" s="3">
        <f>INDEX(Calculations!W:W,MATCH(C19,Calculations!B:B,0),1)</f>
        <v>13184884.461212844</v>
      </c>
      <c r="F19" s="3">
        <f>INDEX(Calculations!AH:AH,MATCH(C19,Calculations!B:B,0),1)</f>
        <v>10424873.093211334</v>
      </c>
      <c r="G19" s="3">
        <f>INDEX(Calculations!T:T,MATCH(C19,Calculations!B:B,0),1)+INDEX(Calculations!N:N,MATCH(C19,Calculations!B:B,0),1)</f>
        <v>777449.49097080552</v>
      </c>
      <c r="H19" s="3">
        <f>INDEX(Calculations!AE:AE,MATCH(C19,Calculations!B:B,0),1)</f>
        <v>629462.07340746373</v>
      </c>
      <c r="I19" s="17">
        <f t="shared" si="1"/>
        <v>64787.45758090046</v>
      </c>
      <c r="J19" s="17">
        <f t="shared" si="2"/>
        <v>52455.172783955313</v>
      </c>
      <c r="K19" t="str">
        <f t="shared" si="3"/>
        <v/>
      </c>
      <c r="L19" t="str">
        <f t="shared" si="4"/>
        <v/>
      </c>
    </row>
    <row r="20" spans="3:12">
      <c r="C20">
        <f t="shared" si="0"/>
        <v>192</v>
      </c>
      <c r="D20">
        <v>16</v>
      </c>
      <c r="E20" s="3">
        <f>INDEX(Calculations!W:W,MATCH(C20,Calculations!B:B,0),1)</f>
        <v>14360194.297141824</v>
      </c>
      <c r="F20" s="3">
        <f>INDEX(Calculations!AH:AH,MATCH(C20,Calculations!B:B,0),1)</f>
        <v>11392811.883829165</v>
      </c>
      <c r="G20" s="3">
        <f>INDEX(Calculations!T:T,MATCH(C20,Calculations!B:B,0),1)+INDEX(Calculations!N:N,MATCH(C20,Calculations!B:B,0),1)</f>
        <v>790086.90848627454</v>
      </c>
      <c r="H20" s="3">
        <f>INDEX(Calculations!AE:AE,MATCH(C20,Calculations!B:B,0),1)</f>
        <v>660935.17707783764</v>
      </c>
      <c r="I20" s="17">
        <f t="shared" si="1"/>
        <v>65840.57570718955</v>
      </c>
      <c r="J20" s="17">
        <f t="shared" si="2"/>
        <v>55077.931423153139</v>
      </c>
      <c r="K20" t="str">
        <f t="shared" si="3"/>
        <v/>
      </c>
      <c r="L20" t="str">
        <f t="shared" si="4"/>
        <v/>
      </c>
    </row>
    <row r="21" spans="3:12">
      <c r="C21">
        <f t="shared" si="0"/>
        <v>204</v>
      </c>
      <c r="D21">
        <v>17</v>
      </c>
      <c r="E21" s="3">
        <f>INDEX(Calculations!W:W,MATCH(C21,Calculations!B:B,0),1)</f>
        <v>15592900.951723516</v>
      </c>
      <c r="F21" s="3">
        <f>INDEX(Calculations!AH:AH,MATCH(C21,Calculations!B:B,0),1)</f>
        <v>12417662.725240743</v>
      </c>
      <c r="G21" s="3">
        <f>INDEX(Calculations!T:T,MATCH(C21,Calculations!B:B,0),1)+INDEX(Calculations!N:N,MATCH(C21,Calculations!B:B,0),1)</f>
        <v>803320.39598603069</v>
      </c>
      <c r="H21" s="3">
        <f>INDEX(Calculations!AE:AE,MATCH(C21,Calculations!B:B,0),1)</f>
        <v>693981.9359317302</v>
      </c>
      <c r="I21" s="17">
        <f t="shared" si="1"/>
        <v>66943.366332169229</v>
      </c>
      <c r="J21" s="17">
        <f t="shared" si="2"/>
        <v>57831.82799431085</v>
      </c>
      <c r="K21" t="str">
        <f t="shared" si="3"/>
        <v/>
      </c>
      <c r="L21" t="str">
        <f t="shared" si="4"/>
        <v/>
      </c>
    </row>
    <row r="22" spans="3:12">
      <c r="C22">
        <f t="shared" si="0"/>
        <v>216</v>
      </c>
      <c r="D22">
        <v>18</v>
      </c>
      <c r="E22" s="3">
        <f>INDEX(Calculations!W:W,MATCH(C22,Calculations!B:B,0),1)</f>
        <v>16890727.357567802</v>
      </c>
      <c r="F22" s="3">
        <f>INDEX(Calculations!AH:AH,MATCH(C22,Calculations!B:B,0),1)</f>
        <v>13494964.98692424</v>
      </c>
      <c r="G22" s="3">
        <f>INDEX(Calculations!T:T,MATCH(C22,Calculations!B:B,0),1)+INDEX(Calculations!N:N,MATCH(C22,Calculations!B:B,0),1)</f>
        <v>817178.86194700119</v>
      </c>
      <c r="H22" s="3">
        <f>INDEX(Calculations!AE:AE,MATCH(C22,Calculations!B:B,0),1)</f>
        <v>740979.86775107065</v>
      </c>
      <c r="I22" s="17">
        <f t="shared" si="1"/>
        <v>68098.238495583428</v>
      </c>
      <c r="J22" s="17">
        <f t="shared" si="2"/>
        <v>61748.322312589218</v>
      </c>
      <c r="K22" t="str">
        <f t="shared" si="3"/>
        <v/>
      </c>
      <c r="L22" t="str">
        <f t="shared" si="4"/>
        <v/>
      </c>
    </row>
    <row r="23" spans="3:12">
      <c r="C23">
        <f t="shared" si="0"/>
        <v>228</v>
      </c>
      <c r="D23">
        <v>19</v>
      </c>
      <c r="E23" s="3">
        <f>INDEX(Calculations!W:W,MATCH(C23,Calculations!B:B,0),1)</f>
        <v>18247184.891941793</v>
      </c>
      <c r="F23" s="3">
        <f>INDEX(Calculations!AH:AH,MATCH(C23,Calculations!B:B,0),1)</f>
        <v>14643695.304645611</v>
      </c>
      <c r="G23" s="3">
        <f>INDEX(Calculations!T:T,MATCH(C23,Calculations!B:B,0),1)+INDEX(Calculations!N:N,MATCH(C23,Calculations!B:B,0),1)</f>
        <v>831692.63789440272</v>
      </c>
      <c r="H23" s="3">
        <f>INDEX(Calculations!AE:AE,MATCH(C23,Calculations!B:B,0),1)</f>
        <v>765115.08436473424</v>
      </c>
      <c r="I23" s="17">
        <f t="shared" si="1"/>
        <v>69307.71982453356</v>
      </c>
      <c r="J23" s="17">
        <f t="shared" si="2"/>
        <v>63759.590363727853</v>
      </c>
      <c r="K23" t="str">
        <f t="shared" si="3"/>
        <v/>
      </c>
      <c r="L23" t="str">
        <f t="shared" si="4"/>
        <v/>
      </c>
    </row>
    <row r="24" spans="3:12">
      <c r="C24">
        <f t="shared" si="0"/>
        <v>240</v>
      </c>
      <c r="D24">
        <v>20</v>
      </c>
      <c r="E24" s="3">
        <f>INDEX(Calculations!W:W,MATCH(C24,Calculations!B:B,0),1)</f>
        <v>19669917.006393373</v>
      </c>
      <c r="F24" s="3">
        <f>INDEX(Calculations!AH:AH,MATCH(C24,Calculations!B:B,0),1)</f>
        <v>15860443.278821902</v>
      </c>
      <c r="G24" s="3">
        <f>INDEX(Calculations!T:T,MATCH(C24,Calculations!B:B,0),1)+INDEX(Calculations!N:N,MATCH(C24,Calculations!B:B,0),1)</f>
        <v>846893.54899476608</v>
      </c>
      <c r="H24" s="3">
        <f>INDEX(Calculations!AE:AE,MATCH(C24,Calculations!B:B,0),1)</f>
        <v>803370.83858297172</v>
      </c>
      <c r="I24" s="17">
        <f t="shared" si="1"/>
        <v>70574.462416230512</v>
      </c>
      <c r="J24" s="17">
        <f t="shared" si="2"/>
        <v>66947.569881914314</v>
      </c>
      <c r="K24" t="str">
        <f t="shared" si="3"/>
        <v/>
      </c>
      <c r="L24" t="str">
        <f t="shared" si="4"/>
        <v/>
      </c>
    </row>
    <row r="25" spans="3:12">
      <c r="C25">
        <f t="shared" si="0"/>
        <v>252</v>
      </c>
      <c r="D25">
        <v>21</v>
      </c>
      <c r="E25" s="3">
        <f>INDEX(Calculations!W:W,MATCH(C25,Calculations!B:B,0),1)</f>
        <v>21162168.793401074</v>
      </c>
      <c r="F25" s="3">
        <f>INDEX(Calculations!AH:AH,MATCH(C25,Calculations!B:B,0),1)</f>
        <v>17149416.66857893</v>
      </c>
      <c r="G25" s="3">
        <f>INDEX(Calculations!T:T,MATCH(C25,Calculations!B:B,0),1)+INDEX(Calculations!N:N,MATCH(C25,Calculations!B:B,0),1)</f>
        <v>862816.31311109941</v>
      </c>
      <c r="H25" s="3">
        <f>INDEX(Calculations!AE:AE,MATCH(C25,Calculations!B:B,0),1)</f>
        <v>843539.38051212125</v>
      </c>
      <c r="I25" s="17">
        <f t="shared" si="1"/>
        <v>71901.359425924951</v>
      </c>
      <c r="J25" s="17">
        <f t="shared" si="2"/>
        <v>70294.948376010099</v>
      </c>
      <c r="K25" t="str">
        <f t="shared" si="3"/>
        <v/>
      </c>
      <c r="L25" t="str">
        <f t="shared" si="4"/>
        <v/>
      </c>
    </row>
    <row r="26" spans="3:12">
      <c r="C26">
        <f t="shared" si="0"/>
        <v>264</v>
      </c>
      <c r="D26">
        <v>22</v>
      </c>
      <c r="E26" s="3">
        <f>INDEX(Calculations!W:W,MATCH(C26,Calculations!B:B,0),1)</f>
        <v>22747395.188280251</v>
      </c>
      <c r="F26" s="3">
        <f>INDEX(Calculations!AH:AH,MATCH(C26,Calculations!B:B,0),1)</f>
        <v>18522415.755206764</v>
      </c>
      <c r="G26" s="3">
        <f>INDEX(Calculations!T:T,MATCH(C26,Calculations!B:B,0),1)+INDEX(Calculations!N:N,MATCH(C26,Calculations!B:B,0),1)</f>
        <v>880688.97626613139</v>
      </c>
      <c r="H26" s="3">
        <f>INDEX(Calculations!AE:AE,MATCH(C26,Calculations!B:B,0),1)</f>
        <v>899404.16240940825</v>
      </c>
      <c r="I26" s="17">
        <f t="shared" si="1"/>
        <v>73390.74802217762</v>
      </c>
      <c r="J26" s="17">
        <f t="shared" si="2"/>
        <v>74950.346867450688</v>
      </c>
      <c r="K26" t="str">
        <f t="shared" si="3"/>
        <v/>
      </c>
      <c r="L26">
        <f t="shared" si="4"/>
        <v>22</v>
      </c>
    </row>
    <row r="27" spans="3:12">
      <c r="C27">
        <f t="shared" si="0"/>
        <v>276</v>
      </c>
      <c r="D27">
        <v>23</v>
      </c>
      <c r="E27" s="3">
        <f>INDEX(Calculations!W:W,MATCH(C27,Calculations!B:B,0),1)</f>
        <v>24421170.315934293</v>
      </c>
      <c r="F27" s="3">
        <f>INDEX(Calculations!AH:AH,MATCH(C27,Calculations!B:B,0),1)</f>
        <v>20004209.015623294</v>
      </c>
      <c r="G27" s="3">
        <f>INDEX(Calculations!T:T,MATCH(C27,Calculations!B:B,0),1)+INDEX(Calculations!N:N,MATCH(C27,Calculations!B:B,0),1)</f>
        <v>900406.08420614561</v>
      </c>
      <c r="H27" s="3">
        <f>INDEX(Calculations!AE:AE,MATCH(C27,Calculations!B:B,0),1)</f>
        <v>930002.16701461584</v>
      </c>
      <c r="I27" s="17">
        <f t="shared" si="1"/>
        <v>75033.840350512139</v>
      </c>
      <c r="J27" s="17">
        <f t="shared" si="2"/>
        <v>77500.180584551315</v>
      </c>
      <c r="K27" t="str">
        <f t="shared" si="3"/>
        <v/>
      </c>
      <c r="L27">
        <f t="shared" si="4"/>
        <v>23</v>
      </c>
    </row>
    <row r="28" spans="3:12">
      <c r="C28">
        <f t="shared" si="0"/>
        <v>288</v>
      </c>
      <c r="D28">
        <v>24</v>
      </c>
      <c r="E28" s="3">
        <f>INDEX(Calculations!W:W,MATCH(C28,Calculations!B:B,0),1)</f>
        <v>26204533.6648378</v>
      </c>
      <c r="F28" s="3">
        <f>INDEX(Calculations!AH:AH,MATCH(C28,Calculations!B:B,0),1)</f>
        <v>21604545.736873154</v>
      </c>
      <c r="G28" s="3">
        <f>INDEX(Calculations!T:T,MATCH(C28,Calculations!B:B,0),1)+INDEX(Calculations!N:N,MATCH(C28,Calculations!B:B,0),1)</f>
        <v>921054.35357544315</v>
      </c>
      <c r="H28" s="3">
        <f>INDEX(Calculations!AE:AE,MATCH(C28,Calculations!B:B,0),1)</f>
        <v>976502.27536534774</v>
      </c>
      <c r="I28" s="17">
        <f t="shared" si="1"/>
        <v>76754.529464620267</v>
      </c>
      <c r="J28" s="17">
        <f t="shared" si="2"/>
        <v>81375.189613778974</v>
      </c>
      <c r="K28" t="str">
        <f t="shared" si="3"/>
        <v/>
      </c>
      <c r="L28">
        <f t="shared" si="4"/>
        <v>24</v>
      </c>
    </row>
    <row r="29" spans="3:12">
      <c r="C29">
        <f t="shared" si="0"/>
        <v>300</v>
      </c>
      <c r="D29">
        <v>25</v>
      </c>
      <c r="E29" s="3">
        <f>INDEX(Calculations!W:W,MATCH(C29,Calculations!B:B,0),1)</f>
        <v>28105160.686019603</v>
      </c>
      <c r="F29" s="3">
        <f>INDEX(Calculations!AH:AH,MATCH(C29,Calculations!B:B,0),1)</f>
        <v>23332909.395822994</v>
      </c>
      <c r="G29" s="3">
        <f>INDEX(Calculations!T:T,MATCH(C29,Calculations!B:B,0),1)+INDEX(Calculations!N:N,MATCH(C29,Calculations!B:B,0),1)</f>
        <v>942678.73719231749</v>
      </c>
      <c r="H29" s="3">
        <f>INDEX(Calculations!AE:AE,MATCH(C29,Calculations!B:B,0),1)</f>
        <v>1025327.3891336164</v>
      </c>
      <c r="I29" s="17">
        <f t="shared" si="1"/>
        <v>78556.561432693125</v>
      </c>
      <c r="J29" s="17">
        <f t="shared" si="2"/>
        <v>85443.949094468029</v>
      </c>
      <c r="K29" t="str">
        <f t="shared" si="3"/>
        <v/>
      </c>
      <c r="L29">
        <f t="shared" si="4"/>
        <v>25</v>
      </c>
    </row>
    <row r="30" spans="3:12">
      <c r="C30">
        <f t="shared" si="0"/>
        <v>312</v>
      </c>
      <c r="D30">
        <v>26</v>
      </c>
      <c r="E30" s="3">
        <f>INDEX(Calculations!W:W,MATCH(C30,Calculations!B:B,0),1)</f>
        <v>30131290.934625641</v>
      </c>
      <c r="F30" s="3">
        <f>INDEX(Calculations!AH:AH,MATCH(C30,Calculations!B:B,0),1)</f>
        <v>25199542.147488825</v>
      </c>
      <c r="G30" s="3">
        <f>INDEX(Calculations!T:T,MATCH(C30,Calculations!B:B,0),1)+INDEX(Calculations!N:N,MATCH(C30,Calculations!B:B,0),1)</f>
        <v>965326.384774131</v>
      </c>
      <c r="H30" s="3">
        <f>INDEX(Calculations!AE:AE,MATCH(C30,Calculations!B:B,0),1)</f>
        <v>1076593.7585902982</v>
      </c>
      <c r="I30" s="17">
        <f t="shared" si="1"/>
        <v>80443.865397844245</v>
      </c>
      <c r="J30" s="17">
        <f t="shared" si="2"/>
        <v>89716.146549191515</v>
      </c>
      <c r="K30" t="str">
        <f t="shared" si="3"/>
        <v/>
      </c>
      <c r="L30">
        <f t="shared" si="4"/>
        <v>26</v>
      </c>
    </row>
    <row r="31" spans="3:12">
      <c r="C31">
        <f t="shared" si="0"/>
        <v>324</v>
      </c>
      <c r="D31">
        <v>27</v>
      </c>
      <c r="E31" s="3">
        <f>INDEX(Calculations!W:W,MATCH(C31,Calculations!B:B,0),1)</f>
        <v>32308118.057054773</v>
      </c>
      <c r="F31" s="3">
        <f>INDEX(Calculations!AH:AH,MATCH(C31,Calculations!B:B,0),1)</f>
        <v>27215505.519287929</v>
      </c>
      <c r="G31" s="3">
        <f>INDEX(Calculations!T:T,MATCH(C31,Calculations!B:B,0),1)+INDEX(Calculations!N:N,MATCH(C31,Calculations!B:B,0),1)</f>
        <v>989046.75104049081</v>
      </c>
      <c r="H31" s="3">
        <f>INDEX(Calculations!AE:AE,MATCH(C31,Calculations!B:B,0),1)</f>
        <v>1145657.1024606826</v>
      </c>
      <c r="I31" s="17">
        <f t="shared" si="1"/>
        <v>82420.562586707572</v>
      </c>
      <c r="J31" s="17">
        <f t="shared" si="2"/>
        <v>95471.42520505689</v>
      </c>
      <c r="K31" t="str">
        <f t="shared" si="3"/>
        <v/>
      </c>
      <c r="L31">
        <f t="shared" si="4"/>
        <v>27</v>
      </c>
    </row>
    <row r="32" spans="3:12">
      <c r="C32">
        <f t="shared" si="0"/>
        <v>336</v>
      </c>
      <c r="D32">
        <v>28</v>
      </c>
      <c r="E32" s="3">
        <f>INDEX(Calculations!W:W,MATCH(C32,Calculations!B:B,0),1)</f>
        <v>34613755.018046297</v>
      </c>
      <c r="F32" s="3">
        <f>INDEX(Calculations!AH:AH,MATCH(C32,Calculations!B:B,0),1)</f>
        <v>29392745.960830953</v>
      </c>
      <c r="G32" s="3">
        <f>INDEX(Calculations!T:T,MATCH(C32,Calculations!B:B,0),1)+INDEX(Calculations!N:N,MATCH(C32,Calculations!B:B,0),1)</f>
        <v>1013891.7091569377</v>
      </c>
      <c r="H32" s="3">
        <f>INDEX(Calculations!AE:AE,MATCH(C32,Calculations!B:B,0),1)</f>
        <v>1186944.6188458067</v>
      </c>
      <c r="I32" s="17">
        <f t="shared" si="1"/>
        <v>84490.975763078139</v>
      </c>
      <c r="J32" s="17">
        <f t="shared" si="2"/>
        <v>98912.051570483891</v>
      </c>
      <c r="K32" t="str">
        <f t="shared" si="3"/>
        <v/>
      </c>
      <c r="L32">
        <f t="shared" si="4"/>
        <v>28</v>
      </c>
    </row>
    <row r="33" spans="3:12">
      <c r="C33">
        <f t="shared" si="0"/>
        <v>348</v>
      </c>
      <c r="D33">
        <v>29</v>
      </c>
      <c r="E33" s="3">
        <f>INDEX(Calculations!W:W,MATCH(C33,Calculations!B:B,0),1)</f>
        <v>37073548.135311447</v>
      </c>
      <c r="F33" s="3">
        <f>INDEX(Calculations!AH:AH,MATCH(C33,Calculations!B:B,0),1)</f>
        <v>31744165.637697417</v>
      </c>
      <c r="G33" s="3">
        <f>INDEX(Calculations!T:T,MATCH(C33,Calculations!B:B,0),1)+INDEX(Calculations!N:N,MATCH(C33,Calculations!B:B,0),1)</f>
        <v>1039915.6697836086</v>
      </c>
      <c r="H33" s="3">
        <f>INDEX(Calculations!AE:AE,MATCH(C33,Calculations!B:B,0),1)</f>
        <v>1246291.8497880981</v>
      </c>
      <c r="I33" s="17">
        <f t="shared" si="1"/>
        <v>86659.639148634058</v>
      </c>
      <c r="J33" s="17">
        <f t="shared" si="2"/>
        <v>103857.65414900817</v>
      </c>
      <c r="K33" t="str">
        <f t="shared" si="3"/>
        <v/>
      </c>
      <c r="L33">
        <f t="shared" si="4"/>
        <v>29</v>
      </c>
    </row>
    <row r="34" spans="3:12">
      <c r="C34">
        <f t="shared" si="0"/>
        <v>360</v>
      </c>
      <c r="D34">
        <v>30</v>
      </c>
      <c r="E34" s="3">
        <f>INDEX(Calculations!W:W,MATCH(C34,Calculations!B:B,0),1)</f>
        <v>39698872.622215174</v>
      </c>
      <c r="F34" s="3">
        <f>INDEX(Calculations!AH:AH,MATCH(C34,Calculations!B:B,0),1)</f>
        <v>34283698.888713196</v>
      </c>
      <c r="G34" s="3">
        <f>INDEX(Calculations!T:T,MATCH(C34,Calculations!B:B,0),1)+INDEX(Calculations!N:N,MATCH(C34,Calculations!B:B,0),1)</f>
        <v>1066773.3709794641</v>
      </c>
      <c r="H34" s="3">
        <f>INDEX(Calculations!AE:AE,MATCH(C34,Calculations!B:B,0),1)</f>
        <v>1308606.4422775046</v>
      </c>
      <c r="I34" s="17">
        <f t="shared" si="1"/>
        <v>88897.78091495535</v>
      </c>
      <c r="J34" s="17">
        <f t="shared" si="2"/>
        <v>109050.53685645871</v>
      </c>
      <c r="K34" t="str">
        <f t="shared" si="3"/>
        <v/>
      </c>
      <c r="L34">
        <f t="shared" si="4"/>
        <v>30</v>
      </c>
    </row>
    <row r="35" spans="3:12">
      <c r="C35">
        <f t="shared" si="0"/>
        <v>372</v>
      </c>
      <c r="D35">
        <v>31</v>
      </c>
      <c r="E35" s="3">
        <f>INDEX(Calculations!W:W,MATCH(C35,Calculations!B:B,0),1)</f>
        <v>42568694.168133244</v>
      </c>
      <c r="F35" s="3">
        <f>INDEX(Calculations!AH:AH,MATCH(C35,Calculations!B:B,0),1)</f>
        <v>37026394.799810238</v>
      </c>
      <c r="G35" s="3">
        <f>INDEX(Calculations!T:T,MATCH(C35,Calculations!B:B,0),1)+INDEX(Calculations!N:N,MATCH(C35,Calculations!B:B,0),1)</f>
        <v>576543.46554994886</v>
      </c>
      <c r="H35" s="3">
        <f>INDEX(Calculations!AE:AE,MATCH(C35,Calculations!B:B,0),1)</f>
        <v>1390990.8443090648</v>
      </c>
      <c r="I35" s="17">
        <f t="shared" si="1"/>
        <v>48045.288795829074</v>
      </c>
      <c r="J35" s="17">
        <f t="shared" si="2"/>
        <v>115915.90369242207</v>
      </c>
      <c r="K35" t="str">
        <f t="shared" si="3"/>
        <v/>
      </c>
      <c r="L35">
        <f t="shared" si="4"/>
        <v>31</v>
      </c>
    </row>
    <row r="36" spans="3:12">
      <c r="C36">
        <f t="shared" si="0"/>
        <v>384</v>
      </c>
      <c r="D36">
        <v>32</v>
      </c>
      <c r="E36" s="3">
        <f>INDEX(Calculations!W:W,MATCH(C36,Calculations!B:B,0),1)</f>
        <v>45636499.897565715</v>
      </c>
      <c r="F36" s="3">
        <f>INDEX(Calculations!AH:AH,MATCH(C36,Calculations!B:B,0),1)</f>
        <v>39988506.383795045</v>
      </c>
      <c r="G36" s="3">
        <f>INDEX(Calculations!T:T,MATCH(C36,Calculations!B:B,0),1)+INDEX(Calculations!N:N,MATCH(C36,Calculations!B:B,0),1)</f>
        <v>603129.27384201041</v>
      </c>
      <c r="H36" s="3">
        <f>INDEX(Calculations!AE:AE,MATCH(C36,Calculations!B:B,0),1)</f>
        <v>1442738.6026109522</v>
      </c>
      <c r="I36" s="17">
        <f t="shared" si="1"/>
        <v>50260.772820167535</v>
      </c>
      <c r="J36" s="17">
        <f t="shared" si="2"/>
        <v>120228.21688424602</v>
      </c>
      <c r="K36" t="str">
        <f t="shared" si="3"/>
        <v/>
      </c>
      <c r="L36">
        <f t="shared" si="4"/>
        <v>32</v>
      </c>
    </row>
    <row r="37" spans="3:12">
      <c r="C37">
        <f t="shared" ref="C37:C64" si="5">D37*12</f>
        <v>396</v>
      </c>
      <c r="D37">
        <v>33</v>
      </c>
      <c r="E37" s="3">
        <f>INDEX(Calculations!W:W,MATCH(C37,Calculations!B:B,0),1)</f>
        <v>48935222.714871168</v>
      </c>
      <c r="F37" s="3">
        <f>INDEX(Calculations!AH:AH,MATCH(C37,Calculations!B:B,0),1)</f>
        <v>43187586.894498631</v>
      </c>
      <c r="G37" s="3">
        <f>INDEX(Calculations!T:T,MATCH(C37,Calculations!B:B,0),1)+INDEX(Calculations!N:N,MATCH(C37,Calculations!B:B,0),1)</f>
        <v>630991.22592403926</v>
      </c>
      <c r="H37" s="3">
        <f>INDEX(Calculations!AE:AE,MATCH(C37,Calculations!B:B,0),1)</f>
        <v>1514875.5327415015</v>
      </c>
      <c r="I37" s="17">
        <f t="shared" ref="I37:I64" si="6">IF(G37&gt;0,G37/12,"")</f>
        <v>52582.602160336603</v>
      </c>
      <c r="J37" s="17">
        <f t="shared" ref="J37:J64" si="7">IF(H37&gt;0,H37/12,"")</f>
        <v>126239.62772845845</v>
      </c>
      <c r="K37" t="str">
        <f t="shared" si="3"/>
        <v/>
      </c>
      <c r="L37">
        <f t="shared" si="4"/>
        <v>33</v>
      </c>
    </row>
    <row r="38" spans="3:12">
      <c r="C38">
        <f t="shared" si="5"/>
        <v>408</v>
      </c>
      <c r="D38">
        <v>34</v>
      </c>
      <c r="E38" s="3">
        <f>INDEX(Calculations!W:W,MATCH(C38,Calculations!B:B,0),1)</f>
        <v>52482667.054644398</v>
      </c>
      <c r="F38" s="3">
        <f>INDEX(Calculations!AH:AH,MATCH(C38,Calculations!B:B,0),1)</f>
        <v>46642593.846058518</v>
      </c>
      <c r="G38" s="3">
        <f>INDEX(Calculations!T:T,MATCH(C38,Calculations!B:B,0),1)+INDEX(Calculations!N:N,MATCH(C38,Calculations!B:B,0),1)</f>
        <v>660191.80031991762</v>
      </c>
      <c r="H38" s="3">
        <f>INDEX(Calculations!AE:AE,MATCH(C38,Calculations!B:B,0),1)</f>
        <v>1590619.3093785781</v>
      </c>
      <c r="I38" s="17">
        <f t="shared" si="6"/>
        <v>55015.983359993137</v>
      </c>
      <c r="J38" s="17">
        <f t="shared" si="7"/>
        <v>132551.60911488152</v>
      </c>
      <c r="K38" t="str">
        <f t="shared" si="3"/>
        <v/>
      </c>
      <c r="L38">
        <f t="shared" si="4"/>
        <v>34</v>
      </c>
    </row>
    <row r="39" spans="3:12">
      <c r="C39">
        <f t="shared" si="5"/>
        <v>420</v>
      </c>
      <c r="D39">
        <v>35</v>
      </c>
      <c r="E39" s="3">
        <f>INDEX(Calculations!W:W,MATCH(C39,Calculations!B:B,0),1)</f>
        <v>56317265.027403824</v>
      </c>
      <c r="F39" s="3">
        <f>INDEX(Calculations!AH:AH,MATCH(C39,Calculations!B:B,0),1)</f>
        <v>50374001.353743173</v>
      </c>
      <c r="G39" s="3">
        <f>INDEX(Calculations!T:T,MATCH(C39,Calculations!B:B,0),1)+INDEX(Calculations!N:N,MATCH(C39,Calculations!B:B,0),1)</f>
        <v>690796.56626308174</v>
      </c>
      <c r="H39" s="3">
        <f>INDEX(Calculations!AE:AE,MATCH(C39,Calculations!B:B,0),1)</f>
        <v>1689019.0760709925</v>
      </c>
      <c r="I39" s="17">
        <f t="shared" si="6"/>
        <v>57566.380521923478</v>
      </c>
      <c r="J39" s="17">
        <f t="shared" si="7"/>
        <v>140751.58967258272</v>
      </c>
      <c r="K39" t="str">
        <f t="shared" si="3"/>
        <v/>
      </c>
      <c r="L39">
        <f t="shared" si="4"/>
        <v>35</v>
      </c>
    </row>
    <row r="40" spans="3:12">
      <c r="C40">
        <f t="shared" si="5"/>
        <v>432</v>
      </c>
      <c r="D40">
        <v>36</v>
      </c>
      <c r="E40" s="3">
        <f>INDEX(Calculations!W:W,MATCH(C40,Calculations!B:B,0),1)</f>
        <v>60422783.639649749</v>
      </c>
      <c r="F40" s="3">
        <f>INDEX(Calculations!AH:AH,MATCH(C40,Calculations!B:B,0),1)</f>
        <v>54403921.462042607</v>
      </c>
      <c r="G40" s="3">
        <f>INDEX(Calculations!T:T,MATCH(C40,Calculations!B:B,0),1)+INDEX(Calculations!N:N,MATCH(C40,Calculations!B:B,0),1)</f>
        <v>722874.33740158356</v>
      </c>
      <c r="H40" s="3">
        <f>INDEX(Calculations!AE:AE,MATCH(C40,Calculations!B:B,0),1)</f>
        <v>1753657.7885898864</v>
      </c>
      <c r="I40" s="17">
        <f t="shared" si="6"/>
        <v>60239.528116798632</v>
      </c>
      <c r="J40" s="17">
        <f t="shared" si="7"/>
        <v>146138.14904915719</v>
      </c>
      <c r="K40" t="str">
        <f t="shared" si="3"/>
        <v/>
      </c>
      <c r="L40">
        <f t="shared" si="4"/>
        <v>36</v>
      </c>
    </row>
    <row r="41" spans="3:12">
      <c r="C41">
        <f t="shared" si="5"/>
        <v>444</v>
      </c>
      <c r="D41">
        <v>37</v>
      </c>
      <c r="E41" s="3">
        <f>INDEX(Calculations!W:W,MATCH(C41,Calculations!B:B,0),1)</f>
        <v>64839362.082838871</v>
      </c>
      <c r="F41" s="3">
        <f>INDEX(Calculations!AH:AH,MATCH(C41,Calculations!B:B,0),1)</f>
        <v>58756235.179006003</v>
      </c>
      <c r="G41" s="3">
        <f>INDEX(Calculations!T:T,MATCH(C41,Calculations!B:B,0),1)+INDEX(Calculations!N:N,MATCH(C41,Calculations!B:B,0),1)</f>
        <v>756497.33316764422</v>
      </c>
      <c r="H41" s="3">
        <f>INDEX(Calculations!AE:AE,MATCH(C41,Calculations!B:B,0),1)</f>
        <v>1841340.678019383</v>
      </c>
      <c r="I41" s="17">
        <f t="shared" si="6"/>
        <v>63041.444430637021</v>
      </c>
      <c r="J41" s="17">
        <f t="shared" si="7"/>
        <v>153445.05650161524</v>
      </c>
      <c r="K41" t="str">
        <f t="shared" si="3"/>
        <v/>
      </c>
      <c r="L41">
        <f t="shared" si="4"/>
        <v>37</v>
      </c>
    </row>
    <row r="42" spans="3:12">
      <c r="C42">
        <f t="shared" si="5"/>
        <v>456</v>
      </c>
      <c r="D42">
        <v>38</v>
      </c>
      <c r="E42" s="3">
        <f>INDEX(Calculations!W:W,MATCH(C42,Calculations!B:B,0),1)</f>
        <v>69591078.355427474</v>
      </c>
      <c r="F42" s="3">
        <f>INDEX(Calculations!AH:AH,MATCH(C42,Calculations!B:B,0),1)</f>
        <v>63456733.99332647</v>
      </c>
      <c r="G42" s="3">
        <f>INDEX(Calculations!T:T,MATCH(C42,Calculations!B:B,0),1)+INDEX(Calculations!N:N,MATCH(C42,Calculations!B:B,0),1)</f>
        <v>791741.34819440718</v>
      </c>
      <c r="H42" s="3">
        <f>INDEX(Calculations!AE:AE,MATCH(C42,Calculations!B:B,0),1)</f>
        <v>1933407.711920354</v>
      </c>
      <c r="I42" s="17">
        <f t="shared" si="6"/>
        <v>65978.44568286727</v>
      </c>
      <c r="J42" s="17">
        <f t="shared" si="7"/>
        <v>161117.30932669618</v>
      </c>
      <c r="K42" t="str">
        <f t="shared" si="3"/>
        <v/>
      </c>
      <c r="L42">
        <f t="shared" si="4"/>
        <v>38</v>
      </c>
    </row>
    <row r="43" spans="3:12">
      <c r="C43">
        <f t="shared" si="5"/>
        <v>468</v>
      </c>
      <c r="D43">
        <v>39</v>
      </c>
      <c r="E43" s="3">
        <f>INDEX(Calculations!W:W,MATCH(C43,Calculations!B:B,0),1)</f>
        <v>74703897.913719341</v>
      </c>
      <c r="F43" s="3">
        <f>INDEX(Calculations!AH:AH,MATCH(C43,Calculations!B:B,0),1)</f>
        <v>68533272.71279256</v>
      </c>
      <c r="G43" s="3">
        <f>INDEX(Calculations!T:T,MATCH(C43,Calculations!B:B,0),1)+INDEX(Calculations!N:N,MATCH(C43,Calculations!B:B,0),1)</f>
        <v>828685.93018171797</v>
      </c>
      <c r="H43" s="3">
        <f>INDEX(Calculations!AE:AE,MATCH(C43,Calculations!B:B,0),1)</f>
        <v>2030078.0975163742</v>
      </c>
      <c r="I43" s="17">
        <f t="shared" si="6"/>
        <v>69057.160848476502</v>
      </c>
      <c r="J43" s="17">
        <f t="shared" si="7"/>
        <v>169173.17479303118</v>
      </c>
      <c r="K43" t="str">
        <f t="shared" si="3"/>
        <v/>
      </c>
      <c r="L43">
        <f t="shared" si="4"/>
        <v>39</v>
      </c>
    </row>
    <row r="44" spans="3:12">
      <c r="C44">
        <f t="shared" si="5"/>
        <v>480</v>
      </c>
      <c r="D44">
        <v>40</v>
      </c>
      <c r="E44" s="3">
        <f>INDEX(Calculations!W:W,MATCH(C44,Calculations!B:B,0),1)</f>
        <v>79496191.934496254</v>
      </c>
      <c r="F44" s="3">
        <f>INDEX(Calculations!AH:AH,MATCH(C44,Calculations!B:B,0),1)</f>
        <v>74271374.293669149</v>
      </c>
      <c r="G44" s="3">
        <f>INDEX(Calculations!T:T,MATCH(C44,Calculations!B:B,0),1)+INDEX(Calculations!N:N,MATCH(C44,Calculations!B:B,0),1)</f>
        <v>1491758.0775642497</v>
      </c>
      <c r="H44" s="3">
        <f>INDEX(Calculations!AE:AE,MATCH(C44,Calculations!B:B,0),1)</f>
        <v>1789319.9238929832</v>
      </c>
      <c r="I44" s="17">
        <f t="shared" si="6"/>
        <v>124313.17313035415</v>
      </c>
      <c r="J44" s="17">
        <f t="shared" si="7"/>
        <v>149109.99365774859</v>
      </c>
      <c r="K44" t="str">
        <f t="shared" si="3"/>
        <v/>
      </c>
      <c r="L44">
        <f t="shared" si="4"/>
        <v>40</v>
      </c>
    </row>
    <row r="45" spans="3:12">
      <c r="C45">
        <f t="shared" si="5"/>
        <v>492</v>
      </c>
      <c r="D45">
        <v>41</v>
      </c>
      <c r="E45" s="3">
        <f>INDEX(Calculations!W:W,MATCH(C45,Calculations!B:B,0),1)</f>
        <v>0</v>
      </c>
      <c r="F45" s="3" t="str">
        <f>INDEX(Calculations!AH:AH,MATCH(C45,Calculations!B:B,0),1)</f>
        <v xml:space="preserve"> </v>
      </c>
      <c r="G45" s="3">
        <f>INDEX(Calculations!T:T,MATCH(C45,Calculations!B:B,0),1)+INDEX(Calculations!N:N,MATCH(C45,Calculations!B:B,0),1)</f>
        <v>0</v>
      </c>
      <c r="H45" s="3">
        <f>INDEX(Calculations!AE:AE,MATCH(C45,Calculations!B:B,0),1)</f>
        <v>0</v>
      </c>
      <c r="I45" s="17" t="str">
        <f t="shared" si="6"/>
        <v/>
      </c>
      <c r="J45" s="17" t="str">
        <f t="shared" si="7"/>
        <v/>
      </c>
      <c r="K45">
        <f>IF(AND(F45&gt;E45,F45&lt;&gt;""),D45,"")</f>
        <v>41</v>
      </c>
      <c r="L45" t="str">
        <f t="shared" si="4"/>
        <v/>
      </c>
    </row>
    <row r="46" spans="3:12">
      <c r="C46">
        <f t="shared" si="5"/>
        <v>504</v>
      </c>
      <c r="D46">
        <v>42</v>
      </c>
      <c r="E46" s="3">
        <f>INDEX(Calculations!W:W,MATCH(C46,Calculations!B:B,0),1)</f>
        <v>0</v>
      </c>
      <c r="F46" s="3" t="str">
        <f>INDEX(Calculations!AH:AH,MATCH(C46,Calculations!B:B,0),1)</f>
        <v xml:space="preserve"> </v>
      </c>
      <c r="G46" s="3">
        <f>INDEX(Calculations!T:T,MATCH(C46,Calculations!B:B,0),1)+INDEX(Calculations!N:N,MATCH(C46,Calculations!B:B,0),1)</f>
        <v>0</v>
      </c>
      <c r="H46" s="3">
        <f>INDEX(Calculations!AE:AE,MATCH(C46,Calculations!B:B,0),1)</f>
        <v>0</v>
      </c>
      <c r="I46" s="17" t="str">
        <f t="shared" si="6"/>
        <v/>
      </c>
      <c r="J46" s="17" t="str">
        <f t="shared" si="7"/>
        <v/>
      </c>
      <c r="K46">
        <f t="shared" si="3"/>
        <v>42</v>
      </c>
      <c r="L46" t="str">
        <f t="shared" si="4"/>
        <v/>
      </c>
    </row>
    <row r="47" spans="3:12">
      <c r="C47">
        <f t="shared" si="5"/>
        <v>516</v>
      </c>
      <c r="D47">
        <v>43</v>
      </c>
      <c r="E47" s="3">
        <f>INDEX(Calculations!W:W,MATCH(C47,Calculations!B:B,0),1)</f>
        <v>0</v>
      </c>
      <c r="F47" s="3" t="str">
        <f>INDEX(Calculations!AH:AH,MATCH(C47,Calculations!B:B,0),1)</f>
        <v xml:space="preserve"> </v>
      </c>
      <c r="G47" s="3">
        <f>INDEX(Calculations!T:T,MATCH(C47,Calculations!B:B,0),1)+INDEX(Calculations!N:N,MATCH(C47,Calculations!B:B,0),1)</f>
        <v>0</v>
      </c>
      <c r="H47" s="3">
        <f>INDEX(Calculations!AE:AE,MATCH(C47,Calculations!B:B,0),1)</f>
        <v>0</v>
      </c>
      <c r="I47" s="17" t="str">
        <f t="shared" si="6"/>
        <v/>
      </c>
      <c r="J47" s="17" t="str">
        <f t="shared" si="7"/>
        <v/>
      </c>
      <c r="K47">
        <f t="shared" si="3"/>
        <v>43</v>
      </c>
      <c r="L47" t="str">
        <f t="shared" si="4"/>
        <v/>
      </c>
    </row>
    <row r="48" spans="3:12">
      <c r="C48">
        <f t="shared" si="5"/>
        <v>528</v>
      </c>
      <c r="D48">
        <v>44</v>
      </c>
      <c r="E48" s="3">
        <f>INDEX(Calculations!W:W,MATCH(C48,Calculations!B:B,0),1)</f>
        <v>0</v>
      </c>
      <c r="F48" s="3" t="str">
        <f>INDEX(Calculations!AH:AH,MATCH(C48,Calculations!B:B,0),1)</f>
        <v xml:space="preserve"> </v>
      </c>
      <c r="G48" s="3">
        <f>INDEX(Calculations!T:T,MATCH(C48,Calculations!B:B,0),1)+INDEX(Calculations!N:N,MATCH(C48,Calculations!B:B,0),1)</f>
        <v>0</v>
      </c>
      <c r="H48" s="3">
        <f>INDEX(Calculations!AE:AE,MATCH(C48,Calculations!B:B,0),1)</f>
        <v>0</v>
      </c>
      <c r="I48" s="17" t="str">
        <f t="shared" si="6"/>
        <v/>
      </c>
      <c r="J48" s="17" t="str">
        <f t="shared" si="7"/>
        <v/>
      </c>
      <c r="K48">
        <f t="shared" si="3"/>
        <v>44</v>
      </c>
      <c r="L48" t="str">
        <f t="shared" si="4"/>
        <v/>
      </c>
    </row>
    <row r="49" spans="3:12">
      <c r="C49">
        <f t="shared" si="5"/>
        <v>540</v>
      </c>
      <c r="D49">
        <v>45</v>
      </c>
      <c r="E49" s="3">
        <f>INDEX(Calculations!W:W,MATCH(C49,Calculations!B:B,0),1)</f>
        <v>0</v>
      </c>
      <c r="F49" s="3" t="str">
        <f>INDEX(Calculations!AH:AH,MATCH(C49,Calculations!B:B,0),1)</f>
        <v xml:space="preserve"> </v>
      </c>
      <c r="G49" s="3">
        <f>INDEX(Calculations!T:T,MATCH(C49,Calculations!B:B,0),1)+INDEX(Calculations!N:N,MATCH(C49,Calculations!B:B,0),1)</f>
        <v>0</v>
      </c>
      <c r="H49" s="3">
        <f>INDEX(Calculations!AE:AE,MATCH(C49,Calculations!B:B,0),1)</f>
        <v>0</v>
      </c>
      <c r="I49" s="17" t="str">
        <f t="shared" si="6"/>
        <v/>
      </c>
      <c r="J49" s="17" t="str">
        <f t="shared" si="7"/>
        <v/>
      </c>
      <c r="K49">
        <f t="shared" si="3"/>
        <v>45</v>
      </c>
      <c r="L49" t="str">
        <f t="shared" si="4"/>
        <v/>
      </c>
    </row>
    <row r="50" spans="3:12">
      <c r="C50">
        <f t="shared" si="5"/>
        <v>552</v>
      </c>
      <c r="D50">
        <v>46</v>
      </c>
      <c r="E50" s="3">
        <f>INDEX(Calculations!W:W,MATCH(C50,Calculations!B:B,0),1)</f>
        <v>0</v>
      </c>
      <c r="F50" s="3" t="str">
        <f>INDEX(Calculations!AH:AH,MATCH(C50,Calculations!B:B,0),1)</f>
        <v xml:space="preserve"> </v>
      </c>
      <c r="G50" s="3">
        <f>INDEX(Calculations!T:T,MATCH(C50,Calculations!B:B,0),1)+INDEX(Calculations!N:N,MATCH(C50,Calculations!B:B,0),1)</f>
        <v>0</v>
      </c>
      <c r="H50" s="3">
        <f>INDEX(Calculations!AE:AE,MATCH(C50,Calculations!B:B,0),1)</f>
        <v>0</v>
      </c>
      <c r="I50" s="17" t="str">
        <f t="shared" si="6"/>
        <v/>
      </c>
      <c r="J50" s="17" t="str">
        <f t="shared" si="7"/>
        <v/>
      </c>
      <c r="K50">
        <f t="shared" si="3"/>
        <v>46</v>
      </c>
      <c r="L50" t="str">
        <f t="shared" si="4"/>
        <v/>
      </c>
    </row>
    <row r="51" spans="3:12">
      <c r="C51">
        <f t="shared" si="5"/>
        <v>564</v>
      </c>
      <c r="D51">
        <v>47</v>
      </c>
      <c r="E51" s="3">
        <f>INDEX(Calculations!W:W,MATCH(C51,Calculations!B:B,0),1)</f>
        <v>0</v>
      </c>
      <c r="F51" s="3" t="str">
        <f>INDEX(Calculations!AH:AH,MATCH(C51,Calculations!B:B,0),1)</f>
        <v xml:space="preserve"> </v>
      </c>
      <c r="G51" s="3">
        <f>INDEX(Calculations!T:T,MATCH(C51,Calculations!B:B,0),1)+INDEX(Calculations!N:N,MATCH(C51,Calculations!B:B,0),1)</f>
        <v>0</v>
      </c>
      <c r="H51" s="3">
        <f>INDEX(Calculations!AE:AE,MATCH(C51,Calculations!B:B,0),1)</f>
        <v>0</v>
      </c>
      <c r="I51" s="17" t="str">
        <f t="shared" si="6"/>
        <v/>
      </c>
      <c r="J51" s="17" t="str">
        <f t="shared" si="7"/>
        <v/>
      </c>
      <c r="K51">
        <f t="shared" si="3"/>
        <v>47</v>
      </c>
      <c r="L51" t="str">
        <f t="shared" si="4"/>
        <v/>
      </c>
    </row>
    <row r="52" spans="3:12">
      <c r="C52">
        <f t="shared" si="5"/>
        <v>576</v>
      </c>
      <c r="D52">
        <v>48</v>
      </c>
      <c r="E52" s="3">
        <f>INDEX(Calculations!W:W,MATCH(C52,Calculations!B:B,0),1)</f>
        <v>0</v>
      </c>
      <c r="F52" s="3" t="str">
        <f>INDEX(Calculations!AH:AH,MATCH(C52,Calculations!B:B,0),1)</f>
        <v xml:space="preserve"> </v>
      </c>
      <c r="G52" s="3">
        <f>INDEX(Calculations!T:T,MATCH(C52,Calculations!B:B,0),1)+INDEX(Calculations!N:N,MATCH(C52,Calculations!B:B,0),1)</f>
        <v>0</v>
      </c>
      <c r="H52" s="3">
        <f>INDEX(Calculations!AE:AE,MATCH(C52,Calculations!B:B,0),1)</f>
        <v>0</v>
      </c>
      <c r="I52" s="17" t="str">
        <f t="shared" si="6"/>
        <v/>
      </c>
      <c r="J52" s="17" t="str">
        <f t="shared" si="7"/>
        <v/>
      </c>
      <c r="K52">
        <f t="shared" si="3"/>
        <v>48</v>
      </c>
      <c r="L52" t="str">
        <f t="shared" si="4"/>
        <v/>
      </c>
    </row>
    <row r="53" spans="3:12">
      <c r="C53">
        <f t="shared" si="5"/>
        <v>588</v>
      </c>
      <c r="D53">
        <v>49</v>
      </c>
      <c r="E53" s="3">
        <f>INDEX(Calculations!W:W,MATCH(C53,Calculations!B:B,0),1)</f>
        <v>0</v>
      </c>
      <c r="F53" s="3" t="str">
        <f>INDEX(Calculations!AH:AH,MATCH(C53,Calculations!B:B,0),1)</f>
        <v xml:space="preserve"> </v>
      </c>
      <c r="G53" s="3">
        <f>INDEX(Calculations!T:T,MATCH(C53,Calculations!B:B,0),1)+INDEX(Calculations!N:N,MATCH(C53,Calculations!B:B,0),1)</f>
        <v>0</v>
      </c>
      <c r="H53" s="3">
        <f>INDEX(Calculations!AE:AE,MATCH(C53,Calculations!B:B,0),1)</f>
        <v>0</v>
      </c>
      <c r="I53" s="17" t="str">
        <f t="shared" si="6"/>
        <v/>
      </c>
      <c r="J53" s="17" t="str">
        <f t="shared" si="7"/>
        <v/>
      </c>
      <c r="K53">
        <f t="shared" si="3"/>
        <v>49</v>
      </c>
      <c r="L53" t="str">
        <f t="shared" si="4"/>
        <v/>
      </c>
    </row>
    <row r="54" spans="3:12">
      <c r="C54">
        <f t="shared" si="5"/>
        <v>600</v>
      </c>
      <c r="D54">
        <v>50</v>
      </c>
      <c r="E54" s="3">
        <f>INDEX(Calculations!W:W,MATCH(C54,Calculations!B:B,0),1)</f>
        <v>0</v>
      </c>
      <c r="F54" s="3" t="str">
        <f>INDEX(Calculations!AH:AH,MATCH(C54,Calculations!B:B,0),1)</f>
        <v xml:space="preserve"> </v>
      </c>
      <c r="G54" s="3">
        <f>INDEX(Calculations!T:T,MATCH(C54,Calculations!B:B,0),1)+INDEX(Calculations!N:N,MATCH(C54,Calculations!B:B,0),1)</f>
        <v>0</v>
      </c>
      <c r="H54" s="3">
        <f>INDEX(Calculations!AE:AE,MATCH(C54,Calculations!B:B,0),1)</f>
        <v>0</v>
      </c>
      <c r="I54" s="17" t="str">
        <f t="shared" si="6"/>
        <v/>
      </c>
      <c r="J54" s="17" t="str">
        <f t="shared" si="7"/>
        <v/>
      </c>
      <c r="K54">
        <f t="shared" si="3"/>
        <v>50</v>
      </c>
      <c r="L54" t="str">
        <f t="shared" si="4"/>
        <v/>
      </c>
    </row>
    <row r="55" spans="3:12">
      <c r="C55">
        <f t="shared" si="5"/>
        <v>612</v>
      </c>
      <c r="D55">
        <v>51</v>
      </c>
      <c r="E55" s="3">
        <f>INDEX(Calculations!W:W,MATCH(C55,Calculations!B:B,0),1)</f>
        <v>0</v>
      </c>
      <c r="F55" s="3" t="str">
        <f>INDEX(Calculations!AH:AH,MATCH(C55,Calculations!B:B,0),1)</f>
        <v xml:space="preserve"> </v>
      </c>
      <c r="G55" s="3">
        <f>INDEX(Calculations!T:T,MATCH(C55,Calculations!B:B,0),1)+INDEX(Calculations!N:N,MATCH(C55,Calculations!B:B,0),1)</f>
        <v>0</v>
      </c>
      <c r="H55" s="3">
        <f>INDEX(Calculations!AE:AE,MATCH(C55,Calculations!B:B,0),1)</f>
        <v>0</v>
      </c>
      <c r="I55" s="17" t="str">
        <f t="shared" si="6"/>
        <v/>
      </c>
      <c r="J55" s="17" t="str">
        <f t="shared" si="7"/>
        <v/>
      </c>
      <c r="K55">
        <f t="shared" si="3"/>
        <v>51</v>
      </c>
      <c r="L55" t="str">
        <f t="shared" si="4"/>
        <v/>
      </c>
    </row>
    <row r="56" spans="3:12">
      <c r="C56">
        <f t="shared" si="5"/>
        <v>624</v>
      </c>
      <c r="D56">
        <v>52</v>
      </c>
      <c r="E56" s="3">
        <f>INDEX(Calculations!W:W,MATCH(C56,Calculations!B:B,0),1)</f>
        <v>0</v>
      </c>
      <c r="F56" s="3" t="str">
        <f>INDEX(Calculations!AH:AH,MATCH(C56,Calculations!B:B,0),1)</f>
        <v xml:space="preserve"> </v>
      </c>
      <c r="G56" s="3">
        <f>INDEX(Calculations!T:T,MATCH(C56,Calculations!B:B,0),1)+INDEX(Calculations!N:N,MATCH(C56,Calculations!B:B,0),1)</f>
        <v>0</v>
      </c>
      <c r="H56" s="3">
        <f>INDEX(Calculations!AE:AE,MATCH(C56,Calculations!B:B,0),1)</f>
        <v>0</v>
      </c>
      <c r="I56" s="17" t="str">
        <f t="shared" si="6"/>
        <v/>
      </c>
      <c r="J56" s="17" t="str">
        <f t="shared" si="7"/>
        <v/>
      </c>
      <c r="K56">
        <f t="shared" si="3"/>
        <v>52</v>
      </c>
      <c r="L56" t="str">
        <f t="shared" si="4"/>
        <v/>
      </c>
    </row>
    <row r="57" spans="3:12">
      <c r="C57">
        <f t="shared" si="5"/>
        <v>636</v>
      </c>
      <c r="D57">
        <v>53</v>
      </c>
      <c r="E57" s="3">
        <f>INDEX(Calculations!W:W,MATCH(C57,Calculations!B:B,0),1)</f>
        <v>0</v>
      </c>
      <c r="F57" s="3" t="str">
        <f>INDEX(Calculations!AH:AH,MATCH(C57,Calculations!B:B,0),1)</f>
        <v xml:space="preserve"> </v>
      </c>
      <c r="G57" s="3">
        <f>INDEX(Calculations!T:T,MATCH(C57,Calculations!B:B,0),1)+INDEX(Calculations!N:N,MATCH(C57,Calculations!B:B,0),1)</f>
        <v>0</v>
      </c>
      <c r="H57" s="3">
        <f>INDEX(Calculations!AE:AE,MATCH(C57,Calculations!B:B,0),1)</f>
        <v>0</v>
      </c>
      <c r="I57" s="17" t="str">
        <f t="shared" si="6"/>
        <v/>
      </c>
      <c r="J57" s="17" t="str">
        <f t="shared" si="7"/>
        <v/>
      </c>
      <c r="K57">
        <f t="shared" si="3"/>
        <v>53</v>
      </c>
      <c r="L57" t="str">
        <f t="shared" si="4"/>
        <v/>
      </c>
    </row>
    <row r="58" spans="3:12">
      <c r="C58">
        <f t="shared" si="5"/>
        <v>648</v>
      </c>
      <c r="D58">
        <v>54</v>
      </c>
      <c r="E58" s="3">
        <f>INDEX(Calculations!W:W,MATCH(C58,Calculations!B:B,0),1)</f>
        <v>0</v>
      </c>
      <c r="F58" s="3" t="str">
        <f>INDEX(Calculations!AH:AH,MATCH(C58,Calculations!B:B,0),1)</f>
        <v xml:space="preserve"> </v>
      </c>
      <c r="G58" s="3">
        <f>INDEX(Calculations!T:T,MATCH(C58,Calculations!B:B,0),1)+INDEX(Calculations!N:N,MATCH(C58,Calculations!B:B,0),1)</f>
        <v>0</v>
      </c>
      <c r="H58" s="3">
        <f>INDEX(Calculations!AE:AE,MATCH(C58,Calculations!B:B,0),1)</f>
        <v>0</v>
      </c>
      <c r="I58" s="17" t="str">
        <f t="shared" si="6"/>
        <v/>
      </c>
      <c r="J58" s="17" t="str">
        <f t="shared" si="7"/>
        <v/>
      </c>
      <c r="K58">
        <f t="shared" si="3"/>
        <v>54</v>
      </c>
      <c r="L58" t="str">
        <f t="shared" si="4"/>
        <v/>
      </c>
    </row>
    <row r="59" spans="3:12">
      <c r="C59">
        <f t="shared" si="5"/>
        <v>660</v>
      </c>
      <c r="D59">
        <v>55</v>
      </c>
      <c r="E59" s="3">
        <f>INDEX(Calculations!W:W,MATCH(C59,Calculations!B:B,0),1)</f>
        <v>0</v>
      </c>
      <c r="F59" s="3" t="str">
        <f>INDEX(Calculations!AH:AH,MATCH(C59,Calculations!B:B,0),1)</f>
        <v xml:space="preserve"> </v>
      </c>
      <c r="G59" s="3">
        <f>INDEX(Calculations!T:T,MATCH(C59,Calculations!B:B,0),1)+INDEX(Calculations!N:N,MATCH(C59,Calculations!B:B,0),1)</f>
        <v>0</v>
      </c>
      <c r="H59" s="3">
        <f>INDEX(Calculations!AE:AE,MATCH(C59,Calculations!B:B,0),1)</f>
        <v>0</v>
      </c>
      <c r="I59" s="17" t="str">
        <f t="shared" si="6"/>
        <v/>
      </c>
      <c r="J59" s="17" t="str">
        <f t="shared" si="7"/>
        <v/>
      </c>
      <c r="K59">
        <f t="shared" si="3"/>
        <v>55</v>
      </c>
      <c r="L59" t="str">
        <f t="shared" si="4"/>
        <v/>
      </c>
    </row>
    <row r="60" spans="3:12">
      <c r="C60">
        <f t="shared" si="5"/>
        <v>672</v>
      </c>
      <c r="D60">
        <v>56</v>
      </c>
      <c r="E60" s="3">
        <f>INDEX(Calculations!W:W,MATCH(C60,Calculations!B:B,0),1)</f>
        <v>0</v>
      </c>
      <c r="F60" s="3" t="str">
        <f>INDEX(Calculations!AH:AH,MATCH(C60,Calculations!B:B,0),1)</f>
        <v xml:space="preserve"> </v>
      </c>
      <c r="G60" s="3">
        <f>INDEX(Calculations!T:T,MATCH(C60,Calculations!B:B,0),1)+INDEX(Calculations!N:N,MATCH(C60,Calculations!B:B,0),1)</f>
        <v>0</v>
      </c>
      <c r="H60" s="3">
        <f>INDEX(Calculations!AE:AE,MATCH(C60,Calculations!B:B,0),1)</f>
        <v>0</v>
      </c>
      <c r="I60" s="17" t="str">
        <f t="shared" si="6"/>
        <v/>
      </c>
      <c r="J60" s="17" t="str">
        <f t="shared" si="7"/>
        <v/>
      </c>
      <c r="K60">
        <f t="shared" si="3"/>
        <v>56</v>
      </c>
      <c r="L60" t="str">
        <f t="shared" si="4"/>
        <v/>
      </c>
    </row>
    <row r="61" spans="3:12">
      <c r="C61">
        <f t="shared" si="5"/>
        <v>684</v>
      </c>
      <c r="D61">
        <v>57</v>
      </c>
      <c r="E61" s="3">
        <f>INDEX(Calculations!W:W,MATCH(C61,Calculations!B:B,0),1)</f>
        <v>0</v>
      </c>
      <c r="F61" s="3" t="str">
        <f>INDEX(Calculations!AH:AH,MATCH(C61,Calculations!B:B,0),1)</f>
        <v xml:space="preserve"> </v>
      </c>
      <c r="G61" s="3">
        <f>INDEX(Calculations!T:T,MATCH(C61,Calculations!B:B,0),1)+INDEX(Calculations!N:N,MATCH(C61,Calculations!B:B,0),1)</f>
        <v>0</v>
      </c>
      <c r="H61" s="3">
        <f>INDEX(Calculations!AE:AE,MATCH(C61,Calculations!B:B,0),1)</f>
        <v>0</v>
      </c>
      <c r="I61" s="17" t="str">
        <f t="shared" si="6"/>
        <v/>
      </c>
      <c r="J61" s="17" t="str">
        <f t="shared" si="7"/>
        <v/>
      </c>
      <c r="K61">
        <f t="shared" si="3"/>
        <v>57</v>
      </c>
      <c r="L61" t="str">
        <f t="shared" si="4"/>
        <v/>
      </c>
    </row>
    <row r="62" spans="3:12">
      <c r="C62">
        <f t="shared" si="5"/>
        <v>696</v>
      </c>
      <c r="D62">
        <v>58</v>
      </c>
      <c r="E62" s="3">
        <f>INDEX(Calculations!W:W,MATCH(C62,Calculations!B:B,0),1)</f>
        <v>0</v>
      </c>
      <c r="F62" s="3" t="str">
        <f>INDEX(Calculations!AH:AH,MATCH(C62,Calculations!B:B,0),1)</f>
        <v xml:space="preserve"> </v>
      </c>
      <c r="G62" s="3">
        <f>INDEX(Calculations!T:T,MATCH(C62,Calculations!B:B,0),1)+INDEX(Calculations!N:N,MATCH(C62,Calculations!B:B,0),1)</f>
        <v>0</v>
      </c>
      <c r="H62" s="3">
        <f>INDEX(Calculations!AE:AE,MATCH(C62,Calculations!B:B,0),1)</f>
        <v>0</v>
      </c>
      <c r="I62" s="17" t="str">
        <f t="shared" si="6"/>
        <v/>
      </c>
      <c r="J62" s="17" t="str">
        <f t="shared" si="7"/>
        <v/>
      </c>
      <c r="K62">
        <f t="shared" si="3"/>
        <v>58</v>
      </c>
      <c r="L62" t="str">
        <f t="shared" si="4"/>
        <v/>
      </c>
    </row>
    <row r="63" spans="3:12">
      <c r="C63">
        <f t="shared" si="5"/>
        <v>708</v>
      </c>
      <c r="D63">
        <v>59</v>
      </c>
      <c r="E63" s="3">
        <f>INDEX(Calculations!W:W,MATCH(C63,Calculations!B:B,0),1)</f>
        <v>0</v>
      </c>
      <c r="F63" s="3" t="str">
        <f>INDEX(Calculations!AH:AH,MATCH(C63,Calculations!B:B,0),1)</f>
        <v xml:space="preserve"> </v>
      </c>
      <c r="G63" s="3">
        <f>INDEX(Calculations!T:T,MATCH(C63,Calculations!B:B,0),1)+INDEX(Calculations!N:N,MATCH(C63,Calculations!B:B,0),1)</f>
        <v>0</v>
      </c>
      <c r="H63" s="3">
        <f>INDEX(Calculations!AE:AE,MATCH(C63,Calculations!B:B,0),1)</f>
        <v>0</v>
      </c>
      <c r="I63" s="17" t="str">
        <f t="shared" si="6"/>
        <v/>
      </c>
      <c r="J63" s="17" t="str">
        <f t="shared" si="7"/>
        <v/>
      </c>
      <c r="K63">
        <f t="shared" si="3"/>
        <v>59</v>
      </c>
      <c r="L63" t="str">
        <f t="shared" si="4"/>
        <v/>
      </c>
    </row>
    <row r="64" spans="3:12">
      <c r="C64">
        <f t="shared" si="5"/>
        <v>720</v>
      </c>
      <c r="D64">
        <v>60</v>
      </c>
      <c r="E64" s="3">
        <f>INDEX(Calculations!W:W,MATCH(C64,Calculations!B:B,0),1)</f>
        <v>0</v>
      </c>
      <c r="F64" s="3" t="str">
        <f>INDEX(Calculations!AH:AH,MATCH(C64,Calculations!B:B,0),1)</f>
        <v xml:space="preserve"> </v>
      </c>
      <c r="G64" s="3">
        <f>INDEX(Calculations!T:T,MATCH(C64,Calculations!B:B,0),1)+INDEX(Calculations!N:N,MATCH(C64,Calculations!B:B,0),1)</f>
        <v>0</v>
      </c>
      <c r="H64" s="3">
        <f>INDEX(Calculations!AE:AE,MATCH(C64,Calculations!B:B,0),1)</f>
        <v>0</v>
      </c>
      <c r="I64" s="17" t="str">
        <f t="shared" si="6"/>
        <v/>
      </c>
      <c r="J64" s="17" t="str">
        <f t="shared" si="7"/>
        <v/>
      </c>
      <c r="K64">
        <f t="shared" si="3"/>
        <v>60</v>
      </c>
      <c r="L64" t="str">
        <f t="shared" si="4"/>
        <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0BD43-204E-9347-9863-AFCB85117114}">
  <sheetPr>
    <tabColor theme="4"/>
  </sheetPr>
  <dimension ref="A1:N151"/>
  <sheetViews>
    <sheetView showGridLines="0" topLeftCell="A3" zoomScaleNormal="90" workbookViewId="0">
      <selection sqref="A1:L1"/>
    </sheetView>
  </sheetViews>
  <sheetFormatPr baseColWidth="10" defaultColWidth="8.6640625" defaultRowHeight="15"/>
  <cols>
    <col min="1" max="1" width="8" style="107" customWidth="1"/>
    <col min="2" max="11" width="16" style="107" customWidth="1"/>
    <col min="12" max="16384" width="8.6640625" style="107"/>
  </cols>
  <sheetData>
    <row r="1" spans="1:14" ht="18">
      <c r="A1" s="233"/>
      <c r="B1" s="233"/>
      <c r="C1" s="233"/>
      <c r="D1" s="233"/>
      <c r="E1" s="233"/>
      <c r="F1" s="233"/>
      <c r="G1" s="233"/>
      <c r="H1" s="233"/>
      <c r="I1" s="233"/>
      <c r="J1" s="233"/>
      <c r="K1" s="233"/>
      <c r="L1" s="233"/>
    </row>
    <row r="2" spans="1:14">
      <c r="A2" s="110"/>
      <c r="B2" s="110"/>
      <c r="C2" s="110"/>
      <c r="D2" s="110"/>
      <c r="E2" s="110"/>
      <c r="F2" s="110"/>
      <c r="G2" s="110"/>
      <c r="H2" s="110"/>
      <c r="I2" s="110"/>
      <c r="J2" s="110"/>
      <c r="K2" s="110"/>
      <c r="L2" s="110"/>
    </row>
    <row r="4" spans="1:14">
      <c r="A4" s="235" t="s">
        <v>227</v>
      </c>
      <c r="B4" s="235"/>
      <c r="C4" s="235"/>
      <c r="D4" s="235"/>
      <c r="E4" s="235"/>
      <c r="F4" s="235"/>
      <c r="G4" s="235"/>
      <c r="H4" s="235"/>
      <c r="I4" s="235"/>
    </row>
    <row r="6" spans="1:14" ht="31.5" customHeight="1">
      <c r="A6" s="94" t="s">
        <v>74</v>
      </c>
      <c r="B6" s="94" t="s">
        <v>7</v>
      </c>
      <c r="C6" s="94" t="s">
        <v>9</v>
      </c>
      <c r="D6" s="94" t="s">
        <v>228</v>
      </c>
      <c r="E6" s="94" t="s">
        <v>181</v>
      </c>
      <c r="F6" s="94" t="s">
        <v>112</v>
      </c>
      <c r="G6" s="94" t="s">
        <v>229</v>
      </c>
      <c r="H6" s="94" t="s">
        <v>183</v>
      </c>
      <c r="I6" s="94" t="s">
        <v>230</v>
      </c>
      <c r="J6" s="107" t="s">
        <v>14</v>
      </c>
      <c r="K6" s="107" t="s">
        <v>15</v>
      </c>
    </row>
    <row r="7" spans="1:14">
      <c r="A7" s="85">
        <v>1</v>
      </c>
      <c r="B7" s="103">
        <f>SUMIFS(Calculations!F:F,Calculations!C:C,$A7)</f>
        <v>346288.45971380454</v>
      </c>
      <c r="C7" s="103">
        <f>SUMIFS(Calculations!H:H,Calculations!C:C,$A7)</f>
        <v>131721.19535330578</v>
      </c>
      <c r="D7" s="103">
        <f>SUMIFS(Calculations!G:G,Calculations!C:C,$A7)</f>
        <v>38240.772405368829</v>
      </c>
      <c r="E7" s="103">
        <f>SUMIFS(Calculations!R:R,Calculations!C:C,$A7)</f>
        <v>4053.9623259566524</v>
      </c>
      <c r="F7" s="103">
        <f>SUMIFS(Calculations!K:K,Calculations!C:C,$A7)</f>
        <v>113189.58553107175</v>
      </c>
      <c r="G7" s="103">
        <f>SUMIFS(Calculations!L:L,Calculations!C:C,$A7)</f>
        <v>36485.66093360987</v>
      </c>
      <c r="H7" s="103">
        <f>SUMIFS(Calculations!Q:Q,Calculations!C:C,$A7)</f>
        <v>2310</v>
      </c>
      <c r="I7" s="103">
        <f>-SUMIFS(Calculations!O:O,Calculations!C:C,$A7)</f>
        <v>-22500</v>
      </c>
      <c r="J7" s="103">
        <f>SUMIFS(Calculations!M:M,Calculations!C:C,$A7)</f>
        <v>88685.3</v>
      </c>
      <c r="K7" s="103">
        <f>SUMIFS(Calculations!N:N,Calculations!C:C,$A7)</f>
        <v>0</v>
      </c>
      <c r="N7" s="106">
        <f>SUM(B7:K7)</f>
        <v>738474.93626311747</v>
      </c>
    </row>
    <row r="8" spans="1:14">
      <c r="A8" s="85">
        <v>2</v>
      </c>
      <c r="B8" s="103">
        <f>SUMIFS(Calculations!F:F,Calculations!C:C,$A8)</f>
        <v>340413.69440104719</v>
      </c>
      <c r="C8" s="103">
        <f>SUMIFS(Calculations!H:H,Calculations!C:C,$A8)</f>
        <v>137595.96066606315</v>
      </c>
      <c r="D8" s="103">
        <f>SUMIFS(Calculations!G:G,Calculations!C:C,$A8)</f>
        <v>38240.772405368829</v>
      </c>
      <c r="E8" s="103">
        <f>SUMIFS(Calculations!R:R,Calculations!C:C,$A8)</f>
        <v>4155.3113841055629</v>
      </c>
      <c r="F8" s="103">
        <f>SUMIFS(Calculations!K:K,Calculations!C:C,$A8)</f>
        <v>118849.06480762549</v>
      </c>
      <c r="G8" s="103">
        <f>SUMIFS(Calculations!L:L,Calculations!C:C,$A8)</f>
        <v>37397.80245695007</v>
      </c>
      <c r="H8" s="103">
        <f>SUMIFS(Calculations!Q:Q,Calculations!C:C,$A8)</f>
        <v>2310</v>
      </c>
      <c r="I8" s="103">
        <f>-SUMIFS(Calculations!O:O,Calculations!C:C,$A8)</f>
        <v>-22500</v>
      </c>
      <c r="J8" s="103">
        <f>SUMIFS(Calculations!M:M,Calculations!C:C,$A8)</f>
        <v>0</v>
      </c>
      <c r="K8" s="103">
        <f>SUMIFS(Calculations!N:N,Calculations!C:C,$A8)</f>
        <v>0</v>
      </c>
    </row>
    <row r="9" spans="1:14">
      <c r="A9" s="85">
        <v>3</v>
      </c>
      <c r="B9" s="103">
        <f>SUMIFS(Calculations!F:F,Calculations!C:C,$A9)</f>
        <v>334276.91455534071</v>
      </c>
      <c r="C9" s="103">
        <f>SUMIFS(Calculations!H:H,Calculations!C:C,$A9)</f>
        <v>143732.74051176963</v>
      </c>
      <c r="D9" s="103">
        <f>SUMIFS(Calculations!G:G,Calculations!C:C,$A9)</f>
        <v>38240.772405368829</v>
      </c>
      <c r="E9" s="103">
        <f>SUMIFS(Calculations!R:R,Calculations!C:C,$A9)</f>
        <v>4259.1941687081962</v>
      </c>
      <c r="F9" s="103">
        <f>SUMIFS(Calculations!K:K,Calculations!C:C,$A9)</f>
        <v>124791.51804800687</v>
      </c>
      <c r="G9" s="103">
        <f>SUMIFS(Calculations!L:L,Calculations!C:C,$A9)</f>
        <v>38332.747518373762</v>
      </c>
      <c r="H9" s="103">
        <f>SUMIFS(Calculations!Q:Q,Calculations!C:C,$A9)</f>
        <v>2310</v>
      </c>
      <c r="I9" s="103">
        <f>-SUMIFS(Calculations!O:O,Calculations!C:C,$A9)</f>
        <v>-22500</v>
      </c>
      <c r="J9" s="103">
        <f>SUMIFS(Calculations!M:M,Calculations!C:C,$A9)</f>
        <v>0</v>
      </c>
      <c r="K9" s="103">
        <f>SUMIFS(Calculations!N:N,Calculations!C:C,$A9)</f>
        <v>0</v>
      </c>
    </row>
    <row r="10" spans="1:14">
      <c r="A10" s="85">
        <v>4</v>
      </c>
      <c r="B10" s="103">
        <f>SUMIFS(Calculations!F:F,Calculations!C:C,$A10)</f>
        <v>327866.43432851566</v>
      </c>
      <c r="C10" s="103">
        <f>SUMIFS(Calculations!H:H,Calculations!C:C,$A10)</f>
        <v>150143.22073859462</v>
      </c>
      <c r="D10" s="103">
        <f>SUMIFS(Calculations!G:G,Calculations!C:C,$A10)</f>
        <v>38240.772405368829</v>
      </c>
      <c r="E10" s="103">
        <f>SUMIFS(Calculations!R:R,Calculations!C:C,$A10)</f>
        <v>4365.674022925894</v>
      </c>
      <c r="F10" s="103">
        <f>SUMIFS(Calculations!K:K,Calculations!C:C,$A10)</f>
        <v>131031.09395040739</v>
      </c>
      <c r="G10" s="103">
        <f>SUMIFS(Calculations!L:L,Calculations!C:C,$A10)</f>
        <v>39291.066206333053</v>
      </c>
      <c r="H10" s="103">
        <f>SUMIFS(Calculations!Q:Q,Calculations!C:C,$A10)</f>
        <v>2310</v>
      </c>
      <c r="I10" s="103">
        <f>-SUMIFS(Calculations!O:O,Calculations!C:C,$A10)</f>
        <v>-22500</v>
      </c>
      <c r="J10" s="103">
        <f>SUMIFS(Calculations!M:M,Calculations!C:C,$A10)</f>
        <v>0</v>
      </c>
      <c r="K10" s="103">
        <f>SUMIFS(Calculations!N:N,Calculations!C:C,$A10)</f>
        <v>0</v>
      </c>
    </row>
    <row r="11" spans="1:14">
      <c r="A11" s="85">
        <v>5</v>
      </c>
      <c r="B11" s="103">
        <f>SUMIFS(Calculations!F:F,Calculations!C:C,$A11)</f>
        <v>321170.04668357427</v>
      </c>
      <c r="C11" s="103">
        <f>SUMIFS(Calculations!H:H,Calculations!C:C,$A11)</f>
        <v>156839.60838353602</v>
      </c>
      <c r="D11" s="103">
        <f>SUMIFS(Calculations!G:G,Calculations!C:C,$A11)</f>
        <v>38240.772405368829</v>
      </c>
      <c r="E11" s="103">
        <f>SUMIFS(Calculations!R:R,Calculations!C:C,$A11)</f>
        <v>4474.8158734990357</v>
      </c>
      <c r="F11" s="103">
        <f>SUMIFS(Calculations!K:K,Calculations!C:C,$A11)</f>
        <v>137582.64864792791</v>
      </c>
      <c r="G11" s="103">
        <f>SUMIFS(Calculations!L:L,Calculations!C:C,$A11)</f>
        <v>40273.342861491321</v>
      </c>
      <c r="H11" s="103">
        <f>SUMIFS(Calculations!Q:Q,Calculations!C:C,$A11)</f>
        <v>2310</v>
      </c>
      <c r="I11" s="103">
        <f>-SUMIFS(Calculations!O:O,Calculations!C:C,$A11)</f>
        <v>-22500</v>
      </c>
      <c r="J11" s="103">
        <f>SUMIFS(Calculations!M:M,Calculations!C:C,$A11)</f>
        <v>0</v>
      </c>
      <c r="K11" s="103">
        <f>SUMIFS(Calculations!N:N,Calculations!C:C,$A11)</f>
        <v>0</v>
      </c>
    </row>
    <row r="12" spans="1:14">
      <c r="A12" s="85">
        <v>6</v>
      </c>
      <c r="B12" s="103">
        <f>SUMIFS(Calculations!F:F,Calculations!C:C,$A12)</f>
        <v>314175.00014966866</v>
      </c>
      <c r="C12" s="103">
        <f>SUMIFS(Calculations!H:H,Calculations!C:C,$A12)</f>
        <v>163834.65491744175</v>
      </c>
      <c r="D12" s="103">
        <f>SUMIFS(Calculations!G:G,Calculations!C:C,$A12)</f>
        <v>38240.772405368829</v>
      </c>
      <c r="E12" s="103">
        <f>SUMIFS(Calculations!R:R,Calculations!C:C,$A12)</f>
        <v>4586.6862703365041</v>
      </c>
      <c r="F12" s="103">
        <f>SUMIFS(Calculations!K:K,Calculations!C:C,$A12)</f>
        <v>144461.78108032446</v>
      </c>
      <c r="G12" s="103">
        <f>SUMIFS(Calculations!L:L,Calculations!C:C,$A12)</f>
        <v>41280.176433028544</v>
      </c>
      <c r="H12" s="103">
        <f>SUMIFS(Calculations!Q:Q,Calculations!C:C,$A12)</f>
        <v>2310</v>
      </c>
      <c r="I12" s="103">
        <f>-SUMIFS(Calculations!O:O,Calculations!C:C,$A12)</f>
        <v>-22500</v>
      </c>
      <c r="J12" s="103">
        <f>SUMIFS(Calculations!M:M,Calculations!C:C,$A12)</f>
        <v>0</v>
      </c>
      <c r="K12" s="103">
        <f>SUMIFS(Calculations!N:N,Calculations!C:C,$A12)</f>
        <v>0</v>
      </c>
    </row>
    <row r="13" spans="1:14">
      <c r="A13" s="85">
        <v>7</v>
      </c>
      <c r="B13" s="103">
        <f>SUMIFS(Calculations!F:F,Calculations!C:C,$A13)</f>
        <v>306867.97454035061</v>
      </c>
      <c r="C13" s="103">
        <f>SUMIFS(Calculations!H:H,Calculations!C:C,$A13)</f>
        <v>171141.68052675965</v>
      </c>
      <c r="D13" s="103">
        <f>SUMIFS(Calculations!G:G,Calculations!C:C,$A13)</f>
        <v>38240.772405368829</v>
      </c>
      <c r="E13" s="103">
        <f>SUMIFS(Calculations!R:R,Calculations!C:C,$A13)</f>
        <v>4701.3534270949112</v>
      </c>
      <c r="F13" s="103">
        <f>SUMIFS(Calculations!K:K,Calculations!C:C,$A13)</f>
        <v>151684.87013434083</v>
      </c>
      <c r="G13" s="103">
        <f>SUMIFS(Calculations!L:L,Calculations!C:C,$A13)</f>
        <v>42312.180843854207</v>
      </c>
      <c r="H13" s="103">
        <f>SUMIFS(Calculations!Q:Q,Calculations!C:C,$A13)</f>
        <v>2310</v>
      </c>
      <c r="I13" s="103">
        <f>-SUMIFS(Calculations!O:O,Calculations!C:C,$A13)</f>
        <v>-22500</v>
      </c>
      <c r="J13" s="103">
        <f>SUMIFS(Calculations!M:M,Calculations!C:C,$A13)</f>
        <v>0</v>
      </c>
      <c r="K13" s="103">
        <f>SUMIFS(Calculations!N:N,Calculations!C:C,$A13)</f>
        <v>0</v>
      </c>
    </row>
    <row r="14" spans="1:14">
      <c r="A14" s="85">
        <v>8</v>
      </c>
      <c r="B14" s="103">
        <f>SUMIFS(Calculations!F:F,Calculations!C:C,$A14)</f>
        <v>299235.05558885704</v>
      </c>
      <c r="C14" s="103">
        <f>SUMIFS(Calculations!H:H,Calculations!C:C,$A14)</f>
        <v>178774.59947825322</v>
      </c>
      <c r="D14" s="103">
        <f>SUMIFS(Calculations!G:G,Calculations!C:C,$A14)</f>
        <v>38240.772405368829</v>
      </c>
      <c r="E14" s="103">
        <f>SUMIFS(Calculations!R:R,Calculations!C:C,$A14)</f>
        <v>4818.8872627722767</v>
      </c>
      <c r="F14" s="103">
        <f>SUMIFS(Calculations!K:K,Calculations!C:C,$A14)</f>
        <v>159269.11364105807</v>
      </c>
      <c r="G14" s="103">
        <f>SUMIFS(Calculations!L:L,Calculations!C:C,$A14)</f>
        <v>43369.985364950488</v>
      </c>
      <c r="H14" s="103">
        <f>SUMIFS(Calculations!Q:Q,Calculations!C:C,$A14)</f>
        <v>2310</v>
      </c>
      <c r="I14" s="103">
        <f>-SUMIFS(Calculations!O:O,Calculations!C:C,$A14)</f>
        <v>-22500</v>
      </c>
      <c r="J14" s="103">
        <f>SUMIFS(Calculations!M:M,Calculations!C:C,$A14)</f>
        <v>0</v>
      </c>
      <c r="K14" s="103">
        <f>SUMIFS(Calculations!N:N,Calculations!C:C,$A14)</f>
        <v>0</v>
      </c>
    </row>
    <row r="15" spans="1:14">
      <c r="A15" s="85">
        <v>9</v>
      </c>
      <c r="B15" s="103">
        <f>SUMIFS(Calculations!F:F,Calculations!C:C,$A15)</f>
        <v>291261.70845212706</v>
      </c>
      <c r="C15" s="103">
        <f>SUMIFS(Calculations!H:H,Calculations!C:C,$A15)</f>
        <v>186747.94661498332</v>
      </c>
      <c r="D15" s="103">
        <f>SUMIFS(Calculations!G:G,Calculations!C:C,$A15)</f>
        <v>38240.772405368829</v>
      </c>
      <c r="E15" s="103">
        <f>SUMIFS(Calculations!R:R,Calculations!C:C,$A15)</f>
        <v>4939.3594443415768</v>
      </c>
      <c r="F15" s="103">
        <f>SUMIFS(Calculations!K:K,Calculations!C:C,$A15)</f>
        <v>167232.56932311118</v>
      </c>
      <c r="G15" s="103">
        <f>SUMIFS(Calculations!L:L,Calculations!C:C,$A15)</f>
        <v>44454.2349990742</v>
      </c>
      <c r="H15" s="103">
        <f>SUMIFS(Calculations!Q:Q,Calculations!C:C,$A15)</f>
        <v>2310</v>
      </c>
      <c r="I15" s="103">
        <f>-SUMIFS(Calculations!O:O,Calculations!C:C,$A15)</f>
        <v>-22500</v>
      </c>
      <c r="J15" s="103">
        <f>SUMIFS(Calculations!M:M,Calculations!C:C,$A15)</f>
        <v>0</v>
      </c>
      <c r="K15" s="103">
        <f>SUMIFS(Calculations!N:N,Calculations!C:C,$A15)</f>
        <v>0</v>
      </c>
    </row>
    <row r="16" spans="1:14">
      <c r="A16" s="85">
        <v>10</v>
      </c>
      <c r="B16" s="103">
        <f>SUMIFS(Calculations!F:F,Calculations!C:C,$A16)</f>
        <v>282932.75003309874</v>
      </c>
      <c r="C16" s="103">
        <f>SUMIFS(Calculations!H:H,Calculations!C:C,$A16)</f>
        <v>195076.90503401158</v>
      </c>
      <c r="D16" s="103">
        <f>SUMIFS(Calculations!G:G,Calculations!C:C,$A16)</f>
        <v>38240.772405368829</v>
      </c>
      <c r="E16" s="103">
        <f>SUMIFS(Calculations!R:R,Calculations!C:C,$A16)</f>
        <v>5062.8434304501079</v>
      </c>
      <c r="F16" s="103">
        <f>SUMIFS(Calculations!K:K,Calculations!C:C,$A16)</f>
        <v>175594.19778926691</v>
      </c>
      <c r="G16" s="103">
        <f>SUMIFS(Calculations!L:L,Calculations!C:C,$A16)</f>
        <v>45565.590874050991</v>
      </c>
      <c r="H16" s="103">
        <f>SUMIFS(Calculations!Q:Q,Calculations!C:C,$A16)</f>
        <v>2310</v>
      </c>
      <c r="I16" s="103">
        <f>-SUMIFS(Calculations!O:O,Calculations!C:C,$A16)</f>
        <v>-22500</v>
      </c>
      <c r="J16" s="103">
        <f>SUMIFS(Calculations!M:M,Calculations!C:C,$A16)</f>
        <v>0</v>
      </c>
      <c r="K16" s="103">
        <f>SUMIFS(Calculations!N:N,Calculations!C:C,$A16)</f>
        <v>0</v>
      </c>
    </row>
    <row r="17" spans="1:11">
      <c r="A17" s="85">
        <v>11</v>
      </c>
      <c r="B17" s="103">
        <f>SUMIFS(Calculations!F:F,Calculations!C:C,$A17)</f>
        <v>274232.32006858184</v>
      </c>
      <c r="C17" s="103">
        <f>SUMIFS(Calculations!H:H,Calculations!C:C,$A17)</f>
        <v>203777.33499852847</v>
      </c>
      <c r="D17" s="103">
        <f>SUMIFS(Calculations!G:G,Calculations!C:C,$A17)</f>
        <v>38240.772405368829</v>
      </c>
      <c r="E17" s="103">
        <f>SUMIFS(Calculations!R:R,Calculations!C:C,$A17)</f>
        <v>5189.4145162113537</v>
      </c>
      <c r="F17" s="103">
        <f>SUMIFS(Calculations!K:K,Calculations!C:C,$A17)</f>
        <v>184373.90767873047</v>
      </c>
      <c r="G17" s="103">
        <f>SUMIFS(Calculations!L:L,Calculations!C:C,$A17)</f>
        <v>46704.730645902193</v>
      </c>
      <c r="H17" s="103">
        <f>SUMIFS(Calculations!Q:Q,Calculations!C:C,$A17)</f>
        <v>2310</v>
      </c>
      <c r="I17" s="103">
        <f>-SUMIFS(Calculations!O:O,Calculations!C:C,$A17)</f>
        <v>-22500</v>
      </c>
      <c r="J17" s="103">
        <f>SUMIFS(Calculations!M:M,Calculations!C:C,$A17)</f>
        <v>0</v>
      </c>
      <c r="K17" s="103">
        <f>SUMIFS(Calculations!N:N,Calculations!C:C,$A17)</f>
        <v>0</v>
      </c>
    </row>
    <row r="18" spans="1:11">
      <c r="A18" s="85">
        <v>12</v>
      </c>
      <c r="B18" s="103">
        <f>SUMIFS(Calculations!F:F,Calculations!C:C,$A18)</f>
        <v>265143.85092764738</v>
      </c>
      <c r="C18" s="103">
        <f>SUMIFS(Calculations!H:H,Calculations!C:C,$A18)</f>
        <v>212865.80413946294</v>
      </c>
      <c r="D18" s="103">
        <f>SUMIFS(Calculations!G:G,Calculations!C:C,$A18)</f>
        <v>38240.772405368829</v>
      </c>
      <c r="E18" s="103">
        <f>SUMIFS(Calculations!R:R,Calculations!C:C,$A18)</f>
        <v>5319.1498791166305</v>
      </c>
      <c r="F18" s="103">
        <f>SUMIFS(Calculations!K:K,Calculations!C:C,$A18)</f>
        <v>193592.60306266721</v>
      </c>
      <c r="G18" s="103">
        <f>SUMIFS(Calculations!L:L,Calculations!C:C,$A18)</f>
        <v>47872.348912049682</v>
      </c>
      <c r="H18" s="103">
        <f>SUMIFS(Calculations!Q:Q,Calculations!C:C,$A18)</f>
        <v>2310</v>
      </c>
      <c r="I18" s="103">
        <f>-SUMIFS(Calculations!O:O,Calculations!C:C,$A18)</f>
        <v>-22500</v>
      </c>
      <c r="J18" s="103">
        <f>SUMIFS(Calculations!M:M,Calculations!C:C,$A18)</f>
        <v>0</v>
      </c>
      <c r="K18" s="103">
        <f>SUMIFS(Calculations!N:N,Calculations!C:C,$A18)</f>
        <v>0</v>
      </c>
    </row>
    <row r="19" spans="1:11">
      <c r="A19" s="85">
        <v>13</v>
      </c>
      <c r="B19" s="103">
        <f>SUMIFS(Calculations!F:F,Calculations!C:C,$A19)</f>
        <v>255650.03606302722</v>
      </c>
      <c r="C19" s="103">
        <f>SUMIFS(Calculations!H:H,Calculations!C:C,$A19)</f>
        <v>222359.6190040831</v>
      </c>
      <c r="D19" s="103">
        <f>SUMIFS(Calculations!G:G,Calculations!C:C,$A19)</f>
        <v>38240.772405368829</v>
      </c>
      <c r="E19" s="103">
        <f>SUMIFS(Calculations!R:R,Calculations!C:C,$A19)</f>
        <v>5452.128626094539</v>
      </c>
      <c r="F19" s="103">
        <f>SUMIFS(Calculations!K:K,Calculations!C:C,$A19)</f>
        <v>203272.23321580078</v>
      </c>
      <c r="G19" s="103">
        <f>SUMIFS(Calculations!L:L,Calculations!C:C,$A19)</f>
        <v>49069.157634850861</v>
      </c>
      <c r="H19" s="103">
        <f>SUMIFS(Calculations!Q:Q,Calculations!C:C,$A19)</f>
        <v>2310</v>
      </c>
      <c r="I19" s="103">
        <f>-SUMIFS(Calculations!O:O,Calculations!C:C,$A19)</f>
        <v>-22500</v>
      </c>
      <c r="J19" s="103">
        <f>SUMIFS(Calculations!M:M,Calculations!C:C,$A19)</f>
        <v>0</v>
      </c>
      <c r="K19" s="103">
        <f>SUMIFS(Calculations!N:N,Calculations!C:C,$A19)</f>
        <v>0</v>
      </c>
    </row>
    <row r="20" spans="1:11">
      <c r="A20" s="85">
        <v>14</v>
      </c>
      <c r="B20" s="103">
        <f>SUMIFS(Calculations!F:F,Calculations!C:C,$A20)</f>
        <v>245732.797055445</v>
      </c>
      <c r="C20" s="103">
        <f>SUMIFS(Calculations!H:H,Calculations!C:C,$A20)</f>
        <v>232276.85801166529</v>
      </c>
      <c r="D20" s="103">
        <f>SUMIFS(Calculations!G:G,Calculations!C:C,$A20)</f>
        <v>38240.772405368829</v>
      </c>
      <c r="E20" s="103">
        <f>SUMIFS(Calculations!R:R,Calculations!C:C,$A20)</f>
        <v>5588.4318417468958</v>
      </c>
      <c r="F20" s="103">
        <f>SUMIFS(Calculations!K:K,Calculations!C:C,$A20)</f>
        <v>213435.84487659106</v>
      </c>
      <c r="G20" s="103">
        <f>SUMIFS(Calculations!L:L,Calculations!C:C,$A20)</f>
        <v>50295.886575722048</v>
      </c>
      <c r="H20" s="103">
        <f>SUMIFS(Calculations!Q:Q,Calculations!C:C,$A20)</f>
        <v>2310</v>
      </c>
      <c r="I20" s="103">
        <f>-SUMIFS(Calculations!O:O,Calculations!C:C,$A20)</f>
        <v>-22500</v>
      </c>
      <c r="J20" s="103">
        <f>SUMIFS(Calculations!M:M,Calculations!C:C,$A20)</f>
        <v>0</v>
      </c>
      <c r="K20" s="103">
        <f>SUMIFS(Calculations!N:N,Calculations!C:C,$A20)</f>
        <v>0</v>
      </c>
    </row>
    <row r="21" spans="1:11">
      <c r="A21" s="85">
        <v>15</v>
      </c>
      <c r="B21" s="103">
        <f>SUMIFS(Calculations!F:F,Calculations!C:C,$A21)</f>
        <v>235373.24918812473</v>
      </c>
      <c r="C21" s="103">
        <f>SUMIFS(Calculations!H:H,Calculations!C:C,$A21)</f>
        <v>242636.40587898559</v>
      </c>
      <c r="D21" s="103">
        <f>SUMIFS(Calculations!G:G,Calculations!C:C,$A21)</f>
        <v>38240.772405368829</v>
      </c>
      <c r="E21" s="103">
        <f>SUMIFS(Calculations!R:R,Calculations!C:C,$A21)</f>
        <v>5728.1426377905591</v>
      </c>
      <c r="F21" s="103">
        <f>SUMIFS(Calculations!K:K,Calculations!C:C,$A21)</f>
        <v>224107.63712042087</v>
      </c>
      <c r="G21" s="103">
        <f>SUMIFS(Calculations!L:L,Calculations!C:C,$A21)</f>
        <v>51553.283740115032</v>
      </c>
      <c r="H21" s="103">
        <f>SUMIFS(Calculations!Q:Q,Calculations!C:C,$A21)</f>
        <v>2310</v>
      </c>
      <c r="I21" s="103">
        <f>-SUMIFS(Calculations!O:O,Calculations!C:C,$A21)</f>
        <v>-22500</v>
      </c>
      <c r="J21" s="103">
        <f>SUMIFS(Calculations!M:M,Calculations!C:C,$A21)</f>
        <v>0</v>
      </c>
      <c r="K21" s="103">
        <f>SUMIFS(Calculations!N:N,Calculations!C:C,$A21)</f>
        <v>0</v>
      </c>
    </row>
    <row r="22" spans="1:11">
      <c r="A22" s="85">
        <v>16</v>
      </c>
      <c r="B22" s="103">
        <f>SUMIFS(Calculations!F:F,Calculations!C:C,$A22)</f>
        <v>224551.66548592178</v>
      </c>
      <c r="C22" s="103">
        <f>SUMIFS(Calculations!H:H,Calculations!C:C,$A22)</f>
        <v>253457.98958118854</v>
      </c>
      <c r="D22" s="103">
        <f>SUMIFS(Calculations!G:G,Calculations!C:C,$A22)</f>
        <v>38240.772405368829</v>
      </c>
      <c r="E22" s="103">
        <f>SUMIFS(Calculations!R:R,Calculations!C:C,$A22)</f>
        <v>5871.3462037353138</v>
      </c>
      <c r="F22" s="103">
        <f>SUMIFS(Calculations!K:K,Calculations!C:C,$A22)</f>
        <v>235313.0189764422</v>
      </c>
      <c r="G22" s="103">
        <f>SUMIFS(Calculations!L:L,Calculations!C:C,$A22)</f>
        <v>52842.115833617834</v>
      </c>
      <c r="H22" s="103">
        <f>SUMIFS(Calculations!Q:Q,Calculations!C:C,$A22)</f>
        <v>2310</v>
      </c>
      <c r="I22" s="103">
        <f>-SUMIFS(Calculations!O:O,Calculations!C:C,$A22)</f>
        <v>-22500</v>
      </c>
      <c r="J22" s="103">
        <f>SUMIFS(Calculations!M:M,Calculations!C:C,$A22)</f>
        <v>0</v>
      </c>
      <c r="K22" s="103">
        <f>SUMIFS(Calculations!N:N,Calculations!C:C,$A22)</f>
        <v>0</v>
      </c>
    </row>
    <row r="23" spans="1:11">
      <c r="A23" s="85">
        <v>17</v>
      </c>
      <c r="B23" s="103">
        <f>SUMIFS(Calculations!F:F,Calculations!C:C,$A23)</f>
        <v>213247.43915060078</v>
      </c>
      <c r="C23" s="103">
        <f>SUMIFS(Calculations!H:H,Calculations!C:C,$A23)</f>
        <v>264762.21591650951</v>
      </c>
      <c r="D23" s="103">
        <f>SUMIFS(Calculations!G:G,Calculations!C:C,$A23)</f>
        <v>38240.772405368829</v>
      </c>
      <c r="E23" s="103">
        <f>SUMIFS(Calculations!R:R,Calculations!C:C,$A23)</f>
        <v>6018.1298588286891</v>
      </c>
      <c r="F23" s="103">
        <f>SUMIFS(Calculations!K:K,Calculations!C:C,$A23)</f>
        <v>247078.66992526455</v>
      </c>
      <c r="G23" s="103">
        <f>SUMIFS(Calculations!L:L,Calculations!C:C,$A23)</f>
        <v>54163.168729458201</v>
      </c>
      <c r="H23" s="103">
        <f>SUMIFS(Calculations!Q:Q,Calculations!C:C,$A23)</f>
        <v>2310</v>
      </c>
      <c r="I23" s="103">
        <f>-SUMIFS(Calculations!O:O,Calculations!C:C,$A23)</f>
        <v>-22500</v>
      </c>
      <c r="J23" s="103">
        <f>SUMIFS(Calculations!M:M,Calculations!C:C,$A23)</f>
        <v>0</v>
      </c>
      <c r="K23" s="103">
        <f>SUMIFS(Calculations!N:N,Calculations!C:C,$A23)</f>
        <v>0</v>
      </c>
    </row>
    <row r="24" spans="1:11">
      <c r="A24" s="85">
        <v>18</v>
      </c>
      <c r="B24" s="103">
        <f>SUMIFS(Calculations!F:F,Calculations!C:C,$A24)</f>
        <v>201439.04432072444</v>
      </c>
      <c r="C24" s="103">
        <f>SUMIFS(Calculations!H:H,Calculations!C:C,$A24)</f>
        <v>276570.61074638588</v>
      </c>
      <c r="D24" s="103">
        <f>SUMIFS(Calculations!G:G,Calculations!C:C,$A24)</f>
        <v>38240.772405368829</v>
      </c>
      <c r="E24" s="103">
        <f>SUMIFS(Calculations!R:R,Calculations!C:C,$A24)</f>
        <v>6168.5831052993981</v>
      </c>
      <c r="F24" s="103">
        <f>SUMIFS(Calculations!K:K,Calculations!C:C,$A24)</f>
        <v>259432.60342152804</v>
      </c>
      <c r="G24" s="103">
        <f>SUMIFS(Calculations!L:L,Calculations!C:C,$A24)</f>
        <v>55517.247947694574</v>
      </c>
      <c r="H24" s="103">
        <f>SUMIFS(Calculations!Q:Q,Calculations!C:C,$A24)</f>
        <v>2310</v>
      </c>
      <c r="I24" s="103">
        <f>-SUMIFS(Calculations!O:O,Calculations!C:C,$A24)</f>
        <v>-22500</v>
      </c>
      <c r="J24" s="103">
        <f>SUMIFS(Calculations!M:M,Calculations!C:C,$A24)</f>
        <v>0</v>
      </c>
      <c r="K24" s="103">
        <f>SUMIFS(Calculations!N:N,Calculations!C:C,$A24)</f>
        <v>0</v>
      </c>
    </row>
    <row r="25" spans="1:11">
      <c r="A25" s="85">
        <v>19</v>
      </c>
      <c r="B25" s="103">
        <f>SUMIFS(Calculations!F:F,Calculations!C:C,$A25)</f>
        <v>189103.9950814356</v>
      </c>
      <c r="C25" s="103">
        <f>SUMIFS(Calculations!H:H,Calculations!C:C,$A25)</f>
        <v>288905.65998567478</v>
      </c>
      <c r="D25" s="103">
        <f>SUMIFS(Calculations!G:G,Calculations!C:C,$A25)</f>
        <v>38240.772405368829</v>
      </c>
      <c r="E25" s="103">
        <f>SUMIFS(Calculations!R:R,Calculations!C:C,$A25)</f>
        <v>6322.7976829318732</v>
      </c>
      <c r="F25" s="103">
        <f>SUMIFS(Calculations!K:K,Calculations!C:C,$A25)</f>
        <v>272404.23359260475</v>
      </c>
      <c r="G25" s="103">
        <f>SUMIFS(Calculations!L:L,Calculations!C:C,$A25)</f>
        <v>56905.179146386865</v>
      </c>
      <c r="H25" s="103">
        <f>SUMIFS(Calculations!Q:Q,Calculations!C:C,$A25)</f>
        <v>2310</v>
      </c>
      <c r="I25" s="103">
        <f>-SUMIFS(Calculations!O:O,Calculations!C:C,$A25)</f>
        <v>-22500</v>
      </c>
      <c r="J25" s="103">
        <f>SUMIFS(Calculations!M:M,Calculations!C:C,$A25)</f>
        <v>0</v>
      </c>
      <c r="K25" s="103">
        <f>SUMIFS(Calculations!N:N,Calculations!C:C,$A25)</f>
        <v>0</v>
      </c>
    </row>
    <row r="26" spans="1:11">
      <c r="A26" s="85">
        <v>20</v>
      </c>
      <c r="B26" s="103">
        <f>SUMIFS(Calculations!F:F,Calculations!C:C,$A26)</f>
        <v>176218.80264607441</v>
      </c>
      <c r="C26" s="103">
        <f>SUMIFS(Calculations!H:H,Calculations!C:C,$A26)</f>
        <v>301790.85242103587</v>
      </c>
      <c r="D26" s="103">
        <f>SUMIFS(Calculations!G:G,Calculations!C:C,$A26)</f>
        <v>38240.772405368829</v>
      </c>
      <c r="E26" s="103">
        <f>SUMIFS(Calculations!R:R,Calculations!C:C,$A26)</f>
        <v>6480.8676250051603</v>
      </c>
      <c r="F26" s="103">
        <f>SUMIFS(Calculations!K:K,Calculations!C:C,$A26)</f>
        <v>286024.44527223537</v>
      </c>
      <c r="G26" s="103">
        <f>SUMIFS(Calculations!L:L,Calculations!C:C,$A26)</f>
        <v>58327.808625046455</v>
      </c>
      <c r="H26" s="103">
        <f>SUMIFS(Calculations!Q:Q,Calculations!C:C,$A26)</f>
        <v>2310</v>
      </c>
      <c r="I26" s="103">
        <f>-SUMIFS(Calculations!O:O,Calculations!C:C,$A26)</f>
        <v>-22500</v>
      </c>
      <c r="J26" s="103">
        <f>SUMIFS(Calculations!M:M,Calculations!C:C,$A26)</f>
        <v>0</v>
      </c>
      <c r="K26" s="103">
        <f>SUMIFS(Calculations!N:N,Calculations!C:C,$A26)</f>
        <v>0</v>
      </c>
    </row>
    <row r="27" spans="1:11">
      <c r="A27" s="85">
        <v>21</v>
      </c>
      <c r="B27" s="103">
        <f>SUMIFS(Calculations!F:F,Calculations!C:C,$A27)</f>
        <v>162758.93062809616</v>
      </c>
      <c r="C27" s="103">
        <f>SUMIFS(Calculations!H:H,Calculations!C:C,$A27)</f>
        <v>315250.72443901416</v>
      </c>
      <c r="D27" s="103">
        <f>SUMIFS(Calculations!G:G,Calculations!C:C,$A27)</f>
        <v>38240.772405368829</v>
      </c>
      <c r="E27" s="103">
        <f>SUMIFS(Calculations!R:R,Calculations!C:C,$A27)</f>
        <v>6642.8893156302811</v>
      </c>
      <c r="F27" s="103">
        <f>SUMIFS(Calculations!K:K,Calculations!C:C,$A27)</f>
        <v>300325.6675358474</v>
      </c>
      <c r="G27" s="103">
        <f>SUMIFS(Calculations!L:L,Calculations!C:C,$A27)</f>
        <v>59786.003840672536</v>
      </c>
      <c r="H27" s="103">
        <f>SUMIFS(Calculations!Q:Q,Calculations!C:C,$A27)</f>
        <v>2310</v>
      </c>
      <c r="I27" s="103">
        <f>-SUMIFS(Calculations!O:O,Calculations!C:C,$A27)</f>
        <v>-22498.67505352994</v>
      </c>
      <c r="J27" s="103">
        <f>SUMIFS(Calculations!M:M,Calculations!C:C,$A27)</f>
        <v>0</v>
      </c>
      <c r="K27" s="103">
        <f>SUMIFS(Calculations!N:N,Calculations!C:C,$A27)</f>
        <v>0</v>
      </c>
    </row>
    <row r="28" spans="1:11">
      <c r="A28" s="85">
        <v>22</v>
      </c>
      <c r="B28" s="103">
        <f>SUMIFS(Calculations!F:F,Calculations!C:C,$A28)</f>
        <v>148698.74831811604</v>
      </c>
      <c r="C28" s="103">
        <f>SUMIFS(Calculations!H:H,Calculations!C:C,$A28)</f>
        <v>329310.90674899425</v>
      </c>
      <c r="D28" s="103">
        <f>SUMIFS(Calculations!G:G,Calculations!C:C,$A28)</f>
        <v>38240.772405368829</v>
      </c>
      <c r="E28" s="103">
        <f>SUMIFS(Calculations!R:R,Calculations!C:C,$A28)</f>
        <v>6808.961548521027</v>
      </c>
      <c r="F28" s="103">
        <f>SUMIFS(Calculations!K:K,Calculations!C:C,$A28)</f>
        <v>315341.95091264014</v>
      </c>
      <c r="G28" s="103">
        <f>SUMIFS(Calculations!L:L,Calculations!C:C,$A28)</f>
        <v>61280.653936689276</v>
      </c>
      <c r="H28" s="103">
        <f>SUMIFS(Calculations!Q:Q,Calculations!C:C,$A28)</f>
        <v>2310</v>
      </c>
      <c r="I28" s="103">
        <f>-SUMIFS(Calculations!O:O,Calculations!C:C,$A28)</f>
        <v>-21303.017604198267</v>
      </c>
      <c r="J28" s="103">
        <f>SUMIFS(Calculations!M:M,Calculations!C:C,$A28)</f>
        <v>0</v>
      </c>
      <c r="K28" s="103">
        <f>SUMIFS(Calculations!N:N,Calculations!C:C,$A28)</f>
        <v>0</v>
      </c>
    </row>
    <row r="29" spans="1:11">
      <c r="A29" s="85">
        <v>23</v>
      </c>
      <c r="B29" s="103">
        <f>SUMIFS(Calculations!F:F,Calculations!C:C,$A29)</f>
        <v>134011.48187711078</v>
      </c>
      <c r="C29" s="103">
        <f>SUMIFS(Calculations!H:H,Calculations!C:C,$A29)</f>
        <v>343998.17318999954</v>
      </c>
      <c r="D29" s="103">
        <f>SUMIFS(Calculations!G:G,Calculations!C:C,$A29)</f>
        <v>38240.772405368829</v>
      </c>
      <c r="E29" s="103">
        <f>SUMIFS(Calculations!R:R,Calculations!C:C,$A29)</f>
        <v>6979.1855872340448</v>
      </c>
      <c r="F29" s="103">
        <f>SUMIFS(Calculations!K:K,Calculations!C:C,$A29)</f>
        <v>331109.04845827247</v>
      </c>
      <c r="G29" s="103">
        <f>SUMIFS(Calculations!L:L,Calculations!C:C,$A29)</f>
        <v>62812.670285106396</v>
      </c>
      <c r="H29" s="103">
        <f>SUMIFS(Calculations!Q:Q,Calculations!C:C,$A29)</f>
        <v>2310</v>
      </c>
      <c r="I29" s="103">
        <f>-SUMIFS(Calculations!O:O,Calculations!C:C,$A29)</f>
        <v>-19055.247596946527</v>
      </c>
      <c r="J29" s="103">
        <f>SUMIFS(Calculations!M:M,Calculations!C:C,$A29)</f>
        <v>0</v>
      </c>
      <c r="K29" s="103">
        <f>SUMIFS(Calculations!N:N,Calculations!C:C,$A29)</f>
        <v>0</v>
      </c>
    </row>
    <row r="30" spans="1:11">
      <c r="A30" s="85">
        <v>24</v>
      </c>
      <c r="B30" s="103">
        <f>SUMIFS(Calculations!F:F,Calculations!C:C,$A30)</f>
        <v>118669.16335283671</v>
      </c>
      <c r="C30" s="103">
        <f>SUMIFS(Calculations!H:H,Calculations!C:C,$A30)</f>
        <v>359340.49171427364</v>
      </c>
      <c r="D30" s="103">
        <f>SUMIFS(Calculations!G:G,Calculations!C:C,$A30)</f>
        <v>38240.772405368829</v>
      </c>
      <c r="E30" s="103">
        <f>SUMIFS(Calculations!R:R,Calculations!C:C,$A30)</f>
        <v>7153.6652269148844</v>
      </c>
      <c r="F30" s="103">
        <f>SUMIFS(Calculations!K:K,Calculations!C:C,$A30)</f>
        <v>347664.50088118651</v>
      </c>
      <c r="G30" s="103">
        <f>SUMIFS(Calculations!L:L,Calculations!C:C,$A30)</f>
        <v>64382.987042233966</v>
      </c>
      <c r="H30" s="103">
        <f>SUMIFS(Calculations!Q:Q,Calculations!C:C,$A30)</f>
        <v>2310</v>
      </c>
      <c r="I30" s="103">
        <f>-SUMIFS(Calculations!O:O,Calculations!C:C,$A30)</f>
        <v>-16707.227047371362</v>
      </c>
      <c r="J30" s="103">
        <f>SUMIFS(Calculations!M:M,Calculations!C:C,$A30)</f>
        <v>0</v>
      </c>
      <c r="K30" s="103">
        <f>SUMIFS(Calculations!N:N,Calculations!C:C,$A30)</f>
        <v>0</v>
      </c>
    </row>
    <row r="31" spans="1:11">
      <c r="A31" s="85">
        <v>25</v>
      </c>
      <c r="B31" s="103">
        <f>SUMIFS(Calculations!F:F,Calculations!C:C,$A31)</f>
        <v>102642.57742238003</v>
      </c>
      <c r="C31" s="103">
        <f>SUMIFS(Calculations!H:H,Calculations!C:C,$A31)</f>
        <v>375367.07764473028</v>
      </c>
      <c r="D31" s="103">
        <f>SUMIFS(Calculations!G:G,Calculations!C:C,$A31)</f>
        <v>38240.772405368829</v>
      </c>
      <c r="E31" s="103">
        <f>SUMIFS(Calculations!R:R,Calculations!C:C,$A31)</f>
        <v>7332.5068575877467</v>
      </c>
      <c r="F31" s="103">
        <f>SUMIFS(Calculations!K:K,Calculations!C:C,$A31)</f>
        <v>365047.72592524625</v>
      </c>
      <c r="G31" s="103">
        <f>SUMIFS(Calculations!L:L,Calculations!C:C,$A31)</f>
        <v>65992.561718289726</v>
      </c>
      <c r="H31" s="103">
        <f>SUMIFS(Calculations!Q:Q,Calculations!C:C,$A31)</f>
        <v>2310</v>
      </c>
      <c r="I31" s="103">
        <f>-SUMIFS(Calculations!O:O,Calculations!C:C,$A31)</f>
        <v>-14254.48478128514</v>
      </c>
      <c r="J31" s="103">
        <f>SUMIFS(Calculations!M:M,Calculations!C:C,$A31)</f>
        <v>0</v>
      </c>
      <c r="K31" s="103">
        <f>SUMIFS(Calculations!N:N,Calculations!C:C,$A31)</f>
        <v>0</v>
      </c>
    </row>
    <row r="32" spans="1:11">
      <c r="A32" s="85">
        <v>26</v>
      </c>
      <c r="B32" s="103">
        <f>SUMIFS(Calculations!F:F,Calculations!C:C,$A32)</f>
        <v>85901.205759424935</v>
      </c>
      <c r="C32" s="103">
        <f>SUMIFS(Calculations!H:H,Calculations!C:C,$A32)</f>
        <v>392108.44930768537</v>
      </c>
      <c r="D32" s="103">
        <f>SUMIFS(Calculations!G:G,Calculations!C:C,$A32)</f>
        <v>38240.772405368829</v>
      </c>
      <c r="E32" s="103">
        <f>SUMIFS(Calculations!R:R,Calculations!C:C,$A32)</f>
        <v>7515.8195290274298</v>
      </c>
      <c r="F32" s="103">
        <f>SUMIFS(Calculations!K:K,Calculations!C:C,$A32)</f>
        <v>383300.11222150904</v>
      </c>
      <c r="G32" s="103">
        <f>SUMIFS(Calculations!L:L,Calculations!C:C,$A32)</f>
        <v>67642.375761246862</v>
      </c>
      <c r="H32" s="103">
        <f>SUMIFS(Calculations!Q:Q,Calculations!C:C,$A32)</f>
        <v>2310</v>
      </c>
      <c r="I32" s="103">
        <f>-SUMIFS(Calculations!O:O,Calculations!C:C,$A32)</f>
        <v>-11692.350210131472</v>
      </c>
      <c r="J32" s="103">
        <f>SUMIFS(Calculations!M:M,Calculations!C:C,$A32)</f>
        <v>0</v>
      </c>
      <c r="K32" s="103">
        <f>SUMIFS(Calculations!N:N,Calculations!C:C,$A32)</f>
        <v>0</v>
      </c>
    </row>
    <row r="33" spans="1:11">
      <c r="A33" s="85">
        <v>27</v>
      </c>
      <c r="B33" s="103">
        <f>SUMIFS(Calculations!F:F,Calculations!C:C,$A33)</f>
        <v>68413.16892030208</v>
      </c>
      <c r="C33" s="103">
        <f>SUMIFS(Calculations!H:H,Calculations!C:C,$A33)</f>
        <v>409596.48614680831</v>
      </c>
      <c r="D33" s="103">
        <f>SUMIFS(Calculations!G:G,Calculations!C:C,$A33)</f>
        <v>38240.772405368829</v>
      </c>
      <c r="E33" s="103">
        <f>SUMIFS(Calculations!R:R,Calculations!C:C,$A33)</f>
        <v>7703.7150172531037</v>
      </c>
      <c r="F33" s="103">
        <f>SUMIFS(Calculations!K:K,Calculations!C:C,$A33)</f>
        <v>402465.11783258489</v>
      </c>
      <c r="G33" s="103">
        <f>SUMIFS(Calculations!L:L,Calculations!C:C,$A33)</f>
        <v>69333.435155277955</v>
      </c>
      <c r="H33" s="103">
        <f>SUMIFS(Calculations!Q:Q,Calculations!C:C,$A33)</f>
        <v>2310</v>
      </c>
      <c r="I33" s="103">
        <f>-SUMIFS(Calculations!O:O,Calculations!C:C,$A33)</f>
        <v>-9015.9444371043555</v>
      </c>
      <c r="J33" s="103">
        <f>SUMIFS(Calculations!M:M,Calculations!C:C,$A33)</f>
        <v>0</v>
      </c>
      <c r="K33" s="103">
        <f>SUMIFS(Calculations!N:N,Calculations!C:C,$A33)</f>
        <v>0</v>
      </c>
    </row>
    <row r="34" spans="1:11">
      <c r="A34" s="85">
        <v>28</v>
      </c>
      <c r="B34" s="103">
        <f>SUMIFS(Calculations!F:F,Calculations!C:C,$A34)</f>
        <v>50145.165638154322</v>
      </c>
      <c r="C34" s="103">
        <f>SUMIFS(Calculations!H:H,Calculations!C:C,$A34)</f>
        <v>427864.489428956</v>
      </c>
      <c r="D34" s="103">
        <f>SUMIFS(Calculations!G:G,Calculations!C:C,$A34)</f>
        <v>38240.772405368829</v>
      </c>
      <c r="E34" s="103">
        <f>SUMIFS(Calculations!R:R,Calculations!C:C,$A34)</f>
        <v>7896.3078926844228</v>
      </c>
      <c r="F34" s="103">
        <f>SUMIFS(Calculations!K:K,Calculations!C:C,$A34)</f>
        <v>422588.37372421462</v>
      </c>
      <c r="G34" s="103">
        <f>SUMIFS(Calculations!L:L,Calculations!C:C,$A34)</f>
        <v>71066.771034159814</v>
      </c>
      <c r="H34" s="103">
        <f>SUMIFS(Calculations!Q:Q,Calculations!C:C,$A34)</f>
        <v>2310</v>
      </c>
      <c r="I34" s="103">
        <f>-SUMIFS(Calculations!O:O,Calculations!C:C,$A34)</f>
        <v>-6220.1709666002262</v>
      </c>
      <c r="J34" s="103">
        <f>SUMIFS(Calculations!M:M,Calculations!C:C,$A34)</f>
        <v>0</v>
      </c>
      <c r="K34" s="103">
        <f>SUMIFS(Calculations!N:N,Calculations!C:C,$A34)</f>
        <v>0</v>
      </c>
    </row>
    <row r="35" spans="1:11">
      <c r="A35" s="85">
        <v>29</v>
      </c>
      <c r="B35" s="103">
        <f>SUMIFS(Calculations!F:F,Calculations!C:C,$A35)</f>
        <v>31062.409409622782</v>
      </c>
      <c r="C35" s="103">
        <f>SUMIFS(Calculations!H:H,Calculations!C:C,$A35)</f>
        <v>446947.24565748754</v>
      </c>
      <c r="D35" s="103">
        <f>SUMIFS(Calculations!G:G,Calculations!C:C,$A35)</f>
        <v>38240.772405368829</v>
      </c>
      <c r="E35" s="103">
        <f>SUMIFS(Calculations!R:R,Calculations!C:C,$A35)</f>
        <v>8093.7155900015214</v>
      </c>
      <c r="F35" s="103">
        <f>SUMIFS(Calculations!K:K,Calculations!C:C,$A35)</f>
        <v>443717.79241042596</v>
      </c>
      <c r="G35" s="103">
        <f>SUMIFS(Calculations!L:L,Calculations!C:C,$A35)</f>
        <v>72843.440310013684</v>
      </c>
      <c r="H35" s="103">
        <f>SUMIFS(Calculations!Q:Q,Calculations!C:C,$A35)</f>
        <v>2310</v>
      </c>
      <c r="I35" s="103">
        <f>-SUMIFS(Calculations!O:O,Calculations!C:C,$A35)</f>
        <v>-3299.7059993116113</v>
      </c>
      <c r="J35" s="103">
        <f>SUMIFS(Calculations!M:M,Calculations!C:C,$A35)</f>
        <v>0</v>
      </c>
      <c r="K35" s="103">
        <f>SUMIFS(Calculations!N:N,Calculations!C:C,$A35)</f>
        <v>0</v>
      </c>
    </row>
    <row r="36" spans="1:11">
      <c r="A36" s="85">
        <v>30</v>
      </c>
      <c r="B36" s="103">
        <f>SUMIFS(Calculations!F:F,Calculations!C:C,$A36)</f>
        <v>11128.562253298725</v>
      </c>
      <c r="C36" s="103">
        <f>SUMIFS(Calculations!H:H,Calculations!C:C,$A36)</f>
        <v>466881.09281381156</v>
      </c>
      <c r="D36" s="103">
        <f>SUMIFS(Calculations!G:G,Calculations!C:C,$A36)</f>
        <v>38240.772405368829</v>
      </c>
      <c r="E36" s="103">
        <f>SUMIFS(Calculations!R:R,Calculations!C:C,$A36)</f>
        <v>8296.0584797515476</v>
      </c>
      <c r="F36" s="103">
        <f>SUMIFS(Calculations!K:K,Calculations!C:C,$A36)</f>
        <v>465903.68203094765</v>
      </c>
      <c r="G36" s="103">
        <f>SUMIFS(Calculations!L:L,Calculations!C:C,$A36)</f>
        <v>74664.526317763928</v>
      </c>
      <c r="H36" s="103">
        <f>SUMIFS(Calculations!Q:Q,Calculations!C:C,$A36)</f>
        <v>2310</v>
      </c>
      <c r="I36" s="103">
        <f>-SUMIFS(Calculations!O:O,Calculations!C:C,$A36)</f>
        <v>-651.32332147797342</v>
      </c>
      <c r="J36" s="103">
        <f>SUMIFS(Calculations!M:M,Calculations!C:C,$A36)</f>
        <v>0</v>
      </c>
      <c r="K36" s="103">
        <f>SUMIFS(Calculations!N:N,Calculations!C:C,$A36)</f>
        <v>0</v>
      </c>
    </row>
    <row r="37" spans="1:11">
      <c r="A37" s="85">
        <v>31</v>
      </c>
      <c r="B37" s="103">
        <f>SUMIFS(Calculations!F:F,Calculations!C:C,$A37)</f>
        <v>9.2484697233886046E-11</v>
      </c>
      <c r="C37" s="103">
        <f>SUMIFS(Calculations!H:H,Calculations!C:C,$A37)</f>
        <v>-9.2484697233886046E-11</v>
      </c>
      <c r="D37" s="103">
        <f>SUMIFS(Calculations!G:G,Calculations!C:C,$A37)</f>
        <v>0</v>
      </c>
      <c r="E37" s="103">
        <f>SUMIFS(Calculations!R:R,Calculations!C:C,$A37)</f>
        <v>8503.4599417453246</v>
      </c>
      <c r="F37" s="103">
        <f>SUMIFS(Calculations!K:K,Calculations!C:C,$A37)</f>
        <v>489198.86613249558</v>
      </c>
      <c r="G37" s="103">
        <f>SUMIFS(Calculations!L:L,Calculations!C:C,$A37)</f>
        <v>76531.139475707911</v>
      </c>
      <c r="H37" s="103">
        <f>SUMIFS(Calculations!Q:Q,Calculations!C:C,$A37)</f>
        <v>2310</v>
      </c>
      <c r="I37" s="103">
        <f>-SUMIFS(Calculations!O:O,Calculations!C:C,$A37)</f>
        <v>-1.4154051702343783E-11</v>
      </c>
      <c r="J37" s="103">
        <f>SUMIFS(Calculations!M:M,Calculations!C:C,$A37)</f>
        <v>0</v>
      </c>
      <c r="K37" s="103">
        <f>SUMIFS(Calculations!N:N,Calculations!C:C,$A37)</f>
        <v>0</v>
      </c>
    </row>
    <row r="38" spans="1:11">
      <c r="A38" s="85">
        <v>32</v>
      </c>
      <c r="B38" s="103">
        <f>SUMIFS(Calculations!F:F,Calculations!C:C,$A38)</f>
        <v>9.6609514730517366E-11</v>
      </c>
      <c r="C38" s="103">
        <f>SUMIFS(Calculations!H:H,Calculations!C:C,$A38)</f>
        <v>-9.6609514730517366E-11</v>
      </c>
      <c r="D38" s="103">
        <f>SUMIFS(Calculations!G:G,Calculations!C:C,$A38)</f>
        <v>0</v>
      </c>
      <c r="E38" s="103">
        <f>SUMIFS(Calculations!R:R,Calculations!C:C,$A38)</f>
        <v>8716.0464402889447</v>
      </c>
      <c r="F38" s="103">
        <f>SUMIFS(Calculations!K:K,Calculations!C:C,$A38)</f>
        <v>513658.80943912099</v>
      </c>
      <c r="G38" s="103">
        <f>SUMIFS(Calculations!L:L,Calculations!C:C,$A38)</f>
        <v>78444.417962600521</v>
      </c>
      <c r="H38" s="103">
        <f>SUMIFS(Calculations!Q:Q,Calculations!C:C,$A38)</f>
        <v>2310</v>
      </c>
      <c r="I38" s="103">
        <f>-SUMIFS(Calculations!O:O,Calculations!C:C,$A38)</f>
        <v>-1.4785322408268319E-11</v>
      </c>
      <c r="J38" s="103">
        <f>SUMIFS(Calculations!M:M,Calculations!C:C,$A38)</f>
        <v>0</v>
      </c>
      <c r="K38" s="103">
        <f>SUMIFS(Calculations!N:N,Calculations!C:C,$A38)</f>
        <v>0</v>
      </c>
    </row>
    <row r="39" spans="1:11">
      <c r="A39" s="85">
        <v>33</v>
      </c>
      <c r="B39" s="103">
        <f>SUMIFS(Calculations!F:F,Calculations!C:C,$A39)</f>
        <v>1.0091829908749847E-10</v>
      </c>
      <c r="C39" s="103">
        <f>SUMIFS(Calculations!H:H,Calculations!C:C,$A39)</f>
        <v>-1.0091829908749847E-10</v>
      </c>
      <c r="D39" s="103">
        <f>SUMIFS(Calculations!G:G,Calculations!C:C,$A39)</f>
        <v>0</v>
      </c>
      <c r="E39" s="103">
        <f>SUMIFS(Calculations!R:R,Calculations!C:C,$A39)</f>
        <v>8933.9476012961568</v>
      </c>
      <c r="F39" s="103">
        <f>SUMIFS(Calculations!K:K,Calculations!C:C,$A39)</f>
        <v>539341.74991107755</v>
      </c>
      <c r="G39" s="103">
        <f>SUMIFS(Calculations!L:L,Calculations!C:C,$A39)</f>
        <v>80405.528411665407</v>
      </c>
      <c r="H39" s="103">
        <f>SUMIFS(Calculations!Q:Q,Calculations!C:C,$A39)</f>
        <v>2310</v>
      </c>
      <c r="I39" s="103">
        <f>-SUMIFS(Calculations!O:O,Calculations!C:C,$A39)</f>
        <v>-1.5444747787677094E-11</v>
      </c>
      <c r="J39" s="103">
        <f>SUMIFS(Calculations!M:M,Calculations!C:C,$A39)</f>
        <v>0</v>
      </c>
      <c r="K39" s="103">
        <f>SUMIFS(Calculations!N:N,Calculations!C:C,$A39)</f>
        <v>0</v>
      </c>
    </row>
    <row r="40" spans="1:11">
      <c r="A40" s="85">
        <v>34</v>
      </c>
      <c r="B40" s="103">
        <f>SUMIFS(Calculations!F:F,Calculations!C:C,$A40)</f>
        <v>1.0541925522680095E-10</v>
      </c>
      <c r="C40" s="103">
        <f>SUMIFS(Calculations!H:H,Calculations!C:C,$A40)</f>
        <v>-1.0541925522680095E-10</v>
      </c>
      <c r="D40" s="103">
        <f>SUMIFS(Calculations!G:G,Calculations!C:C,$A40)</f>
        <v>0</v>
      </c>
      <c r="E40" s="103">
        <f>SUMIFS(Calculations!R:R,Calculations!C:C,$A40)</f>
        <v>9157.2962913285464</v>
      </c>
      <c r="F40" s="103">
        <f>SUMIFS(Calculations!K:K,Calculations!C:C,$A40)</f>
        <v>566308.83740663202</v>
      </c>
      <c r="G40" s="103">
        <f>SUMIFS(Calculations!L:L,Calculations!C:C,$A40)</f>
        <v>82415.666621956931</v>
      </c>
      <c r="H40" s="103">
        <f>SUMIFS(Calculations!Q:Q,Calculations!C:C,$A40)</f>
        <v>2310</v>
      </c>
      <c r="I40" s="103">
        <f>-SUMIFS(Calculations!O:O,Calculations!C:C,$A40)</f>
        <v>-1.6133583539007499E-11</v>
      </c>
      <c r="J40" s="103">
        <f>SUMIFS(Calculations!M:M,Calculations!C:C,$A40)</f>
        <v>0</v>
      </c>
      <c r="K40" s="103">
        <f>SUMIFS(Calculations!N:N,Calculations!C:C,$A40)</f>
        <v>0</v>
      </c>
    </row>
    <row r="41" spans="1:11">
      <c r="A41" s="85">
        <v>35</v>
      </c>
      <c r="B41" s="103">
        <f>SUMIFS(Calculations!F:F,Calculations!C:C,$A41)</f>
        <v>1.101209540099163E-10</v>
      </c>
      <c r="C41" s="103">
        <f>SUMIFS(Calculations!H:H,Calculations!C:C,$A41)</f>
        <v>-1.101209540099163E-10</v>
      </c>
      <c r="D41" s="103">
        <f>SUMIFS(Calculations!G:G,Calculations!C:C,$A41)</f>
        <v>0</v>
      </c>
      <c r="E41" s="103">
        <f>SUMIFS(Calculations!R:R,Calculations!C:C,$A41)</f>
        <v>9386.2286986117488</v>
      </c>
      <c r="F41" s="103">
        <f>SUMIFS(Calculations!K:K,Calculations!C:C,$A41)</f>
        <v>594624.27927696437</v>
      </c>
      <c r="G41" s="103">
        <f>SUMIFS(Calculations!L:L,Calculations!C:C,$A41)</f>
        <v>84476.058287505715</v>
      </c>
      <c r="H41" s="103">
        <f>SUMIFS(Calculations!Q:Q,Calculations!C:C,$A41)</f>
        <v>2310</v>
      </c>
      <c r="I41" s="103">
        <f>-SUMIFS(Calculations!O:O,Calculations!C:C,$A41)</f>
        <v>-1.685314136484724E-11</v>
      </c>
      <c r="J41" s="103">
        <f>SUMIFS(Calculations!M:M,Calculations!C:C,$A41)</f>
        <v>0</v>
      </c>
      <c r="K41" s="103">
        <f>SUMIFS(Calculations!N:N,Calculations!C:C,$A41)</f>
        <v>0</v>
      </c>
    </row>
    <row r="42" spans="1:11">
      <c r="A42" s="85">
        <v>36</v>
      </c>
      <c r="B42" s="103">
        <f>SUMIFS(Calculations!F:F,Calculations!C:C,$A42)</f>
        <v>1.1503234855875859E-10</v>
      </c>
      <c r="C42" s="103">
        <f>SUMIFS(Calculations!H:H,Calculations!C:C,$A42)</f>
        <v>-1.1503234855875859E-10</v>
      </c>
      <c r="D42" s="103">
        <f>SUMIFS(Calculations!G:G,Calculations!C:C,$A42)</f>
        <v>0</v>
      </c>
      <c r="E42" s="103">
        <f>SUMIFS(Calculations!R:R,Calculations!C:C,$A42)</f>
        <v>9620.8844160770277</v>
      </c>
      <c r="F42" s="103">
        <f>SUMIFS(Calculations!K:K,Calculations!C:C,$A42)</f>
        <v>624355.49324081338</v>
      </c>
      <c r="G42" s="103">
        <f>SUMIFS(Calculations!L:L,Calculations!C:C,$A42)</f>
        <v>86587.959744693246</v>
      </c>
      <c r="H42" s="103">
        <f>SUMIFS(Calculations!Q:Q,Calculations!C:C,$A42)</f>
        <v>2310</v>
      </c>
      <c r="I42" s="103">
        <f>-SUMIFS(Calculations!O:O,Calculations!C:C,$A42)</f>
        <v>-1.7604791469719425E-11</v>
      </c>
      <c r="J42" s="103">
        <f>SUMIFS(Calculations!M:M,Calculations!C:C,$A42)</f>
        <v>0</v>
      </c>
      <c r="K42" s="103">
        <f>SUMIFS(Calculations!N:N,Calculations!C:C,$A42)</f>
        <v>0</v>
      </c>
    </row>
    <row r="43" spans="1:11">
      <c r="A43" s="85">
        <v>37</v>
      </c>
      <c r="B43" s="103">
        <f>SUMIFS(Calculations!F:F,Calculations!C:C,$A43)</f>
        <v>1.2016279130447925E-10</v>
      </c>
      <c r="C43" s="103">
        <f>SUMIFS(Calculations!H:H,Calculations!C:C,$A43)</f>
        <v>-1.2016279130447925E-10</v>
      </c>
      <c r="D43" s="103">
        <f>SUMIFS(Calculations!G:G,Calculations!C:C,$A43)</f>
        <v>0</v>
      </c>
      <c r="E43" s="103">
        <f>SUMIFS(Calculations!R:R,Calculations!C:C,$A43)</f>
        <v>9861.4065264789369</v>
      </c>
      <c r="F43" s="103">
        <f>SUMIFS(Calculations!K:K,Calculations!C:C,$A43)</f>
        <v>655573.26790285483</v>
      </c>
      <c r="G43" s="103">
        <f>SUMIFS(Calculations!L:L,Calculations!C:C,$A43)</f>
        <v>88752.658738310449</v>
      </c>
      <c r="H43" s="103">
        <f>SUMIFS(Calculations!Q:Q,Calculations!C:C,$A43)</f>
        <v>2310</v>
      </c>
      <c r="I43" s="103">
        <f>-SUMIFS(Calculations!O:O,Calculations!C:C,$A43)</f>
        <v>-1.8389965169268912E-11</v>
      </c>
      <c r="J43" s="103">
        <f>SUMIFS(Calculations!M:M,Calculations!C:C,$A43)</f>
        <v>0</v>
      </c>
      <c r="K43" s="103">
        <f>SUMIFS(Calculations!N:N,Calculations!C:C,$A43)</f>
        <v>0</v>
      </c>
    </row>
    <row r="44" spans="1:11">
      <c r="A44" s="85">
        <v>38</v>
      </c>
      <c r="B44" s="103">
        <f>SUMIFS(Calculations!F:F,Calculations!C:C,$A44)</f>
        <v>1.2552205179665904E-10</v>
      </c>
      <c r="C44" s="103">
        <f>SUMIFS(Calculations!H:H,Calculations!C:C,$A44)</f>
        <v>-1.2552205179665904E-10</v>
      </c>
      <c r="D44" s="103">
        <f>SUMIFS(Calculations!G:G,Calculations!C:C,$A44)</f>
        <v>0</v>
      </c>
      <c r="E44" s="103">
        <f>SUMIFS(Calculations!R:R,Calculations!C:C,$A44)</f>
        <v>10107.941689640898</v>
      </c>
      <c r="F44" s="103">
        <f>SUMIFS(Calculations!K:K,Calculations!C:C,$A44)</f>
        <v>688351.93129799818</v>
      </c>
      <c r="G44" s="103">
        <f>SUMIFS(Calculations!L:L,Calculations!C:C,$A44)</f>
        <v>90971.475206768097</v>
      </c>
      <c r="H44" s="103">
        <f>SUMIFS(Calculations!Q:Q,Calculations!C:C,$A44)</f>
        <v>2310</v>
      </c>
      <c r="I44" s="103">
        <f>-SUMIFS(Calculations!O:O,Calculations!C:C,$A44)</f>
        <v>-1.9210157615818315E-11</v>
      </c>
      <c r="J44" s="103">
        <f>SUMIFS(Calculations!M:M,Calculations!C:C,$A44)</f>
        <v>0</v>
      </c>
      <c r="K44" s="103">
        <f>SUMIFS(Calculations!N:N,Calculations!C:C,$A44)</f>
        <v>0</v>
      </c>
    </row>
    <row r="45" spans="1:11">
      <c r="A45" s="85">
        <v>39</v>
      </c>
      <c r="B45" s="103">
        <f>SUMIFS(Calculations!F:F,Calculations!C:C,$A45)</f>
        <v>1.3112033530679007E-10</v>
      </c>
      <c r="C45" s="103">
        <f>SUMIFS(Calculations!H:H,Calculations!C:C,$A45)</f>
        <v>-1.3112033530679007E-10</v>
      </c>
      <c r="D45" s="103">
        <f>SUMIFS(Calculations!G:G,Calculations!C:C,$A45)</f>
        <v>0</v>
      </c>
      <c r="E45" s="103">
        <f>SUMIFS(Calculations!R:R,Calculations!C:C,$A45)</f>
        <v>10360.640231881907</v>
      </c>
      <c r="F45" s="103">
        <f>SUMIFS(Calculations!K:K,Calculations!C:C,$A45)</f>
        <v>722769.52786289889</v>
      </c>
      <c r="G45" s="103">
        <f>SUMIFS(Calculations!L:L,Calculations!C:C,$A45)</f>
        <v>93245.762086937175</v>
      </c>
      <c r="H45" s="103">
        <f>SUMIFS(Calculations!Q:Q,Calculations!C:C,$A45)</f>
        <v>2310</v>
      </c>
      <c r="I45" s="103">
        <f>-SUMIFS(Calculations!O:O,Calculations!C:C,$A45)</f>
        <v>-2.0066930645483816E-11</v>
      </c>
      <c r="J45" s="103">
        <f>SUMIFS(Calculations!M:M,Calculations!C:C,$A45)</f>
        <v>0</v>
      </c>
      <c r="K45" s="103">
        <f>SUMIFS(Calculations!N:N,Calculations!C:C,$A45)</f>
        <v>0</v>
      </c>
    </row>
    <row r="46" spans="1:11">
      <c r="A46" s="85">
        <v>40</v>
      </c>
      <c r="B46" s="103">
        <f>SUMIFS(Calculations!F:F,Calculations!C:C,$A46)</f>
        <v>1.3696830226147294E-10</v>
      </c>
      <c r="C46" s="103">
        <f>SUMIFS(Calculations!H:H,Calculations!C:C,$A46)</f>
        <v>-1.3696830226147294E-10</v>
      </c>
      <c r="D46" s="103">
        <f>SUMIFS(Calculations!G:G,Calculations!C:C,$A46)</f>
        <v>0</v>
      </c>
      <c r="E46" s="103">
        <f>SUMIFS(Calculations!R:R,Calculations!C:C,$A46)</f>
        <v>10619.656237678939</v>
      </c>
      <c r="F46" s="103">
        <f>SUMIFS(Calculations!K:K,Calculations!C:C,$A46)</f>
        <v>758908.00425604475</v>
      </c>
      <c r="G46" s="103">
        <f>SUMIFS(Calculations!L:L,Calculations!C:C,$A46)</f>
        <v>95576.906139110462</v>
      </c>
      <c r="H46" s="103">
        <f>SUMIFS(Calculations!Q:Q,Calculations!C:C,$A46)</f>
        <v>2310</v>
      </c>
      <c r="I46" s="103">
        <f>-SUMIFS(Calculations!O:O,Calculations!C:C,$A46)</f>
        <v>-2.0961915752272398E-11</v>
      </c>
      <c r="J46" s="103">
        <f>SUMIFS(Calculations!M:M,Calculations!C:C,$A46)</f>
        <v>0</v>
      </c>
      <c r="K46" s="103">
        <f>SUMIFS(Calculations!N:N,Calculations!C:C,$A46)</f>
        <v>624343.51093141572</v>
      </c>
    </row>
    <row r="47" spans="1:11">
      <c r="A47" s="85">
        <v>41</v>
      </c>
      <c r="B47" s="103">
        <f>SUMIFS(Calculations!F:F,Calculations!C:C,$A47)</f>
        <v>1.4307708854233467E-10</v>
      </c>
      <c r="C47" s="103">
        <f>SUMIFS(Calculations!H:H,Calculations!C:C,$A47)</f>
        <v>-1.4307708854233467E-10</v>
      </c>
      <c r="D47" s="103">
        <f>SUMIFS(Calculations!G:G,Calculations!C:C,$A47)</f>
        <v>0</v>
      </c>
      <c r="E47" s="103">
        <f>SUMIFS(Calculations!R:R,Calculations!C:C,$A47)</f>
        <v>0</v>
      </c>
      <c r="F47" s="103">
        <f>SUMIFS(Calculations!K:K,Calculations!C:C,$A47)</f>
        <v>0</v>
      </c>
      <c r="G47" s="103">
        <f>SUMIFS(Calculations!L:L,Calculations!C:C,$A47)</f>
        <v>0</v>
      </c>
      <c r="H47" s="103">
        <f>SUMIFS(Calculations!Q:Q,Calculations!C:C,$A47)</f>
        <v>0</v>
      </c>
      <c r="I47" s="103">
        <f>-SUMIFS(Calculations!O:O,Calculations!C:C,$A47)</f>
        <v>-2.1896817194823754E-11</v>
      </c>
      <c r="J47" s="103">
        <f>SUMIFS(Calculations!M:M,Calculations!C:C,$A47)</f>
        <v>0</v>
      </c>
      <c r="K47" s="103">
        <f>SUMIFS(Calculations!N:N,Calculations!C:C,$A47)</f>
        <v>0</v>
      </c>
    </row>
    <row r="48" spans="1:11">
      <c r="A48" s="85">
        <v>42</v>
      </c>
      <c r="B48" s="103">
        <f>SUMIFS(Calculations!F:F,Calculations!C:C,$A48)</f>
        <v>1.4945832669132286E-10</v>
      </c>
      <c r="C48" s="103">
        <f>SUMIFS(Calculations!H:H,Calculations!C:C,$A48)</f>
        <v>-1.4945832669132286E-10</v>
      </c>
      <c r="D48" s="103">
        <f>SUMIFS(Calculations!G:G,Calculations!C:C,$A48)</f>
        <v>0</v>
      </c>
      <c r="E48" s="103">
        <f>SUMIFS(Calculations!R:R,Calculations!C:C,$A48)</f>
        <v>0</v>
      </c>
      <c r="F48" s="103">
        <f>SUMIFS(Calculations!K:K,Calculations!C:C,$A48)</f>
        <v>0</v>
      </c>
      <c r="G48" s="103">
        <f>SUMIFS(Calculations!L:L,Calculations!C:C,$A48)</f>
        <v>0</v>
      </c>
      <c r="H48" s="103">
        <f>SUMIFS(Calculations!Q:Q,Calculations!C:C,$A48)</f>
        <v>0</v>
      </c>
      <c r="I48" s="103">
        <f>-SUMIFS(Calculations!O:O,Calculations!C:C,$A48)</f>
        <v>-2.2873415241712897E-11</v>
      </c>
      <c r="J48" s="103">
        <f>SUMIFS(Calculations!M:M,Calculations!C:C,$A48)</f>
        <v>0</v>
      </c>
      <c r="K48" s="103">
        <f>SUMIFS(Calculations!N:N,Calculations!C:C,$A48)</f>
        <v>0</v>
      </c>
    </row>
    <row r="49" spans="1:11">
      <c r="A49" s="85">
        <v>43</v>
      </c>
      <c r="B49" s="103">
        <f>SUMIFS(Calculations!F:F,Calculations!C:C,$A49)</f>
        <v>1.5612416806175588E-10</v>
      </c>
      <c r="C49" s="103">
        <f>SUMIFS(Calculations!H:H,Calculations!C:C,$A49)</f>
        <v>-1.5612416806175588E-10</v>
      </c>
      <c r="D49" s="103">
        <f>SUMIFS(Calculations!G:G,Calculations!C:C,$A49)</f>
        <v>0</v>
      </c>
      <c r="E49" s="103">
        <f>SUMIFS(Calculations!R:R,Calculations!C:C,$A49)</f>
        <v>0</v>
      </c>
      <c r="F49" s="103">
        <f>SUMIFS(Calculations!K:K,Calculations!C:C,$A49)</f>
        <v>0</v>
      </c>
      <c r="G49" s="103">
        <f>SUMIFS(Calculations!L:L,Calculations!C:C,$A49)</f>
        <v>0</v>
      </c>
      <c r="H49" s="103">
        <f>SUMIFS(Calculations!Q:Q,Calculations!C:C,$A49)</f>
        <v>0</v>
      </c>
      <c r="I49" s="103">
        <f>-SUMIFS(Calculations!O:O,Calculations!C:C,$A49)</f>
        <v>-2.3893569561493301E-11</v>
      </c>
      <c r="J49" s="103">
        <f>SUMIFS(Calculations!M:M,Calculations!C:C,$A49)</f>
        <v>0</v>
      </c>
      <c r="K49" s="103">
        <f>SUMIFS(Calculations!N:N,Calculations!C:C,$A49)</f>
        <v>0</v>
      </c>
    </row>
    <row r="50" spans="1:11">
      <c r="A50" s="85">
        <v>44</v>
      </c>
      <c r="B50" s="103">
        <f>SUMIFS(Calculations!F:F,Calculations!C:C,$A50)</f>
        <v>1.6308730595731023E-10</v>
      </c>
      <c r="C50" s="103">
        <f>SUMIFS(Calculations!H:H,Calculations!C:C,$A50)</f>
        <v>-1.6308730595731023E-10</v>
      </c>
      <c r="D50" s="103">
        <f>SUMIFS(Calculations!G:G,Calculations!C:C,$A50)</f>
        <v>0</v>
      </c>
      <c r="E50" s="103">
        <f>SUMIFS(Calculations!R:R,Calculations!C:C,$A50)</f>
        <v>0</v>
      </c>
      <c r="F50" s="103">
        <f>SUMIFS(Calculations!K:K,Calculations!C:C,$A50)</f>
        <v>0</v>
      </c>
      <c r="G50" s="103">
        <f>SUMIFS(Calculations!L:L,Calculations!C:C,$A50)</f>
        <v>0</v>
      </c>
      <c r="H50" s="103">
        <f>SUMIFS(Calculations!Q:Q,Calculations!C:C,$A50)</f>
        <v>0</v>
      </c>
      <c r="I50" s="103">
        <f>-SUMIFS(Calculations!O:O,Calculations!C:C,$A50)</f>
        <v>-2.4959222763935899E-11</v>
      </c>
      <c r="J50" s="103">
        <f>SUMIFS(Calculations!M:M,Calculations!C:C,$A50)</f>
        <v>0</v>
      </c>
      <c r="K50" s="103">
        <f>SUMIFS(Calculations!N:N,Calculations!C:C,$A50)</f>
        <v>0</v>
      </c>
    </row>
    <row r="51" spans="1:11">
      <c r="A51" s="85">
        <v>45</v>
      </c>
      <c r="B51" s="103">
        <f>SUMIFS(Calculations!F:F,Calculations!C:C,$A51)</f>
        <v>1.7036099980300629E-10</v>
      </c>
      <c r="C51" s="103">
        <f>SUMIFS(Calculations!H:H,Calculations!C:C,$A51)</f>
        <v>-1.7036099980300629E-10</v>
      </c>
      <c r="D51" s="103">
        <f>SUMIFS(Calculations!G:G,Calculations!C:C,$A51)</f>
        <v>0</v>
      </c>
      <c r="E51" s="103">
        <f>SUMIFS(Calculations!R:R,Calculations!C:C,$A51)</f>
        <v>0</v>
      </c>
      <c r="F51" s="103">
        <f>SUMIFS(Calculations!K:K,Calculations!C:C,$A51)</f>
        <v>0</v>
      </c>
      <c r="G51" s="103">
        <f>SUMIFS(Calculations!L:L,Calculations!C:C,$A51)</f>
        <v>0</v>
      </c>
      <c r="H51" s="103">
        <f>SUMIFS(Calculations!Q:Q,Calculations!C:C,$A51)</f>
        <v>0</v>
      </c>
      <c r="I51" s="103">
        <f>-SUMIFS(Calculations!O:O,Calculations!C:C,$A51)</f>
        <v>-2.6072404099207453E-11</v>
      </c>
      <c r="J51" s="103">
        <f>SUMIFS(Calculations!M:M,Calculations!C:C,$A51)</f>
        <v>0</v>
      </c>
      <c r="K51" s="103">
        <f>SUMIFS(Calculations!N:N,Calculations!C:C,$A51)</f>
        <v>0</v>
      </c>
    </row>
    <row r="52" spans="1:11">
      <c r="A52" s="85">
        <v>46</v>
      </c>
      <c r="B52" s="103">
        <f>SUMIFS(Calculations!F:F,Calculations!C:C,$A52)</f>
        <v>1.7795910039422045E-10</v>
      </c>
      <c r="C52" s="103">
        <f>SUMIFS(Calculations!H:H,Calculations!C:C,$A52)</f>
        <v>-1.7795910039422045E-10</v>
      </c>
      <c r="D52" s="103">
        <f>SUMIFS(Calculations!G:G,Calculations!C:C,$A52)</f>
        <v>0</v>
      </c>
      <c r="E52" s="103">
        <f>SUMIFS(Calculations!R:R,Calculations!C:C,$A52)</f>
        <v>0</v>
      </c>
      <c r="F52" s="103">
        <f>SUMIFS(Calculations!K:K,Calculations!C:C,$A52)</f>
        <v>0</v>
      </c>
      <c r="G52" s="103">
        <f>SUMIFS(Calculations!L:L,Calculations!C:C,$A52)</f>
        <v>0</v>
      </c>
      <c r="H52" s="103">
        <f>SUMIFS(Calculations!Q:Q,Calculations!C:C,$A52)</f>
        <v>0</v>
      </c>
      <c r="I52" s="103">
        <f>-SUMIFS(Calculations!O:O,Calculations!C:C,$A52)</f>
        <v>-2.7235233322032123E-11</v>
      </c>
      <c r="J52" s="103">
        <f>SUMIFS(Calculations!M:M,Calculations!C:C,$A52)</f>
        <v>0</v>
      </c>
      <c r="K52" s="103">
        <f>SUMIFS(Calculations!N:N,Calculations!C:C,$A52)</f>
        <v>0</v>
      </c>
    </row>
    <row r="53" spans="1:11">
      <c r="A53" s="85">
        <v>47</v>
      </c>
      <c r="B53" s="103">
        <f>SUMIFS(Calculations!F:F,Calculations!C:C,$A53)</f>
        <v>1.8589607627180274E-10</v>
      </c>
      <c r="C53" s="103">
        <f>SUMIFS(Calculations!H:H,Calculations!C:C,$A53)</f>
        <v>-1.8589607627180274E-10</v>
      </c>
      <c r="D53" s="103">
        <f>SUMIFS(Calculations!G:G,Calculations!C:C,$A53)</f>
        <v>0</v>
      </c>
      <c r="E53" s="103">
        <f>SUMIFS(Calculations!R:R,Calculations!C:C,$A53)</f>
        <v>0</v>
      </c>
      <c r="F53" s="103">
        <f>SUMIFS(Calculations!K:K,Calculations!C:C,$A53)</f>
        <v>0</v>
      </c>
      <c r="G53" s="103">
        <f>SUMIFS(Calculations!L:L,Calculations!C:C,$A53)</f>
        <v>0</v>
      </c>
      <c r="H53" s="103">
        <f>SUMIFS(Calculations!Q:Q,Calculations!C:C,$A53)</f>
        <v>0</v>
      </c>
      <c r="I53" s="103">
        <f>-SUMIFS(Calculations!O:O,Calculations!C:C,$A53)</f>
        <v>-2.8449924728194759E-11</v>
      </c>
      <c r="J53" s="103">
        <f>SUMIFS(Calculations!M:M,Calculations!C:C,$A53)</f>
        <v>0</v>
      </c>
      <c r="K53" s="103">
        <f>SUMIFS(Calculations!N:N,Calculations!C:C,$A53)</f>
        <v>0</v>
      </c>
    </row>
    <row r="54" spans="1:11">
      <c r="A54" s="85">
        <v>48</v>
      </c>
      <c r="B54" s="103">
        <f>SUMIFS(Calculations!F:F,Calculations!C:C,$A54)</f>
        <v>1.941870412735252E-10</v>
      </c>
      <c r="C54" s="103">
        <f>SUMIFS(Calculations!H:H,Calculations!C:C,$A54)</f>
        <v>-1.941870412735252E-10</v>
      </c>
      <c r="D54" s="103">
        <f>SUMIFS(Calculations!G:G,Calculations!C:C,$A54)</f>
        <v>0</v>
      </c>
      <c r="E54" s="103">
        <f>SUMIFS(Calculations!R:R,Calculations!C:C,$A54)</f>
        <v>0</v>
      </c>
      <c r="F54" s="103">
        <f>SUMIFS(Calculations!K:K,Calculations!C:C,$A54)</f>
        <v>0</v>
      </c>
      <c r="G54" s="103">
        <f>SUMIFS(Calculations!L:L,Calculations!C:C,$A54)</f>
        <v>0</v>
      </c>
      <c r="H54" s="103">
        <f>SUMIFS(Calculations!Q:Q,Calculations!C:C,$A54)</f>
        <v>0</v>
      </c>
      <c r="I54" s="103">
        <f>-SUMIFS(Calculations!O:O,Calculations!C:C,$A54)</f>
        <v>-2.9718791371072255E-11</v>
      </c>
      <c r="J54" s="103">
        <f>SUMIFS(Calculations!M:M,Calculations!C:C,$A54)</f>
        <v>0</v>
      </c>
      <c r="K54" s="103">
        <f>SUMIFS(Calculations!N:N,Calculations!C:C,$A54)</f>
        <v>0</v>
      </c>
    </row>
    <row r="55" spans="1:11">
      <c r="A55" s="85">
        <v>49</v>
      </c>
      <c r="B55" s="103">
        <f>SUMIFS(Calculations!F:F,Calculations!C:C,$A55)</f>
        <v>2.0284778331432442E-10</v>
      </c>
      <c r="C55" s="103">
        <f>SUMIFS(Calculations!H:H,Calculations!C:C,$A55)</f>
        <v>-2.0284778331432442E-10</v>
      </c>
      <c r="D55" s="103">
        <f>SUMIFS(Calculations!G:G,Calculations!C:C,$A55)</f>
        <v>0</v>
      </c>
      <c r="E55" s="103">
        <f>SUMIFS(Calculations!R:R,Calculations!C:C,$A55)</f>
        <v>0</v>
      </c>
      <c r="F55" s="103">
        <f>SUMIFS(Calculations!K:K,Calculations!C:C,$A55)</f>
        <v>0</v>
      </c>
      <c r="G55" s="103">
        <f>SUMIFS(Calculations!L:L,Calculations!C:C,$A55)</f>
        <v>0</v>
      </c>
      <c r="H55" s="103">
        <f>SUMIFS(Calculations!Q:Q,Calculations!C:C,$A55)</f>
        <v>0</v>
      </c>
      <c r="I55" s="103">
        <f>-SUMIFS(Calculations!O:O,Calculations!C:C,$A55)</f>
        <v>-3.1044249466222077E-11</v>
      </c>
      <c r="J55" s="103">
        <f>SUMIFS(Calculations!M:M,Calculations!C:C,$A55)</f>
        <v>0</v>
      </c>
      <c r="K55" s="103">
        <f>SUMIFS(Calculations!N:N,Calculations!C:C,$A55)</f>
        <v>0</v>
      </c>
    </row>
    <row r="56" spans="1:11">
      <c r="A56" s="85">
        <v>50</v>
      </c>
      <c r="B56" s="103">
        <f>SUMIFS(Calculations!F:F,Calculations!C:C,$A56)</f>
        <v>2.1189479445014333E-10</v>
      </c>
      <c r="C56" s="103">
        <f>SUMIFS(Calculations!H:H,Calculations!C:C,$A56)</f>
        <v>-2.1189479445014333E-10</v>
      </c>
      <c r="D56" s="103">
        <f>SUMIFS(Calculations!G:G,Calculations!C:C,$A56)</f>
        <v>0</v>
      </c>
      <c r="E56" s="103">
        <f>SUMIFS(Calculations!R:R,Calculations!C:C,$A56)</f>
        <v>0</v>
      </c>
      <c r="F56" s="103">
        <f>SUMIFS(Calculations!K:K,Calculations!C:C,$A56)</f>
        <v>0</v>
      </c>
      <c r="G56" s="103">
        <f>SUMIFS(Calculations!L:L,Calculations!C:C,$A56)</f>
        <v>0</v>
      </c>
      <c r="H56" s="103">
        <f>SUMIFS(Calculations!Q:Q,Calculations!C:C,$A56)</f>
        <v>0</v>
      </c>
      <c r="I56" s="103">
        <f>-SUMIFS(Calculations!O:O,Calculations!C:C,$A56)</f>
        <v>-3.2428822992415585E-11</v>
      </c>
      <c r="J56" s="103">
        <f>SUMIFS(Calculations!M:M,Calculations!C:C,$A56)</f>
        <v>0</v>
      </c>
      <c r="K56" s="103">
        <f>SUMIFS(Calculations!N:N,Calculations!C:C,$A56)</f>
        <v>0</v>
      </c>
    </row>
    <row r="57" spans="1:11">
      <c r="A57" s="85">
        <v>51</v>
      </c>
      <c r="B57" s="103">
        <f>SUMIFS(Calculations!F:F,Calculations!C:C,$A57)</f>
        <v>2.2134530228261978E-10</v>
      </c>
      <c r="C57" s="103">
        <f>SUMIFS(Calculations!H:H,Calculations!C:C,$A57)</f>
        <v>-2.2134530228261978E-10</v>
      </c>
      <c r="D57" s="103">
        <f>SUMIFS(Calculations!G:G,Calculations!C:C,$A57)</f>
        <v>0</v>
      </c>
      <c r="E57" s="103">
        <f>SUMIFS(Calculations!R:R,Calculations!C:C,$A57)</f>
        <v>0</v>
      </c>
      <c r="F57" s="103">
        <f>SUMIFS(Calculations!K:K,Calculations!C:C,$A57)</f>
        <v>0</v>
      </c>
      <c r="G57" s="103">
        <f>SUMIFS(Calculations!L:L,Calculations!C:C,$A57)</f>
        <v>0</v>
      </c>
      <c r="H57" s="103">
        <f>SUMIFS(Calculations!Q:Q,Calculations!C:C,$A57)</f>
        <v>0</v>
      </c>
      <c r="I57" s="103">
        <f>-SUMIFS(Calculations!O:O,Calculations!C:C,$A57)</f>
        <v>-3.3875148497877336E-11</v>
      </c>
      <c r="J57" s="103">
        <f>SUMIFS(Calculations!M:M,Calculations!C:C,$A57)</f>
        <v>0</v>
      </c>
      <c r="K57" s="103">
        <f>SUMIFS(Calculations!N:N,Calculations!C:C,$A57)</f>
        <v>0</v>
      </c>
    </row>
    <row r="58" spans="1:11">
      <c r="A58" s="85">
        <v>52</v>
      </c>
      <c r="B58" s="103">
        <f>SUMIFS(Calculations!F:F,Calculations!C:C,$A58)</f>
        <v>2.3121730276442473E-10</v>
      </c>
      <c r="C58" s="103">
        <f>SUMIFS(Calculations!H:H,Calculations!C:C,$A58)</f>
        <v>-2.3121730276442473E-10</v>
      </c>
      <c r="D58" s="103">
        <f>SUMIFS(Calculations!G:G,Calculations!C:C,$A58)</f>
        <v>0</v>
      </c>
      <c r="E58" s="103">
        <f>SUMIFS(Calculations!R:R,Calculations!C:C,$A58)</f>
        <v>0</v>
      </c>
      <c r="F58" s="103">
        <f>SUMIFS(Calculations!K:K,Calculations!C:C,$A58)</f>
        <v>0</v>
      </c>
      <c r="G58" s="103">
        <f>SUMIFS(Calculations!L:L,Calculations!C:C,$A58)</f>
        <v>0</v>
      </c>
      <c r="H58" s="103">
        <f>SUMIFS(Calculations!Q:Q,Calculations!C:C,$A58)</f>
        <v>0</v>
      </c>
      <c r="I58" s="103">
        <f>-SUMIFS(Calculations!O:O,Calculations!C:C,$A58)</f>
        <v>-3.5385980120882675E-11</v>
      </c>
      <c r="J58" s="103">
        <f>SUMIFS(Calculations!M:M,Calculations!C:C,$A58)</f>
        <v>0</v>
      </c>
      <c r="K58" s="103">
        <f>SUMIFS(Calculations!N:N,Calculations!C:C,$A58)</f>
        <v>0</v>
      </c>
    </row>
    <row r="59" spans="1:11">
      <c r="A59" s="85">
        <v>53</v>
      </c>
      <c r="B59" s="103">
        <f>SUMIFS(Calculations!F:F,Calculations!C:C,$A59)</f>
        <v>2.4152959446771817E-10</v>
      </c>
      <c r="C59" s="103">
        <f>SUMIFS(Calculations!H:H,Calculations!C:C,$A59)</f>
        <v>-2.4152959446771817E-10</v>
      </c>
      <c r="D59" s="103">
        <f>SUMIFS(Calculations!G:G,Calculations!C:C,$A59)</f>
        <v>0</v>
      </c>
      <c r="E59" s="103">
        <f>SUMIFS(Calculations!R:R,Calculations!C:C,$A59)</f>
        <v>0</v>
      </c>
      <c r="F59" s="103">
        <f>SUMIFS(Calculations!K:K,Calculations!C:C,$A59)</f>
        <v>0</v>
      </c>
      <c r="G59" s="103">
        <f>SUMIFS(Calculations!L:L,Calculations!C:C,$A59)</f>
        <v>0</v>
      </c>
      <c r="H59" s="103">
        <f>SUMIFS(Calculations!Q:Q,Calculations!C:C,$A59)</f>
        <v>0</v>
      </c>
      <c r="I59" s="103">
        <f>-SUMIFS(Calculations!O:O,Calculations!C:C,$A59)</f>
        <v>-3.6964194834274053E-11</v>
      </c>
      <c r="J59" s="103">
        <f>SUMIFS(Calculations!M:M,Calculations!C:C,$A59)</f>
        <v>0</v>
      </c>
      <c r="K59" s="103">
        <f>SUMIFS(Calculations!N:N,Calculations!C:C,$A59)</f>
        <v>0</v>
      </c>
    </row>
    <row r="60" spans="1:11">
      <c r="A60" s="85">
        <v>54</v>
      </c>
      <c r="B60" s="103">
        <f>SUMIFS(Calculations!F:F,Calculations!C:C,$A60)</f>
        <v>2.5230181438097842E-10</v>
      </c>
      <c r="C60" s="103">
        <f>SUMIFS(Calculations!H:H,Calculations!C:C,$A60)</f>
        <v>-2.5230181438097842E-10</v>
      </c>
      <c r="D60" s="103">
        <f>SUMIFS(Calculations!G:G,Calculations!C:C,$A60)</f>
        <v>0</v>
      </c>
      <c r="E60" s="103">
        <f>SUMIFS(Calculations!R:R,Calculations!C:C,$A60)</f>
        <v>0</v>
      </c>
      <c r="F60" s="103">
        <f>SUMIFS(Calculations!K:K,Calculations!C:C,$A60)</f>
        <v>0</v>
      </c>
      <c r="G60" s="103">
        <f>SUMIFS(Calculations!L:L,Calculations!C:C,$A60)</f>
        <v>0</v>
      </c>
      <c r="H60" s="103">
        <f>SUMIFS(Calculations!Q:Q,Calculations!C:C,$A60)</f>
        <v>0</v>
      </c>
      <c r="I60" s="103">
        <f>-SUMIFS(Calculations!O:O,Calculations!C:C,$A60)</f>
        <v>-3.8612797923882681E-11</v>
      </c>
      <c r="J60" s="103">
        <f>SUMIFS(Calculations!M:M,Calculations!C:C,$A60)</f>
        <v>0</v>
      </c>
      <c r="K60" s="103">
        <f>SUMIFS(Calculations!N:N,Calculations!C:C,$A60)</f>
        <v>0</v>
      </c>
    </row>
    <row r="61" spans="1:11">
      <c r="A61" s="85">
        <v>55</v>
      </c>
      <c r="B61" s="103">
        <f>SUMIFS(Calculations!F:F,Calculations!C:C,$A61)</f>
        <v>2.6355447530237005E-10</v>
      </c>
      <c r="C61" s="103">
        <f>SUMIFS(Calculations!H:H,Calculations!C:C,$A61)</f>
        <v>-2.6355447530237005E-10</v>
      </c>
      <c r="D61" s="103">
        <f>SUMIFS(Calculations!G:G,Calculations!C:C,$A61)</f>
        <v>0</v>
      </c>
      <c r="E61" s="103">
        <f>SUMIFS(Calculations!R:R,Calculations!C:C,$A61)</f>
        <v>0</v>
      </c>
      <c r="F61" s="103">
        <f>SUMIFS(Calculations!K:K,Calculations!C:C,$A61)</f>
        <v>0</v>
      </c>
      <c r="G61" s="103">
        <f>SUMIFS(Calculations!L:L,Calculations!C:C,$A61)</f>
        <v>0</v>
      </c>
      <c r="H61" s="103">
        <f>SUMIFS(Calculations!Q:Q,Calculations!C:C,$A61)</f>
        <v>0</v>
      </c>
      <c r="I61" s="103">
        <f>-SUMIFS(Calculations!O:O,Calculations!C:C,$A61)</f>
        <v>-4.0334928711287858E-11</v>
      </c>
      <c r="J61" s="103">
        <f>SUMIFS(Calculations!M:M,Calculations!C:C,$A61)</f>
        <v>0</v>
      </c>
      <c r="K61" s="103">
        <f>SUMIFS(Calculations!N:N,Calculations!C:C,$A61)</f>
        <v>0</v>
      </c>
    </row>
    <row r="62" spans="1:11">
      <c r="A62" s="85">
        <v>56</v>
      </c>
      <c r="B62" s="103">
        <f>SUMIFS(Calculations!F:F,Calculations!C:C,$A62)</f>
        <v>2.7530900490085575E-10</v>
      </c>
      <c r="C62" s="103">
        <f>SUMIFS(Calculations!H:H,Calculations!C:C,$A62)</f>
        <v>-2.7530900490085575E-10</v>
      </c>
      <c r="D62" s="103">
        <f>SUMIFS(Calculations!G:G,Calculations!C:C,$A62)</f>
        <v>0</v>
      </c>
      <c r="E62" s="103">
        <f>SUMIFS(Calculations!R:R,Calculations!C:C,$A62)</f>
        <v>0</v>
      </c>
      <c r="F62" s="103">
        <f>SUMIFS(Calculations!K:K,Calculations!C:C,$A62)</f>
        <v>0</v>
      </c>
      <c r="G62" s="103">
        <f>SUMIFS(Calculations!L:L,Calculations!C:C,$A62)</f>
        <v>0</v>
      </c>
      <c r="H62" s="103">
        <f>SUMIFS(Calculations!Q:Q,Calculations!C:C,$A62)</f>
        <v>0</v>
      </c>
      <c r="I62" s="103">
        <f>-SUMIFS(Calculations!O:O,Calculations!C:C,$A62)</f>
        <v>-4.2133866531811286E-11</v>
      </c>
      <c r="J62" s="103">
        <f>SUMIFS(Calculations!M:M,Calculations!C:C,$A62)</f>
        <v>0</v>
      </c>
      <c r="K62" s="103">
        <f>SUMIFS(Calculations!N:N,Calculations!C:C,$A62)</f>
        <v>0</v>
      </c>
    </row>
    <row r="63" spans="1:11">
      <c r="A63" s="85">
        <v>57</v>
      </c>
      <c r="B63" s="103">
        <f>SUMIFS(Calculations!F:F,Calculations!C:C,$A63)</f>
        <v>2.87587786519434E-10</v>
      </c>
      <c r="C63" s="103">
        <f>SUMIFS(Calculations!H:H,Calculations!C:C,$A63)</f>
        <v>-2.87587786519434E-10</v>
      </c>
      <c r="D63" s="103">
        <f>SUMIFS(Calculations!G:G,Calculations!C:C,$A63)</f>
        <v>0</v>
      </c>
      <c r="E63" s="103">
        <f>SUMIFS(Calculations!R:R,Calculations!C:C,$A63)</f>
        <v>0</v>
      </c>
      <c r="F63" s="103">
        <f>SUMIFS(Calculations!K:K,Calculations!C:C,$A63)</f>
        <v>0</v>
      </c>
      <c r="G63" s="103">
        <f>SUMIFS(Calculations!L:L,Calculations!C:C,$A63)</f>
        <v>0</v>
      </c>
      <c r="H63" s="103">
        <f>SUMIFS(Calculations!Q:Q,Calculations!C:C,$A63)</f>
        <v>0</v>
      </c>
      <c r="I63" s="103">
        <f>-SUMIFS(Calculations!O:O,Calculations!C:C,$A63)</f>
        <v>-4.4013036979130085E-11</v>
      </c>
      <c r="J63" s="103">
        <f>SUMIFS(Calculations!M:M,Calculations!C:C,$A63)</f>
        <v>0</v>
      </c>
      <c r="K63" s="103">
        <f>SUMIFS(Calculations!N:N,Calculations!C:C,$A63)</f>
        <v>0</v>
      </c>
    </row>
    <row r="64" spans="1:11">
      <c r="A64" s="85">
        <v>58</v>
      </c>
      <c r="B64" s="103">
        <f>SUMIFS(Calculations!F:F,Calculations!C:C,$A64)</f>
        <v>3.0041420179820079E-10</v>
      </c>
      <c r="C64" s="103">
        <f>SUMIFS(Calculations!H:H,Calculations!C:C,$A64)</f>
        <v>-3.0041420179820079E-10</v>
      </c>
      <c r="D64" s="103">
        <f>SUMIFS(Calculations!G:G,Calculations!C:C,$A64)</f>
        <v>0</v>
      </c>
      <c r="E64" s="103">
        <f>SUMIFS(Calculations!R:R,Calculations!C:C,$A64)</f>
        <v>0</v>
      </c>
      <c r="F64" s="103">
        <f>SUMIFS(Calculations!K:K,Calculations!C:C,$A64)</f>
        <v>0</v>
      </c>
      <c r="G64" s="103">
        <f>SUMIFS(Calculations!L:L,Calculations!C:C,$A64)</f>
        <v>0</v>
      </c>
      <c r="H64" s="103">
        <f>SUMIFS(Calculations!Q:Q,Calculations!C:C,$A64)</f>
        <v>0</v>
      </c>
      <c r="I64" s="103">
        <f>-SUMIFS(Calculations!O:O,Calculations!C:C,$A64)</f>
        <v>-4.5976018428399302E-11</v>
      </c>
      <c r="J64" s="103">
        <f>SUMIFS(Calculations!M:M,Calculations!C:C,$A64)</f>
        <v>0</v>
      </c>
      <c r="K64" s="103">
        <f>SUMIFS(Calculations!N:N,Calculations!C:C,$A64)</f>
        <v>0</v>
      </c>
    </row>
    <row r="65" spans="1:11">
      <c r="A65" s="85">
        <v>59</v>
      </c>
      <c r="B65" s="103">
        <f>SUMIFS(Calculations!F:F,Calculations!C:C,$A65)</f>
        <v>3.1381267519840072E-10</v>
      </c>
      <c r="C65" s="103">
        <f>SUMIFS(Calculations!H:H,Calculations!C:C,$A65)</f>
        <v>-3.1381267519840072E-10</v>
      </c>
      <c r="D65" s="103">
        <f>SUMIFS(Calculations!G:G,Calculations!C:C,$A65)</f>
        <v>0</v>
      </c>
      <c r="E65" s="103">
        <f>SUMIFS(Calculations!R:R,Calculations!C:C,$A65)</f>
        <v>0</v>
      </c>
      <c r="F65" s="103">
        <f>SUMIFS(Calculations!K:K,Calculations!C:C,$A65)</f>
        <v>0</v>
      </c>
      <c r="G65" s="103">
        <f>SUMIFS(Calculations!L:L,Calculations!C:C,$A65)</f>
        <v>0</v>
      </c>
      <c r="H65" s="103">
        <f>SUMIFS(Calculations!Q:Q,Calculations!C:C,$A65)</f>
        <v>0</v>
      </c>
      <c r="I65" s="103">
        <f>-SUMIFS(Calculations!O:O,Calculations!C:C,$A65)</f>
        <v>-4.8026548850305919E-11</v>
      </c>
      <c r="J65" s="103">
        <f>SUMIFS(Calculations!M:M,Calculations!C:C,$A65)</f>
        <v>0</v>
      </c>
      <c r="K65" s="103">
        <f>SUMIFS(Calculations!N:N,Calculations!C:C,$A65)</f>
        <v>0</v>
      </c>
    </row>
    <row r="66" spans="1:11">
      <c r="A66" s="85">
        <v>60</v>
      </c>
      <c r="B66" s="103">
        <f>SUMIFS(Calculations!F:F,Calculations!C:C,$A66)</f>
        <v>3.2780872051224944E-10</v>
      </c>
      <c r="C66" s="103">
        <f>SUMIFS(Calculations!H:H,Calculations!C:C,$A66)</f>
        <v>-3.2780872051224944E-10</v>
      </c>
      <c r="D66" s="103">
        <f>SUMIFS(Calculations!G:G,Calculations!C:C,$A66)</f>
        <v>0</v>
      </c>
      <c r="E66" s="103">
        <f>SUMIFS(Calculations!R:R,Calculations!C:C,$A66)</f>
        <v>0</v>
      </c>
      <c r="F66" s="103">
        <f>SUMIFS(Calculations!K:K,Calculations!C:C,$A66)</f>
        <v>0</v>
      </c>
      <c r="G66" s="103">
        <f>SUMIFS(Calculations!L:L,Calculations!C:C,$A66)</f>
        <v>0</v>
      </c>
      <c r="H66" s="103">
        <f>SUMIFS(Calculations!Q:Q,Calculations!C:C,$A66)</f>
        <v>0</v>
      </c>
      <c r="I66" s="103">
        <f>-SUMIFS(Calculations!O:O,Calculations!C:C,$A66)</f>
        <v>-2.681200645817919E-11</v>
      </c>
      <c r="J66" s="103">
        <f>SUMIFS(Calculations!M:M,Calculations!C:C,$A66)</f>
        <v>0</v>
      </c>
      <c r="K66" s="103">
        <f>SUMIFS(Calculations!N:N,Calculations!C:C,$A66)</f>
        <v>0</v>
      </c>
    </row>
    <row r="72" spans="1:11">
      <c r="A72" s="235" t="s">
        <v>231</v>
      </c>
      <c r="B72" s="235"/>
      <c r="C72" s="235"/>
      <c r="D72" s="235"/>
      <c r="E72" s="235"/>
    </row>
    <row r="74" spans="1:11" ht="28">
      <c r="A74" s="94" t="s">
        <v>74</v>
      </c>
      <c r="B74" s="94" t="s">
        <v>24</v>
      </c>
      <c r="C74" s="94" t="s">
        <v>59</v>
      </c>
      <c r="D74" s="94" t="s">
        <v>232</v>
      </c>
    </row>
    <row r="75" spans="1:11">
      <c r="A75" s="85">
        <v>1</v>
      </c>
      <c r="B75" s="103">
        <f>SUMIFS(Calculations!X:X,Calculations!C:C,$A75)</f>
        <v>317921.12090421771</v>
      </c>
      <c r="C75" s="103">
        <f>SUMIFS(Calculations!AC:AC,Calculations!C:C,$A75)</f>
        <v>0</v>
      </c>
      <c r="D75" s="103">
        <f>SUMIFS(Calculations!AB:AB,Calculations!C:C,$A75)</f>
        <v>51810</v>
      </c>
    </row>
    <row r="76" spans="1:11">
      <c r="A76" s="85">
        <v>2</v>
      </c>
      <c r="B76" s="103">
        <f>SUMIFS(Calculations!X:X,Calculations!C:C,$A76)</f>
        <v>333817.17694942892</v>
      </c>
      <c r="C76" s="103">
        <f>SUMIFS(Calculations!AC:AC,Calculations!C:C,$A76)</f>
        <v>0</v>
      </c>
      <c r="D76" s="103">
        <f>SUMIFS(Calculations!AB:AB,Calculations!C:C,$A76)</f>
        <v>0</v>
      </c>
    </row>
    <row r="77" spans="1:11">
      <c r="A77" s="85">
        <v>3</v>
      </c>
      <c r="B77" s="103">
        <f>SUMIFS(Calculations!X:X,Calculations!C:C,$A77)</f>
        <v>350508.0357969008</v>
      </c>
      <c r="C77" s="103">
        <f>SUMIFS(Calculations!AC:AC,Calculations!C:C,$A77)</f>
        <v>0</v>
      </c>
      <c r="D77" s="103">
        <f>SUMIFS(Calculations!AB:AB,Calculations!C:C,$A77)</f>
        <v>0</v>
      </c>
    </row>
    <row r="78" spans="1:11">
      <c r="A78" s="85">
        <v>4</v>
      </c>
      <c r="B78" s="103">
        <f>SUMIFS(Calculations!X:X,Calculations!C:C,$A78)</f>
        <v>368033.43758674624</v>
      </c>
      <c r="C78" s="103">
        <f>SUMIFS(Calculations!AC:AC,Calculations!C:C,$A78)</f>
        <v>0</v>
      </c>
      <c r="D78" s="103">
        <f>SUMIFS(Calculations!AB:AB,Calculations!C:C,$A78)</f>
        <v>0</v>
      </c>
    </row>
    <row r="79" spans="1:11">
      <c r="A79" s="85">
        <v>5</v>
      </c>
      <c r="B79" s="103">
        <f>SUMIFS(Calculations!X:X,Calculations!C:C,$A79)</f>
        <v>386435.10946608405</v>
      </c>
      <c r="C79" s="103">
        <f>SUMIFS(Calculations!AC:AC,Calculations!C:C,$A79)</f>
        <v>8921.8255223117958</v>
      </c>
      <c r="D79" s="103">
        <f>SUMIFS(Calculations!AB:AB,Calculations!C:C,$A79)</f>
        <v>0</v>
      </c>
    </row>
    <row r="80" spans="1:11">
      <c r="A80" s="85">
        <v>6</v>
      </c>
      <c r="B80" s="103">
        <f>SUMIFS(Calculations!X:X,Calculations!C:C,$A80)</f>
        <v>405756.86493938859</v>
      </c>
      <c r="C80" s="103">
        <f>SUMIFS(Calculations!AC:AC,Calculations!C:C,$A80)</f>
        <v>0</v>
      </c>
      <c r="D80" s="103">
        <f>SUMIFS(Calculations!AB:AB,Calculations!C:C,$A80)</f>
        <v>0</v>
      </c>
    </row>
    <row r="81" spans="1:4">
      <c r="A81" s="85">
        <v>7</v>
      </c>
      <c r="B81" s="103">
        <f>SUMIFS(Calculations!X:X,Calculations!C:C,$A81)</f>
        <v>426044.70818635862</v>
      </c>
      <c r="C81" s="103">
        <f>SUMIFS(Calculations!AC:AC,Calculations!C:C,$A81)</f>
        <v>0</v>
      </c>
      <c r="D81" s="103">
        <f>SUMIFS(Calculations!AB:AB,Calculations!C:C,$A81)</f>
        <v>0</v>
      </c>
    </row>
    <row r="82" spans="1:4">
      <c r="A82" s="85">
        <v>8</v>
      </c>
      <c r="B82" s="103">
        <f>SUMIFS(Calculations!X:X,Calculations!C:C,$A82)</f>
        <v>447346.94359567703</v>
      </c>
      <c r="C82" s="103">
        <f>SUMIFS(Calculations!AC:AC,Calculations!C:C,$A82)</f>
        <v>0</v>
      </c>
      <c r="D82" s="103">
        <f>SUMIFS(Calculations!AB:AB,Calculations!C:C,$A82)</f>
        <v>0</v>
      </c>
    </row>
    <row r="83" spans="1:4">
      <c r="A83" s="85">
        <v>9</v>
      </c>
      <c r="B83" s="103">
        <f>SUMIFS(Calculations!X:X,Calculations!C:C,$A83)</f>
        <v>469714.29077546136</v>
      </c>
      <c r="C83" s="103">
        <f>SUMIFS(Calculations!AC:AC,Calculations!C:C,$A83)</f>
        <v>9929.4183552551767</v>
      </c>
      <c r="D83" s="103">
        <f>SUMIFS(Calculations!AB:AB,Calculations!C:C,$A83)</f>
        <v>0</v>
      </c>
    </row>
    <row r="84" spans="1:4">
      <c r="A84" s="85">
        <v>10</v>
      </c>
      <c r="B84" s="103">
        <f>SUMIFS(Calculations!X:X,Calculations!C:C,$A84)</f>
        <v>493200.00531423499</v>
      </c>
      <c r="C84" s="103">
        <f>SUMIFS(Calculations!AC:AC,Calculations!C:C,$A84)</f>
        <v>0</v>
      </c>
      <c r="D84" s="103">
        <f>SUMIFS(Calculations!AB:AB,Calculations!C:C,$A84)</f>
        <v>0</v>
      </c>
    </row>
    <row r="85" spans="1:4">
      <c r="A85" s="85">
        <v>11</v>
      </c>
      <c r="B85" s="103">
        <f>SUMIFS(Calculations!X:X,Calculations!C:C,$A85)</f>
        <v>517860.00557994738</v>
      </c>
      <c r="C85" s="103">
        <f>SUMIFS(Calculations!AC:AC,Calculations!C:C,$A85)</f>
        <v>0</v>
      </c>
      <c r="D85" s="103">
        <f>SUMIFS(Calculations!AB:AB,Calculations!C:C,$A85)</f>
        <v>0</v>
      </c>
    </row>
    <row r="86" spans="1:4">
      <c r="A86" s="85">
        <v>12</v>
      </c>
      <c r="B86" s="103">
        <f>SUMIFS(Calculations!X:X,Calculations!C:C,$A86)</f>
        <v>543753.00585894519</v>
      </c>
      <c r="C86" s="103">
        <f>SUMIFS(Calculations!AC:AC,Calculations!C:C,$A86)</f>
        <v>0</v>
      </c>
      <c r="D86" s="103">
        <f>SUMIFS(Calculations!AB:AB,Calculations!C:C,$A86)</f>
        <v>0</v>
      </c>
    </row>
    <row r="87" spans="1:4">
      <c r="A87" s="85">
        <v>13</v>
      </c>
      <c r="B87" s="103">
        <f>SUMIFS(Calculations!X:X,Calculations!C:C,$A87)</f>
        <v>570940.6561518932</v>
      </c>
      <c r="C87" s="103">
        <f>SUMIFS(Calculations!AC:AC,Calculations!C:C,$A87)</f>
        <v>0</v>
      </c>
      <c r="D87" s="103">
        <f>SUMIFS(Calculations!AB:AB,Calculations!C:C,$A87)</f>
        <v>0</v>
      </c>
    </row>
    <row r="88" spans="1:4">
      <c r="A88" s="85">
        <v>14</v>
      </c>
      <c r="B88" s="103">
        <f>SUMIFS(Calculations!X:X,Calculations!C:C,$A88)</f>
        <v>599487.68895948853</v>
      </c>
      <c r="C88" s="103">
        <f>SUMIFS(Calculations!AC:AC,Calculations!C:C,$A88)</f>
        <v>11050.804415207973</v>
      </c>
      <c r="D88" s="103">
        <f>SUMIFS(Calculations!AB:AB,Calculations!C:C,$A88)</f>
        <v>0</v>
      </c>
    </row>
    <row r="89" spans="1:4">
      <c r="A89" s="85">
        <v>15</v>
      </c>
      <c r="B89" s="103">
        <f>SUMIFS(Calculations!X:X,Calculations!C:C,$A89)</f>
        <v>629462.07340746373</v>
      </c>
      <c r="C89" s="103">
        <f>SUMIFS(Calculations!AC:AC,Calculations!C:C,$A89)</f>
        <v>0</v>
      </c>
      <c r="D89" s="103">
        <f>SUMIFS(Calculations!AB:AB,Calculations!C:C,$A89)</f>
        <v>0</v>
      </c>
    </row>
    <row r="90" spans="1:4">
      <c r="A90" s="85">
        <v>16</v>
      </c>
      <c r="B90" s="103">
        <f>SUMIFS(Calculations!X:X,Calculations!C:C,$A90)</f>
        <v>660935.17707783764</v>
      </c>
      <c r="C90" s="103">
        <f>SUMIFS(Calculations!AC:AC,Calculations!C:C,$A90)</f>
        <v>0</v>
      </c>
      <c r="D90" s="103">
        <f>SUMIFS(Calculations!AB:AB,Calculations!C:C,$A90)</f>
        <v>0</v>
      </c>
    </row>
    <row r="91" spans="1:4">
      <c r="A91" s="85">
        <v>17</v>
      </c>
      <c r="B91" s="103">
        <f>SUMIFS(Calculations!X:X,Calculations!C:C,$A91)</f>
        <v>693981.9359317302</v>
      </c>
      <c r="C91" s="103">
        <f>SUMIFS(Calculations!AC:AC,Calculations!C:C,$A91)</f>
        <v>0</v>
      </c>
      <c r="D91" s="103">
        <f>SUMIFS(Calculations!AB:AB,Calculations!C:C,$A91)</f>
        <v>0</v>
      </c>
    </row>
    <row r="92" spans="1:4">
      <c r="A92" s="85">
        <v>18</v>
      </c>
      <c r="B92" s="103">
        <f>SUMIFS(Calculations!X:X,Calculations!C:C,$A92)</f>
        <v>728681.03272831743</v>
      </c>
      <c r="C92" s="103">
        <f>SUMIFS(Calculations!AC:AC,Calculations!C:C,$A92)</f>
        <v>12298.835022753119</v>
      </c>
      <c r="D92" s="103">
        <f>SUMIFS(Calculations!AB:AB,Calculations!C:C,$A92)</f>
        <v>0</v>
      </c>
    </row>
    <row r="93" spans="1:4">
      <c r="A93" s="85">
        <v>19</v>
      </c>
      <c r="B93" s="103">
        <f>SUMIFS(Calculations!X:X,Calculations!C:C,$A93)</f>
        <v>765115.08436473424</v>
      </c>
      <c r="C93" s="103">
        <f>SUMIFS(Calculations!AC:AC,Calculations!C:C,$A93)</f>
        <v>0</v>
      </c>
      <c r="D93" s="103">
        <f>SUMIFS(Calculations!AB:AB,Calculations!C:C,$A93)</f>
        <v>0</v>
      </c>
    </row>
    <row r="94" spans="1:4">
      <c r="A94" s="85">
        <v>20</v>
      </c>
      <c r="B94" s="103">
        <f>SUMIFS(Calculations!X:X,Calculations!C:C,$A94)</f>
        <v>803370.83858297172</v>
      </c>
      <c r="C94" s="103">
        <f>SUMIFS(Calculations!AC:AC,Calculations!C:C,$A94)</f>
        <v>0</v>
      </c>
      <c r="D94" s="103">
        <f>SUMIFS(Calculations!AB:AB,Calculations!C:C,$A94)</f>
        <v>0</v>
      </c>
    </row>
    <row r="95" spans="1:4">
      <c r="A95" s="85">
        <v>21</v>
      </c>
      <c r="B95" s="103">
        <f>SUMIFS(Calculations!X:X,Calculations!C:C,$A95)</f>
        <v>843539.38051212125</v>
      </c>
      <c r="C95" s="103">
        <f>SUMIFS(Calculations!AC:AC,Calculations!C:C,$A95)</f>
        <v>0</v>
      </c>
      <c r="D95" s="103">
        <f>SUMIFS(Calculations!AB:AB,Calculations!C:C,$A95)</f>
        <v>0</v>
      </c>
    </row>
    <row r="96" spans="1:4">
      <c r="A96" s="85">
        <v>22</v>
      </c>
      <c r="B96" s="103">
        <f>SUMIFS(Calculations!X:X,Calculations!C:C,$A96)</f>
        <v>885716.34953772835</v>
      </c>
      <c r="C96" s="103">
        <f>SUMIFS(Calculations!AC:AC,Calculations!C:C,$A96)</f>
        <v>13687.812871679715</v>
      </c>
      <c r="D96" s="103">
        <f>SUMIFS(Calculations!AB:AB,Calculations!C:C,$A96)</f>
        <v>0</v>
      </c>
    </row>
    <row r="97" spans="1:4">
      <c r="A97" s="85">
        <v>23</v>
      </c>
      <c r="B97" s="103">
        <f>SUMIFS(Calculations!X:X,Calculations!C:C,$A97)</f>
        <v>930002.16701461584</v>
      </c>
      <c r="C97" s="103">
        <f>SUMIFS(Calculations!AC:AC,Calculations!C:C,$A97)</f>
        <v>0</v>
      </c>
      <c r="D97" s="103">
        <f>SUMIFS(Calculations!AB:AB,Calculations!C:C,$A97)</f>
        <v>0</v>
      </c>
    </row>
    <row r="98" spans="1:4">
      <c r="A98" s="85">
        <v>24</v>
      </c>
      <c r="B98" s="103">
        <f>SUMIFS(Calculations!X:X,Calculations!C:C,$A98)</f>
        <v>976502.27536534774</v>
      </c>
      <c r="C98" s="103">
        <f>SUMIFS(Calculations!AC:AC,Calculations!C:C,$A98)</f>
        <v>0</v>
      </c>
      <c r="D98" s="103">
        <f>SUMIFS(Calculations!AB:AB,Calculations!C:C,$A98)</f>
        <v>0</v>
      </c>
    </row>
    <row r="99" spans="1:4">
      <c r="A99" s="85">
        <v>25</v>
      </c>
      <c r="B99" s="103">
        <f>SUMIFS(Calculations!X:X,Calculations!C:C,$A99)</f>
        <v>1025327.3891336164</v>
      </c>
      <c r="C99" s="103">
        <f>SUMIFS(Calculations!AC:AC,Calculations!C:C,$A99)</f>
        <v>0</v>
      </c>
      <c r="D99" s="103">
        <f>SUMIFS(Calculations!AB:AB,Calculations!C:C,$A99)</f>
        <v>0</v>
      </c>
    </row>
    <row r="100" spans="1:4">
      <c r="A100" s="85">
        <v>26</v>
      </c>
      <c r="B100" s="103">
        <f>SUMIFS(Calculations!X:X,Calculations!C:C,$A100)</f>
        <v>1076593.7585902982</v>
      </c>
      <c r="C100" s="103">
        <f>SUMIFS(Calculations!AC:AC,Calculations!C:C,$A100)</f>
        <v>0</v>
      </c>
      <c r="D100" s="103">
        <f>SUMIFS(Calculations!AB:AB,Calculations!C:C,$A100)</f>
        <v>0</v>
      </c>
    </row>
    <row r="101" spans="1:4">
      <c r="A101" s="85">
        <v>27</v>
      </c>
      <c r="B101" s="103">
        <f>SUMIFS(Calculations!X:X,Calculations!C:C,$A101)</f>
        <v>1130423.4465198144</v>
      </c>
      <c r="C101" s="103">
        <f>SUMIFS(Calculations!AC:AC,Calculations!C:C,$A101)</f>
        <v>15233.655940868199</v>
      </c>
      <c r="D101" s="103">
        <f>SUMIFS(Calculations!AB:AB,Calculations!C:C,$A101)</f>
        <v>0</v>
      </c>
    </row>
    <row r="102" spans="1:4">
      <c r="A102" s="85">
        <v>28</v>
      </c>
      <c r="B102" s="103">
        <f>SUMIFS(Calculations!X:X,Calculations!C:C,$A102)</f>
        <v>1186944.6188458067</v>
      </c>
      <c r="C102" s="103">
        <f>SUMIFS(Calculations!AC:AC,Calculations!C:C,$A102)</f>
        <v>0</v>
      </c>
      <c r="D102" s="103">
        <f>SUMIFS(Calculations!AB:AB,Calculations!C:C,$A102)</f>
        <v>0</v>
      </c>
    </row>
    <row r="103" spans="1:4">
      <c r="A103" s="85">
        <v>29</v>
      </c>
      <c r="B103" s="103">
        <f>SUMIFS(Calculations!X:X,Calculations!C:C,$A103)</f>
        <v>1246291.8497880981</v>
      </c>
      <c r="C103" s="103">
        <f>SUMIFS(Calculations!AC:AC,Calculations!C:C,$A103)</f>
        <v>0</v>
      </c>
      <c r="D103" s="103">
        <f>SUMIFS(Calculations!AB:AB,Calculations!C:C,$A103)</f>
        <v>0</v>
      </c>
    </row>
    <row r="104" spans="1:4">
      <c r="A104" s="85">
        <v>30</v>
      </c>
      <c r="B104" s="103">
        <f>SUMIFS(Calculations!X:X,Calculations!C:C,$A104)</f>
        <v>1308606.4422775046</v>
      </c>
      <c r="C104" s="103">
        <f>SUMIFS(Calculations!AC:AC,Calculations!C:C,$A104)</f>
        <v>0</v>
      </c>
      <c r="D104" s="103">
        <f>SUMIFS(Calculations!AB:AB,Calculations!C:C,$A104)</f>
        <v>0</v>
      </c>
    </row>
    <row r="105" spans="1:4">
      <c r="A105" s="85">
        <v>31</v>
      </c>
      <c r="B105" s="103">
        <f>SUMIFS(Calculations!X:X,Calculations!C:C,$A105)</f>
        <v>1374036.7643913815</v>
      </c>
      <c r="C105" s="103">
        <f>SUMIFS(Calculations!AC:AC,Calculations!C:C,$A105)</f>
        <v>16954.079917683066</v>
      </c>
      <c r="D105" s="103">
        <f>SUMIFS(Calculations!AB:AB,Calculations!C:C,$A105)</f>
        <v>0</v>
      </c>
    </row>
    <row r="106" spans="1:4">
      <c r="A106" s="85">
        <v>32</v>
      </c>
      <c r="B106" s="103">
        <f>SUMIFS(Calculations!X:X,Calculations!C:C,$A106)</f>
        <v>1442738.6026109522</v>
      </c>
      <c r="C106" s="103">
        <f>SUMIFS(Calculations!AC:AC,Calculations!C:C,$A106)</f>
        <v>0</v>
      </c>
      <c r="D106" s="103">
        <f>SUMIFS(Calculations!AB:AB,Calculations!C:C,$A106)</f>
        <v>0</v>
      </c>
    </row>
    <row r="107" spans="1:4">
      <c r="A107" s="85">
        <v>33</v>
      </c>
      <c r="B107" s="103">
        <f>SUMIFS(Calculations!X:X,Calculations!C:C,$A107)</f>
        <v>1514875.5327415015</v>
      </c>
      <c r="C107" s="103">
        <f>SUMIFS(Calculations!AC:AC,Calculations!C:C,$A107)</f>
        <v>0</v>
      </c>
      <c r="D107" s="103">
        <f>SUMIFS(Calculations!AB:AB,Calculations!C:C,$A107)</f>
        <v>0</v>
      </c>
    </row>
    <row r="108" spans="1:4">
      <c r="A108" s="85">
        <v>34</v>
      </c>
      <c r="B108" s="103">
        <f>SUMIFS(Calculations!X:X,Calculations!C:C,$A108)</f>
        <v>1590619.3093785781</v>
      </c>
      <c r="C108" s="103">
        <f>SUMIFS(Calculations!AC:AC,Calculations!C:C,$A108)</f>
        <v>0</v>
      </c>
      <c r="D108" s="103">
        <f>SUMIFS(Calculations!AB:AB,Calculations!C:C,$A108)</f>
        <v>0</v>
      </c>
    </row>
    <row r="109" spans="1:4">
      <c r="A109" s="85">
        <v>35</v>
      </c>
      <c r="B109" s="103">
        <f>SUMIFS(Calculations!X:X,Calculations!C:C,$A109)</f>
        <v>1670150.2748475089</v>
      </c>
      <c r="C109" s="103">
        <f>SUMIFS(Calculations!AC:AC,Calculations!C:C,$A109)</f>
        <v>18868.801223483752</v>
      </c>
      <c r="D109" s="103">
        <f>SUMIFS(Calculations!AB:AB,Calculations!C:C,$A109)</f>
        <v>0</v>
      </c>
    </row>
    <row r="110" spans="1:4">
      <c r="A110" s="85">
        <v>36</v>
      </c>
      <c r="B110" s="103">
        <f>SUMIFS(Calculations!X:X,Calculations!C:C,$A110)</f>
        <v>1753657.7885898864</v>
      </c>
      <c r="C110" s="103">
        <f>SUMIFS(Calculations!AC:AC,Calculations!C:C,$A110)</f>
        <v>0</v>
      </c>
      <c r="D110" s="103">
        <f>SUMIFS(Calculations!AB:AB,Calculations!C:C,$A110)</f>
        <v>0</v>
      </c>
    </row>
    <row r="111" spans="1:4">
      <c r="A111" s="85">
        <v>37</v>
      </c>
      <c r="B111" s="103">
        <f>SUMIFS(Calculations!X:X,Calculations!C:C,$A111)</f>
        <v>1841340.678019383</v>
      </c>
      <c r="C111" s="103">
        <f>SUMIFS(Calculations!AC:AC,Calculations!C:C,$A111)</f>
        <v>0</v>
      </c>
      <c r="D111" s="103">
        <f>SUMIFS(Calculations!AB:AB,Calculations!C:C,$A111)</f>
        <v>0</v>
      </c>
    </row>
    <row r="112" spans="1:4">
      <c r="A112" s="85">
        <v>38</v>
      </c>
      <c r="B112" s="103">
        <f>SUMIFS(Calculations!X:X,Calculations!C:C,$A112)</f>
        <v>1933407.711920354</v>
      </c>
      <c r="C112" s="103">
        <f>SUMIFS(Calculations!AC:AC,Calculations!C:C,$A112)</f>
        <v>0</v>
      </c>
      <c r="D112" s="103">
        <f>SUMIFS(Calculations!AB:AB,Calculations!C:C,$A112)</f>
        <v>0</v>
      </c>
    </row>
    <row r="113" spans="1:4">
      <c r="A113" s="85">
        <v>39</v>
      </c>
      <c r="B113" s="103">
        <f>SUMIFS(Calculations!X:X,Calculations!C:C,$A113)</f>
        <v>2030078.0975163742</v>
      </c>
      <c r="C113" s="103">
        <f>SUMIFS(Calculations!AC:AC,Calculations!C:C,$A113)</f>
        <v>0</v>
      </c>
      <c r="D113" s="103">
        <f>SUMIFS(Calculations!AB:AB,Calculations!C:C,$A113)</f>
        <v>0</v>
      </c>
    </row>
    <row r="114" spans="1:4">
      <c r="A114" s="85">
        <v>40</v>
      </c>
      <c r="B114" s="103">
        <f>SUMIFS(Calculations!X:X,Calculations!C:C,$A114)</f>
        <v>2131582.0023921956</v>
      </c>
      <c r="C114" s="103">
        <f>SUMIFS(Calculations!AC:AC,Calculations!C:C,$A114)</f>
        <v>20999.762967968654</v>
      </c>
      <c r="D114" s="103">
        <f>SUMIFS(Calculations!AB:AB,Calculations!C:C,$A114)</f>
        <v>-363261.84146718087</v>
      </c>
    </row>
    <row r="115" spans="1:4">
      <c r="A115" s="85">
        <v>41</v>
      </c>
      <c r="B115" s="103">
        <f>SUMIFS(Calculations!X:X,Calculations!C:C,$A115)</f>
        <v>0</v>
      </c>
      <c r="C115" s="103">
        <f>SUMIFS(Calculations!AC:AC,Calculations!C:C,$A115)</f>
        <v>0</v>
      </c>
      <c r="D115" s="103">
        <f>SUMIFS(Calculations!AB:AB,Calculations!C:C,$A115)</f>
        <v>0</v>
      </c>
    </row>
    <row r="116" spans="1:4">
      <c r="A116" s="85">
        <v>42</v>
      </c>
      <c r="B116" s="103">
        <f>SUMIFS(Calculations!X:X,Calculations!C:C,$A116)</f>
        <v>0</v>
      </c>
      <c r="C116" s="103">
        <f>SUMIFS(Calculations!AC:AC,Calculations!C:C,$A116)</f>
        <v>0</v>
      </c>
      <c r="D116" s="103">
        <f>SUMIFS(Calculations!AB:AB,Calculations!C:C,$A116)</f>
        <v>0</v>
      </c>
    </row>
    <row r="117" spans="1:4">
      <c r="A117" s="85">
        <v>43</v>
      </c>
      <c r="B117" s="103">
        <f>SUMIFS(Calculations!X:X,Calculations!C:C,$A117)</f>
        <v>0</v>
      </c>
      <c r="C117" s="103">
        <f>SUMIFS(Calculations!AC:AC,Calculations!C:C,$A117)</f>
        <v>0</v>
      </c>
      <c r="D117" s="103">
        <f>SUMIFS(Calculations!AB:AB,Calculations!C:C,$A117)</f>
        <v>0</v>
      </c>
    </row>
    <row r="118" spans="1:4">
      <c r="A118" s="85">
        <v>44</v>
      </c>
      <c r="B118" s="103">
        <f>SUMIFS(Calculations!X:X,Calculations!C:C,$A118)</f>
        <v>0</v>
      </c>
      <c r="C118" s="103">
        <f>SUMIFS(Calculations!AC:AC,Calculations!C:C,$A118)</f>
        <v>0</v>
      </c>
      <c r="D118" s="103">
        <f>SUMIFS(Calculations!AB:AB,Calculations!C:C,$A118)</f>
        <v>0</v>
      </c>
    </row>
    <row r="119" spans="1:4">
      <c r="A119" s="85">
        <v>45</v>
      </c>
      <c r="B119" s="103">
        <f>SUMIFS(Calculations!X:X,Calculations!C:C,$A119)</f>
        <v>0</v>
      </c>
      <c r="C119" s="103">
        <f>SUMIFS(Calculations!AC:AC,Calculations!C:C,$A119)</f>
        <v>0</v>
      </c>
      <c r="D119" s="103">
        <f>SUMIFS(Calculations!AB:AB,Calculations!C:C,$A119)</f>
        <v>0</v>
      </c>
    </row>
    <row r="120" spans="1:4">
      <c r="A120" s="85">
        <v>46</v>
      </c>
      <c r="B120" s="103">
        <f>SUMIFS(Calculations!X:X,Calculations!C:C,$A120)</f>
        <v>0</v>
      </c>
      <c r="C120" s="103">
        <f>SUMIFS(Calculations!AC:AC,Calculations!C:C,$A120)</f>
        <v>0</v>
      </c>
      <c r="D120" s="103">
        <f>SUMIFS(Calculations!AB:AB,Calculations!C:C,$A120)</f>
        <v>0</v>
      </c>
    </row>
    <row r="121" spans="1:4">
      <c r="A121" s="85">
        <v>47</v>
      </c>
      <c r="B121" s="103">
        <f>SUMIFS(Calculations!X:X,Calculations!C:C,$A121)</f>
        <v>0</v>
      </c>
      <c r="C121" s="103">
        <f>SUMIFS(Calculations!AC:AC,Calculations!C:C,$A121)</f>
        <v>0</v>
      </c>
      <c r="D121" s="103">
        <f>SUMIFS(Calculations!AB:AB,Calculations!C:C,$A121)</f>
        <v>0</v>
      </c>
    </row>
    <row r="122" spans="1:4">
      <c r="A122" s="85">
        <v>48</v>
      </c>
      <c r="B122" s="103">
        <f>SUMIFS(Calculations!X:X,Calculations!C:C,$A122)</f>
        <v>0</v>
      </c>
      <c r="C122" s="103">
        <f>SUMIFS(Calculations!AC:AC,Calculations!C:C,$A122)</f>
        <v>0</v>
      </c>
      <c r="D122" s="103">
        <f>SUMIFS(Calculations!AB:AB,Calculations!C:C,$A122)</f>
        <v>0</v>
      </c>
    </row>
    <row r="123" spans="1:4">
      <c r="A123" s="85">
        <v>49</v>
      </c>
      <c r="B123" s="103">
        <f>SUMIFS(Calculations!X:X,Calculations!C:C,$A123)</f>
        <v>0</v>
      </c>
      <c r="C123" s="103">
        <f>SUMIFS(Calculations!AC:AC,Calculations!C:C,$A123)</f>
        <v>0</v>
      </c>
      <c r="D123" s="103">
        <f>SUMIFS(Calculations!AB:AB,Calculations!C:C,$A123)</f>
        <v>0</v>
      </c>
    </row>
    <row r="124" spans="1:4">
      <c r="A124" s="85">
        <v>50</v>
      </c>
      <c r="B124" s="103">
        <f>SUMIFS(Calculations!X:X,Calculations!C:C,$A124)</f>
        <v>0</v>
      </c>
      <c r="C124" s="103">
        <f>SUMIFS(Calculations!AC:AC,Calculations!C:C,$A124)</f>
        <v>0</v>
      </c>
      <c r="D124" s="103">
        <f>SUMIFS(Calculations!AB:AB,Calculations!C:C,$A124)</f>
        <v>0</v>
      </c>
    </row>
    <row r="125" spans="1:4">
      <c r="A125" s="85">
        <v>51</v>
      </c>
      <c r="B125" s="103">
        <f>SUMIFS(Calculations!X:X,Calculations!C:C,$A125)</f>
        <v>0</v>
      </c>
      <c r="C125" s="103">
        <f>SUMIFS(Calculations!AC:AC,Calculations!C:C,$A125)</f>
        <v>0</v>
      </c>
      <c r="D125" s="103">
        <f>SUMIFS(Calculations!AB:AB,Calculations!C:C,$A125)</f>
        <v>0</v>
      </c>
    </row>
    <row r="126" spans="1:4">
      <c r="A126" s="85">
        <v>52</v>
      </c>
      <c r="B126" s="103">
        <f>SUMIFS(Calculations!X:X,Calculations!C:C,$A126)</f>
        <v>0</v>
      </c>
      <c r="C126" s="103">
        <f>SUMIFS(Calculations!AC:AC,Calculations!C:C,$A126)</f>
        <v>0</v>
      </c>
      <c r="D126" s="103">
        <f>SUMIFS(Calculations!AB:AB,Calculations!C:C,$A126)</f>
        <v>0</v>
      </c>
    </row>
    <row r="127" spans="1:4">
      <c r="A127" s="85">
        <v>53</v>
      </c>
      <c r="B127" s="103">
        <f>SUMIFS(Calculations!X:X,Calculations!C:C,$A127)</f>
        <v>0</v>
      </c>
      <c r="C127" s="103">
        <f>SUMIFS(Calculations!AC:AC,Calculations!C:C,$A127)</f>
        <v>0</v>
      </c>
      <c r="D127" s="103">
        <f>SUMIFS(Calculations!AB:AB,Calculations!C:C,$A127)</f>
        <v>0</v>
      </c>
    </row>
    <row r="128" spans="1:4">
      <c r="A128" s="85">
        <v>54</v>
      </c>
      <c r="B128" s="103">
        <f>SUMIFS(Calculations!X:X,Calculations!C:C,$A128)</f>
        <v>0</v>
      </c>
      <c r="C128" s="103">
        <f>SUMIFS(Calculations!AC:AC,Calculations!C:C,$A128)</f>
        <v>0</v>
      </c>
      <c r="D128" s="103">
        <f>SUMIFS(Calculations!AB:AB,Calculations!C:C,$A128)</f>
        <v>0</v>
      </c>
    </row>
    <row r="129" spans="1:10">
      <c r="A129" s="85">
        <v>55</v>
      </c>
      <c r="B129" s="103">
        <f>SUMIFS(Calculations!X:X,Calculations!C:C,$A129)</f>
        <v>0</v>
      </c>
      <c r="C129" s="103">
        <f>SUMIFS(Calculations!AC:AC,Calculations!C:C,$A129)</f>
        <v>0</v>
      </c>
      <c r="D129" s="103">
        <f>SUMIFS(Calculations!AB:AB,Calculations!C:C,$A129)</f>
        <v>0</v>
      </c>
    </row>
    <row r="130" spans="1:10">
      <c r="A130" s="85">
        <v>56</v>
      </c>
      <c r="B130" s="103">
        <f>SUMIFS(Calculations!X:X,Calculations!C:C,$A130)</f>
        <v>0</v>
      </c>
      <c r="C130" s="103">
        <f>SUMIFS(Calculations!AC:AC,Calculations!C:C,$A130)</f>
        <v>0</v>
      </c>
      <c r="D130" s="103">
        <f>SUMIFS(Calculations!AB:AB,Calculations!C:C,$A130)</f>
        <v>0</v>
      </c>
    </row>
    <row r="131" spans="1:10">
      <c r="A131" s="85">
        <v>57</v>
      </c>
      <c r="B131" s="103">
        <f>SUMIFS(Calculations!X:X,Calculations!C:C,$A131)</f>
        <v>0</v>
      </c>
      <c r="C131" s="103">
        <f>SUMIFS(Calculations!AC:AC,Calculations!C:C,$A131)</f>
        <v>0</v>
      </c>
      <c r="D131" s="103">
        <f>SUMIFS(Calculations!AB:AB,Calculations!C:C,$A131)</f>
        <v>0</v>
      </c>
    </row>
    <row r="132" spans="1:10">
      <c r="A132" s="85">
        <v>58</v>
      </c>
      <c r="B132" s="103">
        <f>SUMIFS(Calculations!X:X,Calculations!C:C,$A132)</f>
        <v>0</v>
      </c>
      <c r="C132" s="103">
        <f>SUMIFS(Calculations!AC:AC,Calculations!C:C,$A132)</f>
        <v>0</v>
      </c>
      <c r="D132" s="103">
        <f>SUMIFS(Calculations!AB:AB,Calculations!C:C,$A132)</f>
        <v>0</v>
      </c>
    </row>
    <row r="133" spans="1:10">
      <c r="A133" s="85">
        <v>59</v>
      </c>
      <c r="B133" s="103">
        <f>SUMIFS(Calculations!X:X,Calculations!C:C,$A133)</f>
        <v>0</v>
      </c>
      <c r="C133" s="103">
        <f>SUMIFS(Calculations!AC:AC,Calculations!C:C,$A133)</f>
        <v>0</v>
      </c>
      <c r="D133" s="103">
        <f>SUMIFS(Calculations!AB:AB,Calculations!C:C,$A133)</f>
        <v>0</v>
      </c>
    </row>
    <row r="134" spans="1:10">
      <c r="A134" s="85">
        <v>60</v>
      </c>
      <c r="B134" s="103">
        <f>SUMIFS(Calculations!X:X,Calculations!C:C,$A134)</f>
        <v>0</v>
      </c>
      <c r="C134" s="103">
        <f>SUMIFS(Calculations!AC:AC,Calculations!C:C,$A134)</f>
        <v>0</v>
      </c>
      <c r="D134" s="103">
        <f>SUMIFS(Calculations!AB:AB,Calculations!C:C,$A134)</f>
        <v>0</v>
      </c>
    </row>
    <row r="135" spans="1:10" ht="16">
      <c r="A135"/>
      <c r="B135"/>
      <c r="C135"/>
      <c r="D135"/>
      <c r="E135"/>
      <c r="F135"/>
      <c r="G135"/>
      <c r="H135"/>
      <c r="I135"/>
      <c r="J135"/>
    </row>
    <row r="136" spans="1:10" ht="16">
      <c r="A136"/>
      <c r="B136"/>
      <c r="C136"/>
      <c r="D136"/>
      <c r="E136"/>
      <c r="F136"/>
      <c r="G136"/>
      <c r="H136"/>
      <c r="I136"/>
      <c r="J136"/>
    </row>
    <row r="137" spans="1:10" ht="16">
      <c r="A137"/>
      <c r="B137"/>
      <c r="C137"/>
      <c r="D137"/>
      <c r="E137"/>
      <c r="F137"/>
      <c r="G137"/>
      <c r="H137"/>
      <c r="I137"/>
      <c r="J137"/>
    </row>
    <row r="138" spans="1:10" ht="16">
      <c r="A138"/>
      <c r="B138"/>
      <c r="C138"/>
      <c r="D138"/>
      <c r="E138"/>
      <c r="F138"/>
      <c r="G138"/>
      <c r="H138"/>
      <c r="I138"/>
      <c r="J138"/>
    </row>
    <row r="139" spans="1:10" ht="16">
      <c r="A139"/>
      <c r="B139"/>
      <c r="C139"/>
      <c r="D139"/>
      <c r="E139"/>
      <c r="F139"/>
      <c r="G139"/>
      <c r="H139"/>
      <c r="I139"/>
      <c r="J139"/>
    </row>
    <row r="140" spans="1:10" ht="16">
      <c r="A140"/>
      <c r="B140"/>
      <c r="C140"/>
      <c r="D140"/>
      <c r="E140"/>
      <c r="F140"/>
      <c r="G140"/>
      <c r="H140"/>
      <c r="I140"/>
      <c r="J140"/>
    </row>
    <row r="141" spans="1:10" ht="16">
      <c r="A141"/>
      <c r="B141"/>
      <c r="C141"/>
      <c r="D141"/>
      <c r="E141"/>
      <c r="F141"/>
      <c r="G141"/>
      <c r="H141"/>
      <c r="I141"/>
      <c r="J141"/>
    </row>
    <row r="142" spans="1:10" ht="16">
      <c r="A142"/>
      <c r="B142"/>
      <c r="C142"/>
      <c r="D142"/>
      <c r="E142"/>
      <c r="F142"/>
      <c r="G142"/>
      <c r="H142"/>
      <c r="I142"/>
      <c r="J142"/>
    </row>
    <row r="143" spans="1:10" ht="16">
      <c r="A143"/>
      <c r="B143"/>
      <c r="C143"/>
      <c r="D143"/>
      <c r="E143"/>
      <c r="F143"/>
      <c r="G143"/>
      <c r="H143"/>
      <c r="I143"/>
      <c r="J143"/>
    </row>
    <row r="144" spans="1:10" ht="16">
      <c r="A144"/>
      <c r="B144"/>
      <c r="C144"/>
      <c r="D144"/>
      <c r="E144"/>
      <c r="F144"/>
      <c r="G144"/>
      <c r="H144"/>
      <c r="I144"/>
      <c r="J144"/>
    </row>
    <row r="145" spans="1:10" ht="16">
      <c r="A145"/>
      <c r="B145"/>
      <c r="C145"/>
      <c r="D145"/>
      <c r="E145"/>
      <c r="F145"/>
      <c r="G145"/>
      <c r="H145"/>
      <c r="I145"/>
      <c r="J145"/>
    </row>
    <row r="146" spans="1:10" ht="16">
      <c r="A146"/>
      <c r="B146"/>
      <c r="C146"/>
      <c r="D146"/>
      <c r="E146"/>
      <c r="F146"/>
      <c r="G146"/>
      <c r="H146"/>
      <c r="I146"/>
      <c r="J146"/>
    </row>
    <row r="147" spans="1:10" ht="16">
      <c r="A147"/>
      <c r="B147"/>
      <c r="C147"/>
      <c r="D147"/>
      <c r="E147"/>
      <c r="F147"/>
      <c r="G147"/>
      <c r="H147"/>
      <c r="I147"/>
      <c r="J147"/>
    </row>
    <row r="148" spans="1:10" ht="16">
      <c r="A148"/>
      <c r="B148"/>
      <c r="C148"/>
      <c r="D148"/>
      <c r="E148"/>
      <c r="F148"/>
      <c r="G148"/>
      <c r="H148"/>
      <c r="I148"/>
      <c r="J148"/>
    </row>
    <row r="149" spans="1:10" ht="16">
      <c r="A149"/>
      <c r="B149"/>
      <c r="C149"/>
      <c r="D149"/>
      <c r="E149"/>
      <c r="F149"/>
      <c r="G149"/>
      <c r="H149"/>
      <c r="I149"/>
      <c r="J149"/>
    </row>
    <row r="150" spans="1:10" ht="16">
      <c r="A150"/>
      <c r="B150"/>
      <c r="C150"/>
      <c r="D150"/>
      <c r="E150"/>
      <c r="F150"/>
      <c r="G150"/>
      <c r="H150"/>
      <c r="I150"/>
      <c r="J150"/>
    </row>
    <row r="151" spans="1:10" ht="16">
      <c r="A151"/>
      <c r="B151"/>
      <c r="C151"/>
      <c r="D151"/>
      <c r="E151"/>
      <c r="F151"/>
      <c r="G151"/>
      <c r="H151"/>
      <c r="I151"/>
      <c r="J151"/>
    </row>
  </sheetData>
  <mergeCells count="3">
    <mergeCell ref="A1:L1"/>
    <mergeCell ref="A4:I4"/>
    <mergeCell ref="A72:E72"/>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0FA03-5F0F-2B49-921B-0CFB047AFF15}">
  <sheetPr>
    <tabColor theme="1"/>
  </sheetPr>
  <dimension ref="A1"/>
  <sheetViews>
    <sheetView showGridLines="0" workbookViewId="0">
      <selection activeCell="S41" sqref="S41"/>
    </sheetView>
  </sheetViews>
  <sheetFormatPr baseColWidth="10" defaultRowHeight="16"/>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216A1-853E-6947-8670-0EDDA31C1CB4}">
  <sheetPr>
    <tabColor theme="4"/>
  </sheetPr>
  <dimension ref="B2:N40"/>
  <sheetViews>
    <sheetView zoomScale="75" workbookViewId="0">
      <selection activeCell="I4" sqref="I4"/>
    </sheetView>
  </sheetViews>
  <sheetFormatPr baseColWidth="10" defaultRowHeight="16"/>
  <cols>
    <col min="2" max="2" width="12.83203125" bestFit="1" customWidth="1"/>
    <col min="4" max="5" width="11.33203125" bestFit="1" customWidth="1"/>
    <col min="6" max="6" width="18.33203125" bestFit="1" customWidth="1"/>
    <col min="7" max="7" width="25.83203125" bestFit="1" customWidth="1"/>
    <col min="8" max="8" width="4" customWidth="1"/>
    <col min="9" max="9" width="23" bestFit="1" customWidth="1"/>
    <col min="10" max="10" width="4.83203125" customWidth="1"/>
    <col min="11" max="11" width="37.33203125" bestFit="1" customWidth="1"/>
  </cols>
  <sheetData>
    <row r="2" spans="2:14">
      <c r="F2" t="s">
        <v>173</v>
      </c>
    </row>
    <row r="3" spans="2:14">
      <c r="B3" t="s">
        <v>160</v>
      </c>
      <c r="C3" s="6" t="s">
        <v>158</v>
      </c>
      <c r="D3" s="59">
        <f>8868530/55</f>
        <v>161246</v>
      </c>
      <c r="E3" s="62">
        <v>161246</v>
      </c>
      <c r="F3" s="42"/>
      <c r="G3" s="101">
        <f>E3/(E4*12)</f>
        <v>28.529016277423921</v>
      </c>
      <c r="H3" s="42"/>
      <c r="I3" s="287">
        <f>E3*55</f>
        <v>8868530</v>
      </c>
      <c r="J3" s="42"/>
    </row>
    <row r="4" spans="2:14">
      <c r="C4" s="6" t="s">
        <v>159</v>
      </c>
      <c r="D4">
        <f>25905/55</f>
        <v>471</v>
      </c>
      <c r="E4" s="60">
        <v>471</v>
      </c>
      <c r="F4" s="42"/>
      <c r="H4" s="42"/>
      <c r="I4" s="6">
        <f>E4*55</f>
        <v>25905</v>
      </c>
      <c r="J4" s="42"/>
    </row>
    <row r="5" spans="2:14">
      <c r="F5" s="42"/>
    </row>
    <row r="6" spans="2:14">
      <c r="B6" t="s">
        <v>161</v>
      </c>
      <c r="C6" s="6" t="s">
        <v>158</v>
      </c>
      <c r="E6" s="59">
        <v>134537</v>
      </c>
      <c r="F6" s="42">
        <f>($E$3/E6)-1</f>
        <v>0.19852531273924656</v>
      </c>
      <c r="G6" s="101">
        <f>E6/(E7*12)</f>
        <v>27.81989247311828</v>
      </c>
      <c r="I6" s="287">
        <f>E6*55</f>
        <v>7399535</v>
      </c>
    </row>
    <row r="7" spans="2:14">
      <c r="C7" s="6" t="s">
        <v>159</v>
      </c>
      <c r="E7" s="61">
        <v>403</v>
      </c>
      <c r="F7" s="42">
        <f>($E$4/E7)-1</f>
        <v>0.16873449131513651</v>
      </c>
      <c r="I7" s="6">
        <f>E7*55</f>
        <v>22165</v>
      </c>
    </row>
    <row r="9" spans="2:14">
      <c r="B9" t="s">
        <v>162</v>
      </c>
      <c r="C9" s="6" t="s">
        <v>158</v>
      </c>
      <c r="E9">
        <v>73986</v>
      </c>
      <c r="F9" s="42">
        <f>($E$3/E9)-1</f>
        <v>1.1794123212499663</v>
      </c>
    </row>
    <row r="10" spans="2:14">
      <c r="C10" s="6" t="s">
        <v>159</v>
      </c>
      <c r="E10">
        <v>253</v>
      </c>
      <c r="F10" s="42">
        <f>($E$4/E10)-1</f>
        <v>0.86166007905138331</v>
      </c>
    </row>
    <row r="11" spans="2:14">
      <c r="L11" s="37"/>
      <c r="M11" s="37"/>
      <c r="N11" s="37"/>
    </row>
    <row r="12" spans="2:14">
      <c r="B12" t="s">
        <v>163</v>
      </c>
      <c r="C12" s="6" t="s">
        <v>158</v>
      </c>
      <c r="E12">
        <v>92279</v>
      </c>
      <c r="F12" s="42">
        <f>($E$3/E12)-1</f>
        <v>0.7473748090031318</v>
      </c>
      <c r="L12" s="37"/>
      <c r="M12" s="37"/>
      <c r="N12" s="37"/>
    </row>
    <row r="13" spans="2:14">
      <c r="C13" s="6" t="s">
        <v>159</v>
      </c>
      <c r="E13">
        <v>304</v>
      </c>
      <c r="F13" s="42">
        <f>($E$4/E13)-1</f>
        <v>0.54934210526315796</v>
      </c>
    </row>
    <row r="15" spans="2:14">
      <c r="B15" t="s">
        <v>164</v>
      </c>
      <c r="C15" s="6" t="s">
        <v>158</v>
      </c>
      <c r="E15" s="63">
        <v>101595</v>
      </c>
      <c r="F15" s="42">
        <f>($E$3/E15)-1</f>
        <v>0.58714503666519025</v>
      </c>
    </row>
    <row r="16" spans="2:14">
      <c r="C16" s="6" t="s">
        <v>159</v>
      </c>
      <c r="E16" s="63">
        <v>323</v>
      </c>
      <c r="F16" s="42">
        <f>($E$4/E16)-1</f>
        <v>0.45820433436532504</v>
      </c>
    </row>
    <row r="18" spans="2:6">
      <c r="B18" t="s">
        <v>165</v>
      </c>
      <c r="C18" s="6" t="s">
        <v>158</v>
      </c>
      <c r="E18" s="63">
        <v>90366</v>
      </c>
      <c r="F18" s="42">
        <f>($E$3/E18)-1</f>
        <v>0.78436580129694788</v>
      </c>
    </row>
    <row r="19" spans="2:6">
      <c r="C19" s="6" t="s">
        <v>159</v>
      </c>
      <c r="E19" s="63">
        <v>303</v>
      </c>
      <c r="F19" s="42">
        <f>($E$4/E19)-1</f>
        <v>0.5544554455445545</v>
      </c>
    </row>
    <row r="21" spans="2:6">
      <c r="B21" t="s">
        <v>166</v>
      </c>
      <c r="C21" s="6" t="s">
        <v>158</v>
      </c>
      <c r="E21" s="63">
        <v>95814</v>
      </c>
      <c r="F21" s="42">
        <f>($E$3/E21)-1</f>
        <v>0.68290646460851234</v>
      </c>
    </row>
    <row r="22" spans="2:6">
      <c r="C22" s="6" t="s">
        <v>159</v>
      </c>
      <c r="E22" s="63">
        <v>307</v>
      </c>
      <c r="F22" s="42">
        <f>($E$4/E22)-1</f>
        <v>0.53420195439739415</v>
      </c>
    </row>
    <row r="24" spans="2:6">
      <c r="B24" t="s">
        <v>167</v>
      </c>
      <c r="C24" s="6" t="s">
        <v>158</v>
      </c>
      <c r="E24" s="63">
        <v>99263</v>
      </c>
      <c r="F24" s="42">
        <f>($E$3/E24)-1</f>
        <v>0.62443206431399423</v>
      </c>
    </row>
    <row r="25" spans="2:6">
      <c r="C25" s="6" t="s">
        <v>159</v>
      </c>
      <c r="E25" s="63">
        <v>294</v>
      </c>
      <c r="F25" s="42">
        <f>($E$4/E25)-1</f>
        <v>0.6020408163265305</v>
      </c>
    </row>
    <row r="27" spans="2:6">
      <c r="B27" t="s">
        <v>168</v>
      </c>
      <c r="C27" s="6" t="s">
        <v>158</v>
      </c>
      <c r="E27" s="63">
        <v>97728</v>
      </c>
      <c r="F27" s="42">
        <f>($E$3/E27)-1</f>
        <v>0.64994679109364761</v>
      </c>
    </row>
    <row r="28" spans="2:6">
      <c r="C28" s="6" t="s">
        <v>159</v>
      </c>
      <c r="E28" s="63">
        <v>287</v>
      </c>
      <c r="F28" s="42">
        <f>($E$4/E28)-1</f>
        <v>0.64111498257839727</v>
      </c>
    </row>
    <row r="30" spans="2:6">
      <c r="B30" t="s">
        <v>169</v>
      </c>
      <c r="C30" s="6" t="s">
        <v>158</v>
      </c>
      <c r="E30" s="63">
        <v>76638</v>
      </c>
      <c r="F30" s="42">
        <f>($E$3/E30)-1</f>
        <v>1.1039954069782616</v>
      </c>
    </row>
    <row r="31" spans="2:6">
      <c r="C31" s="6" t="s">
        <v>159</v>
      </c>
      <c r="E31" s="63">
        <v>250</v>
      </c>
      <c r="F31" s="42">
        <f>($E$4/E31)-1</f>
        <v>0.8839999999999999</v>
      </c>
    </row>
    <row r="33" spans="2:6">
      <c r="B33" t="s">
        <v>172</v>
      </c>
      <c r="C33" s="6" t="s">
        <v>158</v>
      </c>
      <c r="E33" s="63">
        <v>77887</v>
      </c>
      <c r="F33" s="42">
        <f>($E$3/E33)-1</f>
        <v>1.0702556267413046</v>
      </c>
    </row>
    <row r="34" spans="2:6">
      <c r="C34" s="6" t="s">
        <v>159</v>
      </c>
      <c r="E34">
        <v>258</v>
      </c>
      <c r="F34" s="42">
        <f>($E$4/E34)-1</f>
        <v>0.82558139534883712</v>
      </c>
    </row>
    <row r="36" spans="2:6">
      <c r="B36" t="s">
        <v>170</v>
      </c>
      <c r="C36" s="6" t="s">
        <v>158</v>
      </c>
      <c r="E36" s="63">
        <v>93514</v>
      </c>
      <c r="F36" s="42">
        <f>($E$3/E36)-1</f>
        <v>0.72429796607994534</v>
      </c>
    </row>
    <row r="37" spans="2:6">
      <c r="C37" s="6" t="s">
        <v>159</v>
      </c>
      <c r="E37">
        <v>294</v>
      </c>
      <c r="F37" s="42">
        <f>($E$4/E37)-1</f>
        <v>0.6020408163265305</v>
      </c>
    </row>
    <row r="39" spans="2:6">
      <c r="B39" t="s">
        <v>171</v>
      </c>
      <c r="C39" s="6" t="s">
        <v>158</v>
      </c>
      <c r="E39" s="63">
        <v>50157</v>
      </c>
      <c r="F39" s="42">
        <f>($E$3/E39)-1</f>
        <v>2.2148254480929879</v>
      </c>
    </row>
    <row r="40" spans="2:6">
      <c r="C40" s="6" t="s">
        <v>159</v>
      </c>
      <c r="E40">
        <v>226</v>
      </c>
      <c r="F40" s="42">
        <f>($E$4/E40)-1</f>
        <v>1.084070796460177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BA996-DBD5-6846-8149-A4E454803DF9}">
  <sheetPr>
    <tabColor theme="4"/>
  </sheetPr>
  <dimension ref="A6:T39"/>
  <sheetViews>
    <sheetView zoomScale="83" workbookViewId="0">
      <selection activeCell="C10" sqref="C10"/>
    </sheetView>
  </sheetViews>
  <sheetFormatPr baseColWidth="10" defaultRowHeight="16"/>
  <cols>
    <col min="2" max="2" width="54.1640625" bestFit="1" customWidth="1"/>
    <col min="3" max="3" width="27.5" bestFit="1" customWidth="1"/>
    <col min="7" max="7" width="24.33203125" bestFit="1" customWidth="1"/>
  </cols>
  <sheetData>
    <row r="6" spans="1:20">
      <c r="C6" s="6" t="s">
        <v>257</v>
      </c>
      <c r="D6">
        <v>2012</v>
      </c>
      <c r="E6">
        <v>2013</v>
      </c>
      <c r="F6">
        <v>2014</v>
      </c>
      <c r="G6">
        <v>2015</v>
      </c>
      <c r="H6">
        <v>2016</v>
      </c>
      <c r="I6">
        <v>2017</v>
      </c>
      <c r="J6">
        <v>2018</v>
      </c>
      <c r="K6">
        <v>2019</v>
      </c>
      <c r="L6">
        <v>2020</v>
      </c>
      <c r="M6">
        <v>2021</v>
      </c>
      <c r="N6">
        <v>2022</v>
      </c>
      <c r="O6">
        <v>2023</v>
      </c>
      <c r="P6">
        <v>2024</v>
      </c>
      <c r="Q6">
        <v>2025</v>
      </c>
      <c r="S6" t="s">
        <v>263</v>
      </c>
    </row>
    <row r="7" spans="1:20">
      <c r="A7" t="s">
        <v>259</v>
      </c>
      <c r="B7" s="121" t="s">
        <v>260</v>
      </c>
      <c r="C7" t="s">
        <v>258</v>
      </c>
      <c r="D7">
        <v>191</v>
      </c>
      <c r="E7">
        <v>187</v>
      </c>
      <c r="F7">
        <v>194</v>
      </c>
      <c r="G7">
        <v>206</v>
      </c>
      <c r="H7">
        <v>224</v>
      </c>
      <c r="I7">
        <v>252</v>
      </c>
      <c r="J7">
        <v>276</v>
      </c>
      <c r="K7">
        <v>293</v>
      </c>
      <c r="L7">
        <v>273</v>
      </c>
      <c r="M7">
        <v>266</v>
      </c>
      <c r="N7">
        <v>329</v>
      </c>
      <c r="O7">
        <v>351</v>
      </c>
      <c r="S7" s="123">
        <f>(O7/D7)^(1/10)-1</f>
        <v>6.2740851127685016E-2</v>
      </c>
    </row>
    <row r="8" spans="1:20">
      <c r="C8" t="s">
        <v>161</v>
      </c>
      <c r="D8">
        <v>161</v>
      </c>
      <c r="E8">
        <v>166</v>
      </c>
      <c r="F8">
        <v>165</v>
      </c>
      <c r="G8">
        <v>171</v>
      </c>
      <c r="H8">
        <v>188</v>
      </c>
      <c r="I8">
        <v>204</v>
      </c>
      <c r="J8">
        <v>227</v>
      </c>
      <c r="K8">
        <v>236</v>
      </c>
      <c r="L8">
        <v>242</v>
      </c>
      <c r="M8">
        <v>249</v>
      </c>
      <c r="N8">
        <v>282</v>
      </c>
      <c r="O8">
        <v>306</v>
      </c>
    </row>
    <row r="9" spans="1:20">
      <c r="S9" t="s">
        <v>264</v>
      </c>
      <c r="T9" s="124"/>
    </row>
    <row r="10" spans="1:20">
      <c r="B10" t="s">
        <v>261</v>
      </c>
      <c r="C10" s="6" t="s">
        <v>258</v>
      </c>
      <c r="I10" s="148">
        <v>301</v>
      </c>
      <c r="J10" s="148">
        <v>325</v>
      </c>
      <c r="K10" s="148">
        <v>333</v>
      </c>
      <c r="L10" s="148">
        <v>314</v>
      </c>
      <c r="M10" s="148">
        <v>301</v>
      </c>
      <c r="N10" s="148">
        <v>360</v>
      </c>
      <c r="O10" s="148">
        <v>403</v>
      </c>
      <c r="P10" s="148">
        <v>429</v>
      </c>
      <c r="Q10" s="148">
        <v>455</v>
      </c>
      <c r="S10" s="123">
        <f>(Q10/D12)^(1/13)-1</f>
        <v>5.7850826247786813E-2</v>
      </c>
    </row>
    <row r="11" spans="1:20">
      <c r="C11" t="s">
        <v>161</v>
      </c>
    </row>
    <row r="12" spans="1:20">
      <c r="B12" t="s">
        <v>385</v>
      </c>
      <c r="C12" s="6" t="s">
        <v>258</v>
      </c>
      <c r="D12" s="148">
        <f>D7/$H$18</f>
        <v>219.02506193292706</v>
      </c>
      <c r="E12" s="148">
        <f t="shared" ref="E12:O12" si="0">E7/$H$18</f>
        <v>214.43814964113801</v>
      </c>
      <c r="F12" s="148">
        <f t="shared" si="0"/>
        <v>222.46524615176887</v>
      </c>
      <c r="G12" s="148">
        <f t="shared" si="0"/>
        <v>236.22598302713601</v>
      </c>
      <c r="H12" s="148">
        <f t="shared" si="0"/>
        <v>256.86708834018674</v>
      </c>
      <c r="I12">
        <f t="shared" si="0"/>
        <v>288.97547438271005</v>
      </c>
      <c r="J12">
        <f t="shared" si="0"/>
        <v>316.49694813344433</v>
      </c>
      <c r="K12">
        <f t="shared" si="0"/>
        <v>335.9913253735478</v>
      </c>
      <c r="L12">
        <f t="shared" si="0"/>
        <v>313.05676391460258</v>
      </c>
      <c r="M12">
        <f t="shared" si="0"/>
        <v>305.02966740397176</v>
      </c>
      <c r="N12">
        <f t="shared" si="0"/>
        <v>377.27353599964925</v>
      </c>
      <c r="O12">
        <f t="shared" si="0"/>
        <v>402.501553604489</v>
      </c>
    </row>
    <row r="13" spans="1:20">
      <c r="S13" t="s">
        <v>265</v>
      </c>
    </row>
    <row r="14" spans="1:20">
      <c r="B14" t="s">
        <v>262</v>
      </c>
      <c r="C14" t="s">
        <v>258</v>
      </c>
      <c r="M14" s="6">
        <v>302</v>
      </c>
      <c r="N14" s="6">
        <v>368</v>
      </c>
      <c r="O14" s="6">
        <v>395</v>
      </c>
      <c r="P14" s="6">
        <v>425</v>
      </c>
      <c r="Q14" s="6">
        <v>459</v>
      </c>
      <c r="S14" s="42">
        <f>(Q14/M14)^(1/4)-1</f>
        <v>0.11032836752071162</v>
      </c>
    </row>
    <row r="15" spans="1:20">
      <c r="S15" s="42">
        <f>(Q10/M10)^(1/4)-1</f>
        <v>0.10882044545926961</v>
      </c>
    </row>
    <row r="17" spans="7:15">
      <c r="H17" t="s">
        <v>296</v>
      </c>
      <c r="I17">
        <f>I7/I10</f>
        <v>0.83720930232558144</v>
      </c>
      <c r="J17">
        <f t="shared" ref="J17:O17" si="1">J7/J10</f>
        <v>0.84923076923076923</v>
      </c>
      <c r="K17">
        <f t="shared" si="1"/>
        <v>0.87987987987987992</v>
      </c>
      <c r="L17">
        <f t="shared" si="1"/>
        <v>0.86942675159235672</v>
      </c>
      <c r="M17">
        <f t="shared" si="1"/>
        <v>0.88372093023255816</v>
      </c>
      <c r="N17">
        <f t="shared" si="1"/>
        <v>0.91388888888888886</v>
      </c>
      <c r="O17">
        <f t="shared" si="1"/>
        <v>0.87096774193548387</v>
      </c>
    </row>
    <row r="18" spans="7:15">
      <c r="G18" t="s">
        <v>295</v>
      </c>
      <c r="H18">
        <f>AVERAGE(I17:O17)</f>
        <v>0.87204632344078825</v>
      </c>
    </row>
    <row r="38" spans="3:6">
      <c r="C38" s="6"/>
      <c r="D38" s="6"/>
    </row>
    <row r="39" spans="3:6">
      <c r="F39" s="125"/>
    </row>
  </sheetData>
  <hyperlinks>
    <hyperlink ref="B7" r:id="rId1" xr:uid="{E5679197-6FF7-9F4F-A684-F9FCB4922315}"/>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5A15F-F951-2748-867B-98A7E9D135AD}">
  <sheetPr>
    <tabColor theme="4"/>
    <pageSetUpPr fitToPage="1"/>
  </sheetPr>
  <dimension ref="A1"/>
  <sheetViews>
    <sheetView zoomScale="150" zoomScaleNormal="100" workbookViewId="0">
      <selection activeCell="U34" sqref="U34"/>
    </sheetView>
  </sheetViews>
  <sheetFormatPr baseColWidth="10" defaultColWidth="6.1640625" defaultRowHeight="11"/>
  <cols>
    <col min="1" max="16384" width="6.1640625" style="126"/>
  </cols>
  <sheetData/>
  <pageMargins left="0.78740157480314965" right="0.78740157480314965" top="0.98425196850393704" bottom="0.98425196850393704" header="0.51181102362204722" footer="0.51181102362204722"/>
  <pageSetup paperSize="9" scale="77" orientation="portrait" horizontalDpi="1200" verticalDpi="12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16D8-B70A-574D-8D16-2A4E79E2BB4F}">
  <sheetPr>
    <tabColor theme="4"/>
  </sheetPr>
  <dimension ref="A1:Z90"/>
  <sheetViews>
    <sheetView zoomScale="111" workbookViewId="0">
      <selection sqref="A1:D1"/>
    </sheetView>
  </sheetViews>
  <sheetFormatPr baseColWidth="10" defaultColWidth="6.1640625" defaultRowHeight="11"/>
  <cols>
    <col min="1" max="1" width="4" style="126" customWidth="1"/>
    <col min="2" max="4" width="5.5" style="126" customWidth="1"/>
    <col min="5" max="17" width="6.1640625" style="126"/>
    <col min="18" max="18" width="7.83203125" style="126" bestFit="1" customWidth="1"/>
    <col min="19" max="16384" width="6.1640625" style="126"/>
  </cols>
  <sheetData>
    <row r="1" spans="1:26" ht="33.75" customHeight="1">
      <c r="A1" s="229" t="s">
        <v>293</v>
      </c>
      <c r="B1" s="230"/>
      <c r="C1" s="230"/>
      <c r="D1" s="231"/>
    </row>
    <row r="2" spans="1:26" ht="21.75" customHeight="1">
      <c r="A2" s="137"/>
      <c r="B2" s="147" t="s">
        <v>292</v>
      </c>
      <c r="C2" s="147" t="s">
        <v>291</v>
      </c>
      <c r="D2" s="147" t="s">
        <v>258</v>
      </c>
    </row>
    <row r="3" spans="1:26">
      <c r="A3" s="143" t="s">
        <v>290</v>
      </c>
      <c r="B3" s="133">
        <v>66.3</v>
      </c>
      <c r="C3" s="133">
        <v>59.7</v>
      </c>
      <c r="D3" s="133">
        <v>73</v>
      </c>
      <c r="E3" s="126">
        <v>2005</v>
      </c>
      <c r="F3" s="144"/>
      <c r="G3" s="144"/>
      <c r="H3" s="144"/>
      <c r="R3" s="126" t="s">
        <v>258</v>
      </c>
    </row>
    <row r="4" spans="1:26">
      <c r="A4" s="140" t="s">
        <v>268</v>
      </c>
      <c r="B4" s="129">
        <v>65.8</v>
      </c>
      <c r="C4" s="129">
        <v>59.5</v>
      </c>
      <c r="D4" s="129">
        <v>72.099999999999994</v>
      </c>
      <c r="F4" s="144"/>
      <c r="G4" s="144"/>
      <c r="H4" s="144"/>
      <c r="P4" s="126">
        <v>2005</v>
      </c>
      <c r="Q4" s="126">
        <v>2025</v>
      </c>
      <c r="R4" s="126" t="s">
        <v>294</v>
      </c>
    </row>
    <row r="5" spans="1:26" ht="16">
      <c r="A5" s="140" t="s">
        <v>267</v>
      </c>
      <c r="B5" s="129">
        <v>66.5</v>
      </c>
      <c r="C5" s="129">
        <v>60.4</v>
      </c>
      <c r="D5" s="129">
        <v>72.5</v>
      </c>
      <c r="F5" s="144"/>
      <c r="G5" s="144"/>
      <c r="H5" s="144"/>
      <c r="R5" s="123">
        <f>(D86/D6)^(1/20)-1</f>
        <v>7.1608276281045269E-2</v>
      </c>
      <c r="V5" s="122"/>
      <c r="Z5" s="122"/>
    </row>
    <row r="6" spans="1:26">
      <c r="A6" s="142" t="s">
        <v>266</v>
      </c>
      <c r="B6" s="127">
        <v>67.5</v>
      </c>
      <c r="C6" s="127">
        <v>62</v>
      </c>
      <c r="D6" s="127">
        <v>73.099999999999994</v>
      </c>
      <c r="F6" s="144"/>
      <c r="G6" s="144"/>
      <c r="H6" s="144"/>
    </row>
    <row r="7" spans="1:26" ht="16">
      <c r="A7" s="143" t="s">
        <v>289</v>
      </c>
      <c r="B7" s="133">
        <v>69</v>
      </c>
      <c r="C7" s="133">
        <v>63.1</v>
      </c>
      <c r="D7" s="146">
        <v>74.8</v>
      </c>
      <c r="E7" s="126">
        <v>2006</v>
      </c>
      <c r="F7" s="144"/>
      <c r="G7" s="144"/>
      <c r="H7" s="144"/>
      <c r="P7" s="126">
        <v>2015</v>
      </c>
      <c r="Q7" s="126">
        <v>2025</v>
      </c>
      <c r="R7" s="122">
        <f>(D86/D46)^(1/10)-1</f>
        <v>9.2721668538777724E-2</v>
      </c>
    </row>
    <row r="8" spans="1:26">
      <c r="A8" s="140" t="s">
        <v>268</v>
      </c>
      <c r="B8" s="129">
        <v>70.7</v>
      </c>
      <c r="C8" s="129">
        <v>64.8</v>
      </c>
      <c r="D8" s="129">
        <v>76.599999999999994</v>
      </c>
      <c r="F8" s="144"/>
      <c r="G8" s="144"/>
      <c r="H8" s="144"/>
    </row>
    <row r="9" spans="1:26">
      <c r="A9" s="140" t="s">
        <v>267</v>
      </c>
      <c r="B9" s="129">
        <v>73.3</v>
      </c>
      <c r="C9" s="129">
        <v>67.8</v>
      </c>
      <c r="D9" s="129">
        <v>78.8</v>
      </c>
      <c r="F9" s="144"/>
      <c r="G9" s="144"/>
      <c r="H9" s="144"/>
    </row>
    <row r="10" spans="1:26" ht="16">
      <c r="A10" s="142" t="s">
        <v>266</v>
      </c>
      <c r="B10" s="127">
        <v>76.5</v>
      </c>
      <c r="C10" s="127">
        <v>71.5</v>
      </c>
      <c r="D10" s="127">
        <v>81.400000000000006</v>
      </c>
      <c r="F10" s="144"/>
      <c r="G10" s="144"/>
      <c r="H10" s="144"/>
      <c r="P10" s="126">
        <v>2012</v>
      </c>
      <c r="Q10" s="126">
        <v>2025</v>
      </c>
      <c r="R10" s="122">
        <f>(D86/D34)^(1/13)-1</f>
        <v>8.4536167894440961E-2</v>
      </c>
    </row>
    <row r="11" spans="1:26">
      <c r="A11" s="143" t="s">
        <v>288</v>
      </c>
      <c r="B11" s="133">
        <v>80.3</v>
      </c>
      <c r="C11" s="133">
        <v>75.8</v>
      </c>
      <c r="D11" s="133">
        <v>84.8</v>
      </c>
      <c r="E11" s="126">
        <v>2007</v>
      </c>
      <c r="F11" s="144"/>
      <c r="G11" s="144"/>
      <c r="H11" s="144"/>
    </row>
    <row r="12" spans="1:26">
      <c r="A12" s="140" t="s">
        <v>268</v>
      </c>
      <c r="B12" s="129">
        <v>84.9</v>
      </c>
      <c r="C12" s="129">
        <v>80.2</v>
      </c>
      <c r="D12" s="129">
        <v>89.7</v>
      </c>
      <c r="F12" s="144"/>
      <c r="G12" s="144"/>
      <c r="H12" s="144"/>
    </row>
    <row r="13" spans="1:26">
      <c r="A13" s="140" t="s">
        <v>267</v>
      </c>
      <c r="B13" s="129">
        <v>89.7</v>
      </c>
      <c r="C13" s="129">
        <v>85.7</v>
      </c>
      <c r="D13" s="129">
        <v>93.7</v>
      </c>
      <c r="F13" s="144"/>
      <c r="G13" s="144"/>
      <c r="H13" s="144"/>
    </row>
    <row r="14" spans="1:26">
      <c r="A14" s="142" t="s">
        <v>266</v>
      </c>
      <c r="B14" s="127">
        <v>93.9</v>
      </c>
      <c r="C14" s="127">
        <v>90.3</v>
      </c>
      <c r="D14" s="127">
        <v>97.6</v>
      </c>
      <c r="F14" s="144"/>
      <c r="G14" s="144"/>
      <c r="H14" s="144"/>
    </row>
    <row r="15" spans="1:26">
      <c r="A15" s="143" t="s">
        <v>287</v>
      </c>
      <c r="B15" s="133">
        <v>99.1</v>
      </c>
      <c r="C15" s="133">
        <v>96.8</v>
      </c>
      <c r="D15" s="133">
        <v>101.5</v>
      </c>
      <c r="E15" s="126">
        <v>2008</v>
      </c>
      <c r="F15" s="144"/>
      <c r="G15" s="144"/>
      <c r="H15" s="144"/>
    </row>
    <row r="16" spans="1:26">
      <c r="A16" s="140" t="s">
        <v>268</v>
      </c>
      <c r="B16" s="129">
        <v>106.1</v>
      </c>
      <c r="C16" s="129">
        <v>105.2</v>
      </c>
      <c r="D16" s="129">
        <v>107</v>
      </c>
      <c r="F16" s="144"/>
      <c r="G16" s="144"/>
      <c r="H16" s="144"/>
    </row>
    <row r="17" spans="1:7">
      <c r="A17" s="140" t="s">
        <v>267</v>
      </c>
      <c r="B17" s="129">
        <v>111.8</v>
      </c>
      <c r="C17" s="129">
        <v>110.2</v>
      </c>
      <c r="D17" s="129">
        <v>113.5</v>
      </c>
    </row>
    <row r="18" spans="1:7">
      <c r="A18" s="142" t="s">
        <v>266</v>
      </c>
      <c r="B18" s="127">
        <v>111.9</v>
      </c>
      <c r="C18" s="127">
        <v>112.3</v>
      </c>
      <c r="D18" s="127">
        <v>111.5</v>
      </c>
    </row>
    <row r="19" spans="1:7">
      <c r="A19" s="143" t="s">
        <v>286</v>
      </c>
      <c r="B19" s="146">
        <v>108.8</v>
      </c>
      <c r="C19" s="146">
        <v>107.2</v>
      </c>
      <c r="D19" s="146">
        <v>110.5</v>
      </c>
      <c r="E19" s="126">
        <v>2009</v>
      </c>
    </row>
    <row r="20" spans="1:7">
      <c r="A20" s="140" t="s">
        <v>268</v>
      </c>
      <c r="B20" s="145">
        <v>103</v>
      </c>
      <c r="C20" s="129">
        <v>100.4</v>
      </c>
      <c r="D20" s="129">
        <v>105.5</v>
      </c>
      <c r="F20" s="144"/>
      <c r="G20" s="144"/>
    </row>
    <row r="21" spans="1:7">
      <c r="A21" s="130" t="s">
        <v>267</v>
      </c>
      <c r="B21" s="145">
        <v>103.3</v>
      </c>
      <c r="C21" s="129">
        <v>102.6</v>
      </c>
      <c r="D21" s="129">
        <v>104</v>
      </c>
      <c r="F21" s="144"/>
      <c r="G21" s="144"/>
    </row>
    <row r="22" spans="1:7">
      <c r="A22" s="128" t="s">
        <v>266</v>
      </c>
      <c r="B22" s="141">
        <v>102.1</v>
      </c>
      <c r="C22" s="127">
        <v>101.7</v>
      </c>
      <c r="D22" s="127">
        <v>102.5</v>
      </c>
    </row>
    <row r="23" spans="1:7">
      <c r="A23" s="143" t="s">
        <v>285</v>
      </c>
      <c r="B23" s="133">
        <v>100.8</v>
      </c>
      <c r="C23" s="133">
        <v>99.9</v>
      </c>
      <c r="D23" s="132">
        <v>101.8</v>
      </c>
      <c r="E23" s="126">
        <v>2010</v>
      </c>
    </row>
    <row r="24" spans="1:7">
      <c r="A24" s="140" t="s">
        <v>268</v>
      </c>
      <c r="B24" s="129">
        <v>100.4</v>
      </c>
      <c r="C24" s="129">
        <v>100.2</v>
      </c>
      <c r="D24" s="131">
        <v>100.7</v>
      </c>
    </row>
    <row r="25" spans="1:7">
      <c r="A25" s="140" t="s">
        <v>267</v>
      </c>
      <c r="B25" s="129">
        <v>99.9</v>
      </c>
      <c r="C25" s="129">
        <v>99.9</v>
      </c>
      <c r="D25" s="131">
        <v>99.8</v>
      </c>
    </row>
    <row r="26" spans="1:7">
      <c r="A26" s="142" t="s">
        <v>266</v>
      </c>
      <c r="B26" s="141">
        <v>98.9</v>
      </c>
      <c r="C26" s="127">
        <v>100</v>
      </c>
      <c r="D26" s="136">
        <v>97.7</v>
      </c>
    </row>
    <row r="27" spans="1:7">
      <c r="A27" s="135" t="s">
        <v>284</v>
      </c>
      <c r="B27" s="133">
        <v>97.1</v>
      </c>
      <c r="C27" s="133">
        <v>98</v>
      </c>
      <c r="D27" s="132">
        <v>96.2</v>
      </c>
      <c r="E27" s="126">
        <v>2011</v>
      </c>
    </row>
    <row r="28" spans="1:7">
      <c r="A28" s="140" t="s">
        <v>268</v>
      </c>
      <c r="B28" s="138">
        <v>95.1</v>
      </c>
      <c r="C28" s="129">
        <v>97.1</v>
      </c>
      <c r="D28" s="131">
        <v>93.1</v>
      </c>
    </row>
    <row r="29" spans="1:7">
      <c r="A29" s="130" t="s">
        <v>267</v>
      </c>
      <c r="B29" s="126">
        <v>94.5</v>
      </c>
      <c r="C29" s="129">
        <v>96.4</v>
      </c>
      <c r="D29" s="131">
        <v>92.7</v>
      </c>
    </row>
    <row r="30" spans="1:7">
      <c r="A30" s="128" t="s">
        <v>266</v>
      </c>
      <c r="B30" s="139">
        <v>93.7</v>
      </c>
      <c r="C30" s="127">
        <v>94.9</v>
      </c>
      <c r="D30" s="127">
        <v>92.5</v>
      </c>
    </row>
    <row r="31" spans="1:7">
      <c r="A31" s="135" t="s">
        <v>283</v>
      </c>
      <c r="B31" s="133">
        <v>94.9</v>
      </c>
      <c r="C31" s="133">
        <v>93.9</v>
      </c>
      <c r="D31" s="133">
        <v>95.9</v>
      </c>
      <c r="E31" s="126">
        <v>2012</v>
      </c>
    </row>
    <row r="32" spans="1:7">
      <c r="A32" s="130" t="s">
        <v>268</v>
      </c>
      <c r="B32" s="129">
        <v>96.8</v>
      </c>
      <c r="C32" s="129">
        <v>93.1</v>
      </c>
      <c r="D32" s="129">
        <v>100.4</v>
      </c>
    </row>
    <row r="33" spans="1:5">
      <c r="A33" s="130" t="s">
        <v>267</v>
      </c>
      <c r="B33" s="129">
        <v>96</v>
      </c>
      <c r="C33" s="129">
        <v>91.3</v>
      </c>
      <c r="D33" s="129">
        <v>100.7</v>
      </c>
    </row>
    <row r="34" spans="1:5">
      <c r="A34" s="128" t="s">
        <v>266</v>
      </c>
      <c r="B34" s="127">
        <v>96.6</v>
      </c>
      <c r="C34" s="127">
        <v>91.7</v>
      </c>
      <c r="D34" s="127">
        <v>101.5</v>
      </c>
    </row>
    <row r="35" spans="1:5">
      <c r="A35" s="135" t="s">
        <v>282</v>
      </c>
      <c r="B35" s="133">
        <v>96.4</v>
      </c>
      <c r="C35" s="133">
        <v>90.9</v>
      </c>
      <c r="D35" s="133">
        <v>101.8</v>
      </c>
      <c r="E35" s="126">
        <v>2013</v>
      </c>
    </row>
    <row r="36" spans="1:5">
      <c r="A36" s="130" t="s">
        <v>268</v>
      </c>
      <c r="B36" s="129">
        <v>96.6</v>
      </c>
      <c r="C36" s="129">
        <v>91</v>
      </c>
      <c r="D36" s="129">
        <v>102.3</v>
      </c>
    </row>
    <row r="37" spans="1:5">
      <c r="A37" s="130" t="s">
        <v>267</v>
      </c>
      <c r="B37" s="129">
        <v>97.4</v>
      </c>
      <c r="C37" s="129">
        <v>91.3</v>
      </c>
      <c r="D37" s="129">
        <v>103.4</v>
      </c>
    </row>
    <row r="38" spans="1:5">
      <c r="A38" s="128" t="s">
        <v>266</v>
      </c>
      <c r="B38" s="127">
        <v>98.5</v>
      </c>
      <c r="C38" s="127">
        <v>91.9</v>
      </c>
      <c r="D38" s="127">
        <v>105</v>
      </c>
    </row>
    <row r="39" spans="1:5">
      <c r="A39" s="135" t="s">
        <v>281</v>
      </c>
      <c r="B39" s="133">
        <v>99.3</v>
      </c>
      <c r="C39" s="133">
        <v>92.9</v>
      </c>
      <c r="D39" s="133">
        <v>105.7</v>
      </c>
      <c r="E39" s="126">
        <v>2014</v>
      </c>
    </row>
    <row r="40" spans="1:5">
      <c r="A40" s="130" t="s">
        <v>268</v>
      </c>
      <c r="B40" s="129">
        <v>100.6</v>
      </c>
      <c r="C40" s="129">
        <v>93.4</v>
      </c>
      <c r="D40" s="129">
        <v>107.7</v>
      </c>
    </row>
    <row r="41" spans="1:5">
      <c r="A41" s="130" t="s">
        <v>267</v>
      </c>
      <c r="B41" s="129">
        <v>101.9</v>
      </c>
      <c r="C41" s="129">
        <v>93.5</v>
      </c>
      <c r="D41" s="129">
        <v>110.3</v>
      </c>
    </row>
    <row r="42" spans="1:5">
      <c r="A42" s="128" t="s">
        <v>266</v>
      </c>
      <c r="B42" s="127">
        <v>101.2</v>
      </c>
      <c r="C42" s="127">
        <v>92.1</v>
      </c>
      <c r="D42" s="127">
        <v>110.4</v>
      </c>
    </row>
    <row r="43" spans="1:5">
      <c r="A43" s="135" t="s">
        <v>280</v>
      </c>
      <c r="B43" s="133">
        <v>102.9</v>
      </c>
      <c r="C43" s="133">
        <v>94</v>
      </c>
      <c r="D43" s="133">
        <v>111.8</v>
      </c>
      <c r="E43" s="126">
        <v>2015</v>
      </c>
    </row>
    <row r="44" spans="1:5">
      <c r="A44" s="130" t="s">
        <v>268</v>
      </c>
      <c r="B44" s="138">
        <v>105.6</v>
      </c>
      <c r="C44" s="129">
        <v>96.5</v>
      </c>
      <c r="D44" s="131">
        <v>114.7</v>
      </c>
    </row>
    <row r="45" spans="1:5">
      <c r="A45" s="130" t="s">
        <v>267</v>
      </c>
      <c r="B45" s="138">
        <v>108.1</v>
      </c>
      <c r="C45" s="129">
        <v>98.5</v>
      </c>
      <c r="D45" s="131">
        <v>117.7</v>
      </c>
    </row>
    <row r="46" spans="1:5">
      <c r="A46" s="128" t="s">
        <v>266</v>
      </c>
      <c r="B46" s="137">
        <v>110.9</v>
      </c>
      <c r="C46" s="127">
        <v>101.6</v>
      </c>
      <c r="D46" s="136">
        <v>120.1</v>
      </c>
    </row>
    <row r="47" spans="1:5">
      <c r="A47" s="135" t="s">
        <v>279</v>
      </c>
      <c r="B47" s="133">
        <v>113.4</v>
      </c>
      <c r="C47" s="133">
        <v>103.5</v>
      </c>
      <c r="D47" s="133">
        <v>123.2</v>
      </c>
      <c r="E47" s="126">
        <v>2016</v>
      </c>
    </row>
    <row r="48" spans="1:5">
      <c r="A48" s="130" t="s">
        <v>268</v>
      </c>
      <c r="B48" s="129">
        <v>116.5</v>
      </c>
      <c r="C48" s="129">
        <v>106.1</v>
      </c>
      <c r="D48" s="129">
        <v>126.8</v>
      </c>
    </row>
    <row r="49" spans="1:5">
      <c r="A49" s="130" t="s">
        <v>267</v>
      </c>
      <c r="B49" s="129">
        <v>118.8</v>
      </c>
      <c r="C49" s="129">
        <v>108.4</v>
      </c>
      <c r="D49" s="129">
        <v>129.19999999999999</v>
      </c>
    </row>
    <row r="50" spans="1:5">
      <c r="A50" s="128" t="s">
        <v>266</v>
      </c>
      <c r="B50" s="127">
        <v>121.9</v>
      </c>
      <c r="C50" s="127">
        <v>110.2</v>
      </c>
      <c r="D50" s="127">
        <v>133.69999999999999</v>
      </c>
    </row>
    <row r="51" spans="1:5">
      <c r="A51" s="135" t="s">
        <v>278</v>
      </c>
      <c r="B51" s="133">
        <v>124.2</v>
      </c>
      <c r="C51" s="133">
        <v>108.3</v>
      </c>
      <c r="D51" s="133">
        <v>140</v>
      </c>
      <c r="E51" s="126">
        <v>2017</v>
      </c>
    </row>
    <row r="52" spans="1:5">
      <c r="A52" s="130" t="s">
        <v>268</v>
      </c>
      <c r="B52" s="129">
        <v>127.6</v>
      </c>
      <c r="C52" s="129">
        <v>109.9</v>
      </c>
      <c r="D52" s="129">
        <v>145.30000000000001</v>
      </c>
    </row>
    <row r="53" spans="1:5">
      <c r="A53" s="130" t="s">
        <v>267</v>
      </c>
      <c r="B53" s="129">
        <v>133.69999999999999</v>
      </c>
      <c r="C53" s="129">
        <v>114.6</v>
      </c>
      <c r="D53" s="129">
        <v>152.80000000000001</v>
      </c>
    </row>
    <row r="54" spans="1:5">
      <c r="A54" s="128" t="s">
        <v>266</v>
      </c>
      <c r="B54" s="127">
        <v>137.1</v>
      </c>
      <c r="C54" s="127">
        <v>115.4</v>
      </c>
      <c r="D54" s="127">
        <v>158.80000000000001</v>
      </c>
    </row>
    <row r="55" spans="1:5">
      <c r="A55" s="135" t="s">
        <v>277</v>
      </c>
      <c r="B55" s="134">
        <v>140.1</v>
      </c>
      <c r="C55" s="133">
        <v>119.1</v>
      </c>
      <c r="D55" s="132">
        <v>161.1</v>
      </c>
      <c r="E55" s="126">
        <v>2018</v>
      </c>
    </row>
    <row r="56" spans="1:5">
      <c r="A56" s="130" t="s">
        <v>268</v>
      </c>
      <c r="B56" s="126">
        <v>143.19999999999999</v>
      </c>
      <c r="C56" s="129">
        <v>120.3</v>
      </c>
      <c r="D56" s="131">
        <v>166</v>
      </c>
    </row>
    <row r="57" spans="1:5">
      <c r="A57" s="130" t="s">
        <v>267</v>
      </c>
      <c r="B57" s="129">
        <v>146.4</v>
      </c>
      <c r="C57" s="129">
        <v>123.5</v>
      </c>
      <c r="D57" s="129">
        <v>169.2</v>
      </c>
    </row>
    <row r="58" spans="1:5">
      <c r="A58" s="128" t="s">
        <v>266</v>
      </c>
      <c r="B58" s="127">
        <v>148.69999999999999</v>
      </c>
      <c r="C58" s="127">
        <v>124.8</v>
      </c>
      <c r="D58" s="127">
        <v>172.7</v>
      </c>
    </row>
    <row r="59" spans="1:5">
      <c r="A59" s="135" t="s">
        <v>276</v>
      </c>
      <c r="B59" s="133">
        <v>150.5</v>
      </c>
      <c r="C59" s="133">
        <v>126.5</v>
      </c>
      <c r="D59" s="132">
        <v>174.5</v>
      </c>
      <c r="E59" s="126">
        <v>2019</v>
      </c>
    </row>
    <row r="60" spans="1:5">
      <c r="A60" s="130" t="s">
        <v>268</v>
      </c>
      <c r="B60" s="129">
        <v>151.4</v>
      </c>
      <c r="C60" s="129">
        <v>128.6</v>
      </c>
      <c r="D60" s="131">
        <v>174.2</v>
      </c>
    </row>
    <row r="61" spans="1:5">
      <c r="A61" s="130" t="s">
        <v>267</v>
      </c>
      <c r="B61" s="129">
        <v>154</v>
      </c>
      <c r="C61" s="129">
        <v>133.1</v>
      </c>
      <c r="D61" s="129">
        <v>174.8</v>
      </c>
    </row>
    <row r="62" spans="1:5">
      <c r="A62" s="128" t="s">
        <v>266</v>
      </c>
      <c r="B62" s="127">
        <v>156.9</v>
      </c>
      <c r="C62" s="127">
        <v>135.9</v>
      </c>
      <c r="D62" s="127">
        <v>177.8</v>
      </c>
    </row>
    <row r="63" spans="1:5">
      <c r="A63" s="135" t="s">
        <v>275</v>
      </c>
      <c r="B63" s="134">
        <v>159.6</v>
      </c>
      <c r="C63" s="133">
        <v>138.5</v>
      </c>
      <c r="D63" s="132">
        <v>180.7</v>
      </c>
      <c r="E63" s="126">
        <v>2020</v>
      </c>
    </row>
    <row r="64" spans="1:5">
      <c r="A64" s="130" t="s">
        <v>268</v>
      </c>
      <c r="B64" s="126">
        <v>162.19999999999999</v>
      </c>
      <c r="C64" s="129">
        <v>141.1</v>
      </c>
      <c r="D64" s="131">
        <v>183.4</v>
      </c>
    </row>
    <row r="65" spans="1:5">
      <c r="A65" s="130" t="s">
        <v>267</v>
      </c>
      <c r="B65" s="129">
        <v>166.3</v>
      </c>
      <c r="C65" s="129">
        <v>146.9</v>
      </c>
      <c r="D65" s="129">
        <v>185.7</v>
      </c>
    </row>
    <row r="66" spans="1:5">
      <c r="A66" s="128" t="s">
        <v>266</v>
      </c>
      <c r="B66" s="127">
        <v>168.9</v>
      </c>
      <c r="C66" s="127">
        <v>150.80000000000001</v>
      </c>
      <c r="D66" s="127">
        <v>187</v>
      </c>
    </row>
    <row r="67" spans="1:5">
      <c r="A67" s="135" t="s">
        <v>274</v>
      </c>
      <c r="B67" s="134">
        <v>171.8</v>
      </c>
      <c r="C67" s="133">
        <v>154.30000000000001</v>
      </c>
      <c r="D67" s="132">
        <v>189.3</v>
      </c>
      <c r="E67" s="126">
        <v>2021</v>
      </c>
    </row>
    <row r="68" spans="1:5">
      <c r="A68" s="130" t="s">
        <v>268</v>
      </c>
      <c r="B68" s="126">
        <v>175.1</v>
      </c>
      <c r="C68" s="129">
        <v>158.6</v>
      </c>
      <c r="D68" s="131">
        <v>191.7</v>
      </c>
    </row>
    <row r="69" spans="1:5">
      <c r="A69" s="130" t="s">
        <v>267</v>
      </c>
      <c r="B69" s="129">
        <v>181.8</v>
      </c>
      <c r="C69" s="129">
        <v>166.4</v>
      </c>
      <c r="D69" s="129">
        <v>197.3</v>
      </c>
    </row>
    <row r="70" spans="1:5">
      <c r="A70" s="128" t="s">
        <v>266</v>
      </c>
      <c r="B70" s="127">
        <v>189.9</v>
      </c>
      <c r="C70" s="127">
        <v>175.7</v>
      </c>
      <c r="D70" s="127">
        <v>204.1</v>
      </c>
    </row>
    <row r="71" spans="1:5">
      <c r="A71" s="135" t="s">
        <v>273</v>
      </c>
      <c r="B71" s="134">
        <v>200.8</v>
      </c>
      <c r="C71" s="133">
        <v>189.1</v>
      </c>
      <c r="D71" s="132">
        <v>212.5</v>
      </c>
      <c r="E71" s="126">
        <v>2022</v>
      </c>
    </row>
    <row r="72" spans="1:5">
      <c r="A72" s="130" t="s">
        <v>268</v>
      </c>
      <c r="B72" s="126">
        <v>218.3</v>
      </c>
      <c r="C72" s="129">
        <v>207.1</v>
      </c>
      <c r="D72" s="131">
        <v>229.5</v>
      </c>
    </row>
    <row r="73" spans="1:5">
      <c r="A73" s="130" t="s">
        <v>267</v>
      </c>
      <c r="B73" s="129">
        <v>223.5</v>
      </c>
      <c r="C73" s="129">
        <v>213.2</v>
      </c>
      <c r="D73" s="129">
        <v>233.8</v>
      </c>
    </row>
    <row r="74" spans="1:5">
      <c r="A74" s="128" t="s">
        <v>266</v>
      </c>
      <c r="B74" s="127">
        <v>224.7</v>
      </c>
      <c r="C74" s="127">
        <v>210.7</v>
      </c>
      <c r="D74" s="127">
        <v>238.6</v>
      </c>
    </row>
    <row r="75" spans="1:5">
      <c r="A75" s="135" t="s">
        <v>272</v>
      </c>
      <c r="B75" s="134">
        <v>220.5</v>
      </c>
      <c r="C75" s="133">
        <v>206.6</v>
      </c>
      <c r="D75" s="132">
        <v>234.4</v>
      </c>
      <c r="E75" s="126">
        <v>2023</v>
      </c>
    </row>
    <row r="76" spans="1:5">
      <c r="A76" s="130" t="s">
        <v>268</v>
      </c>
      <c r="B76" s="126">
        <v>216.7</v>
      </c>
      <c r="C76" s="129">
        <v>203.3</v>
      </c>
      <c r="D76" s="131">
        <v>230.2</v>
      </c>
    </row>
    <row r="77" spans="1:5">
      <c r="A77" s="130" t="s">
        <v>267</v>
      </c>
      <c r="B77" s="129">
        <v>216.1</v>
      </c>
      <c r="C77" s="129">
        <v>202.1</v>
      </c>
      <c r="D77" s="129">
        <v>230.1</v>
      </c>
    </row>
    <row r="78" spans="1:5">
      <c r="A78" s="128" t="s">
        <v>266</v>
      </c>
      <c r="B78" s="127">
        <v>215.3</v>
      </c>
      <c r="C78" s="127">
        <v>200.4</v>
      </c>
      <c r="D78" s="127">
        <v>230.1</v>
      </c>
    </row>
    <row r="79" spans="1:5">
      <c r="A79" s="135" t="s">
        <v>271</v>
      </c>
      <c r="B79" s="134">
        <v>219</v>
      </c>
      <c r="C79" s="133">
        <v>202.8</v>
      </c>
      <c r="D79" s="132">
        <v>235.2</v>
      </c>
      <c r="E79" s="126">
        <v>2024</v>
      </c>
    </row>
    <row r="80" spans="1:5">
      <c r="A80" s="130" t="s">
        <v>268</v>
      </c>
      <c r="B80" s="126">
        <v>224</v>
      </c>
      <c r="C80" s="129">
        <v>208.7</v>
      </c>
      <c r="D80" s="131">
        <v>239.4</v>
      </c>
    </row>
    <row r="81" spans="1:5">
      <c r="A81" s="130" t="s">
        <v>267</v>
      </c>
      <c r="B81" s="129">
        <v>231.1</v>
      </c>
      <c r="C81" s="129">
        <v>216.5</v>
      </c>
      <c r="D81" s="129">
        <v>245.7</v>
      </c>
    </row>
    <row r="82" spans="1:5">
      <c r="A82" s="128" t="s">
        <v>266</v>
      </c>
      <c r="B82" s="127">
        <v>238.3</v>
      </c>
      <c r="C82" s="127">
        <v>222.7</v>
      </c>
      <c r="D82" s="127">
        <v>254</v>
      </c>
    </row>
    <row r="83" spans="1:5">
      <c r="A83" s="135" t="s">
        <v>270</v>
      </c>
      <c r="B83" s="134">
        <v>253.3</v>
      </c>
      <c r="C83" s="133">
        <v>232.5</v>
      </c>
      <c r="D83" s="132">
        <v>274</v>
      </c>
      <c r="E83" s="126">
        <v>2025</v>
      </c>
    </row>
    <row r="84" spans="1:5">
      <c r="A84" s="130" t="s">
        <v>268</v>
      </c>
      <c r="B84" s="126">
        <v>262.10000000000002</v>
      </c>
      <c r="C84" s="129">
        <v>246</v>
      </c>
      <c r="D84" s="131">
        <v>278.2</v>
      </c>
    </row>
    <row r="85" spans="1:5">
      <c r="A85" s="130" t="s">
        <v>267</v>
      </c>
      <c r="B85" s="129">
        <v>271.89999999999998</v>
      </c>
      <c r="C85" s="129">
        <v>258.7</v>
      </c>
      <c r="D85" s="129">
        <v>285.2</v>
      </c>
    </row>
    <row r="86" spans="1:5">
      <c r="A86" s="128" t="s">
        <v>266</v>
      </c>
      <c r="B86" s="127">
        <v>278.5</v>
      </c>
      <c r="C86" s="127">
        <v>265.5</v>
      </c>
      <c r="D86" s="127">
        <v>291.5</v>
      </c>
    </row>
    <row r="87" spans="1:5">
      <c r="A87" s="135" t="s">
        <v>269</v>
      </c>
      <c r="B87" s="134">
        <v>286.10000000000002</v>
      </c>
      <c r="C87" s="133">
        <v>273.7</v>
      </c>
      <c r="D87" s="132">
        <v>298.39999999999998</v>
      </c>
      <c r="E87" s="126">
        <v>2026</v>
      </c>
    </row>
    <row r="88" spans="1:5">
      <c r="A88" s="130" t="s">
        <v>268</v>
      </c>
      <c r="C88" s="129"/>
      <c r="D88" s="131"/>
    </row>
    <row r="89" spans="1:5">
      <c r="A89" s="130" t="s">
        <v>267</v>
      </c>
      <c r="B89" s="129"/>
      <c r="C89" s="129"/>
      <c r="D89" s="129"/>
    </row>
    <row r="90" spans="1:5">
      <c r="A90" s="128" t="s">
        <v>266</v>
      </c>
      <c r="B90" s="127"/>
      <c r="C90" s="127"/>
      <c r="D90" s="127"/>
    </row>
  </sheetData>
  <mergeCells count="1">
    <mergeCell ref="A1:D1"/>
  </mergeCells>
  <pageMargins left="0.78740157499999996" right="0.78740157499999996" top="0.984251969" bottom="0.984251969" header="0.4921259845" footer="0.4921259845"/>
  <pageSetup paperSize="9" orientation="portrait" horizontalDpi="1200" verticalDpi="12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212A-3F38-F34D-886D-33BED0A401A0}">
  <dimension ref="A1"/>
  <sheetViews>
    <sheetView workbookViewId="0">
      <selection activeCell="E5" sqref="E5"/>
    </sheetView>
  </sheetViews>
  <sheetFormatPr baseColWidth="10" defaultRowHeight="16"/>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4F07-D0FD-4149-9B41-C17614179087}">
  <sheetPr>
    <tabColor theme="4"/>
  </sheetPr>
  <dimension ref="A1:AK131"/>
  <sheetViews>
    <sheetView zoomScale="75" workbookViewId="0">
      <selection activeCell="O7" sqref="O7"/>
    </sheetView>
  </sheetViews>
  <sheetFormatPr baseColWidth="10" defaultRowHeight="16"/>
  <cols>
    <col min="1" max="1" width="18.33203125" style="151" bestFit="1" customWidth="1"/>
    <col min="2" max="3" width="10" style="151" customWidth="1"/>
    <col min="4" max="4" width="14.5" style="151" customWidth="1"/>
    <col min="5" max="5" width="16" style="151" customWidth="1"/>
    <col min="6" max="8" width="15" style="151" customWidth="1"/>
    <col min="9" max="9" width="16.33203125" style="150" customWidth="1"/>
    <col min="10" max="10" width="18.33203125" style="150" customWidth="1"/>
    <col min="11" max="11" width="15.1640625" style="150" bestFit="1" customWidth="1"/>
    <col min="12" max="12" width="16.5" style="150" customWidth="1"/>
    <col min="13" max="15" width="14.5" style="150" customWidth="1"/>
    <col min="16" max="16" width="15" style="150" customWidth="1"/>
    <col min="17" max="18" width="16.1640625" style="150" customWidth="1"/>
    <col min="19" max="28" width="11" style="150" bestFit="1" customWidth="1"/>
    <col min="29" max="29" width="13.33203125" style="150" bestFit="1" customWidth="1"/>
    <col min="30" max="30" width="16.1640625" style="150" customWidth="1"/>
    <col min="31" max="37" width="10.83203125" style="150"/>
    <col min="38" max="256" width="10.83203125" style="151"/>
    <col min="257" max="257" width="18.1640625" style="151" bestFit="1" customWidth="1"/>
    <col min="258" max="259" width="10" style="151" customWidth="1"/>
    <col min="260" max="260" width="14.5" style="151" customWidth="1"/>
    <col min="261" max="261" width="16" style="151" customWidth="1"/>
    <col min="262" max="264" width="15" style="151" customWidth="1"/>
    <col min="265" max="265" width="16.33203125" style="151" customWidth="1"/>
    <col min="266" max="266" width="18.33203125" style="151" customWidth="1"/>
    <col min="267" max="267" width="15" style="151" bestFit="1" customWidth="1"/>
    <col min="268" max="268" width="16.5" style="151" customWidth="1"/>
    <col min="269" max="271" width="14.5" style="151" customWidth="1"/>
    <col min="272" max="272" width="15" style="151" customWidth="1"/>
    <col min="273" max="274" width="16.1640625" style="151" customWidth="1"/>
    <col min="275" max="285" width="10.83203125" style="151"/>
    <col min="286" max="286" width="16.1640625" style="151" customWidth="1"/>
    <col min="287" max="512" width="10.83203125" style="151"/>
    <col min="513" max="513" width="18.1640625" style="151" bestFit="1" customWidth="1"/>
    <col min="514" max="515" width="10" style="151" customWidth="1"/>
    <col min="516" max="516" width="14.5" style="151" customWidth="1"/>
    <col min="517" max="517" width="16" style="151" customWidth="1"/>
    <col min="518" max="520" width="15" style="151" customWidth="1"/>
    <col min="521" max="521" width="16.33203125" style="151" customWidth="1"/>
    <col min="522" max="522" width="18.33203125" style="151" customWidth="1"/>
    <col min="523" max="523" width="15" style="151" bestFit="1" customWidth="1"/>
    <col min="524" max="524" width="16.5" style="151" customWidth="1"/>
    <col min="525" max="527" width="14.5" style="151" customWidth="1"/>
    <col min="528" max="528" width="15" style="151" customWidth="1"/>
    <col min="529" max="530" width="16.1640625" style="151" customWidth="1"/>
    <col min="531" max="541" width="10.83203125" style="151"/>
    <col min="542" max="542" width="16.1640625" style="151" customWidth="1"/>
    <col min="543" max="768" width="10.83203125" style="151"/>
    <col min="769" max="769" width="18.1640625" style="151" bestFit="1" customWidth="1"/>
    <col min="770" max="771" width="10" style="151" customWidth="1"/>
    <col min="772" max="772" width="14.5" style="151" customWidth="1"/>
    <col min="773" max="773" width="16" style="151" customWidth="1"/>
    <col min="774" max="776" width="15" style="151" customWidth="1"/>
    <col min="777" max="777" width="16.33203125" style="151" customWidth="1"/>
    <col min="778" max="778" width="18.33203125" style="151" customWidth="1"/>
    <col min="779" max="779" width="15" style="151" bestFit="1" customWidth="1"/>
    <col min="780" max="780" width="16.5" style="151" customWidth="1"/>
    <col min="781" max="783" width="14.5" style="151" customWidth="1"/>
    <col min="784" max="784" width="15" style="151" customWidth="1"/>
    <col min="785" max="786" width="16.1640625" style="151" customWidth="1"/>
    <col min="787" max="797" width="10.83203125" style="151"/>
    <col min="798" max="798" width="16.1640625" style="151" customWidth="1"/>
    <col min="799" max="1024" width="10.83203125" style="151"/>
    <col min="1025" max="1025" width="18.1640625" style="151" bestFit="1" customWidth="1"/>
    <col min="1026" max="1027" width="10" style="151" customWidth="1"/>
    <col min="1028" max="1028" width="14.5" style="151" customWidth="1"/>
    <col min="1029" max="1029" width="16" style="151" customWidth="1"/>
    <col min="1030" max="1032" width="15" style="151" customWidth="1"/>
    <col min="1033" max="1033" width="16.33203125" style="151" customWidth="1"/>
    <col min="1034" max="1034" width="18.33203125" style="151" customWidth="1"/>
    <col min="1035" max="1035" width="15" style="151" bestFit="1" customWidth="1"/>
    <col min="1036" max="1036" width="16.5" style="151" customWidth="1"/>
    <col min="1037" max="1039" width="14.5" style="151" customWidth="1"/>
    <col min="1040" max="1040" width="15" style="151" customWidth="1"/>
    <col min="1041" max="1042" width="16.1640625" style="151" customWidth="1"/>
    <col min="1043" max="1053" width="10.83203125" style="151"/>
    <col min="1054" max="1054" width="16.1640625" style="151" customWidth="1"/>
    <col min="1055" max="1280" width="10.83203125" style="151"/>
    <col min="1281" max="1281" width="18.1640625" style="151" bestFit="1" customWidth="1"/>
    <col min="1282" max="1283" width="10" style="151" customWidth="1"/>
    <col min="1284" max="1284" width="14.5" style="151" customWidth="1"/>
    <col min="1285" max="1285" width="16" style="151" customWidth="1"/>
    <col min="1286" max="1288" width="15" style="151" customWidth="1"/>
    <col min="1289" max="1289" width="16.33203125" style="151" customWidth="1"/>
    <col min="1290" max="1290" width="18.33203125" style="151" customWidth="1"/>
    <col min="1291" max="1291" width="15" style="151" bestFit="1" customWidth="1"/>
    <col min="1292" max="1292" width="16.5" style="151" customWidth="1"/>
    <col min="1293" max="1295" width="14.5" style="151" customWidth="1"/>
    <col min="1296" max="1296" width="15" style="151" customWidth="1"/>
    <col min="1297" max="1298" width="16.1640625" style="151" customWidth="1"/>
    <col min="1299" max="1309" width="10.83203125" style="151"/>
    <col min="1310" max="1310" width="16.1640625" style="151" customWidth="1"/>
    <col min="1311" max="1536" width="10.83203125" style="151"/>
    <col min="1537" max="1537" width="18.1640625" style="151" bestFit="1" customWidth="1"/>
    <col min="1538" max="1539" width="10" style="151" customWidth="1"/>
    <col min="1540" max="1540" width="14.5" style="151" customWidth="1"/>
    <col min="1541" max="1541" width="16" style="151" customWidth="1"/>
    <col min="1542" max="1544" width="15" style="151" customWidth="1"/>
    <col min="1545" max="1545" width="16.33203125" style="151" customWidth="1"/>
    <col min="1546" max="1546" width="18.33203125" style="151" customWidth="1"/>
    <col min="1547" max="1547" width="15" style="151" bestFit="1" customWidth="1"/>
    <col min="1548" max="1548" width="16.5" style="151" customWidth="1"/>
    <col min="1549" max="1551" width="14.5" style="151" customWidth="1"/>
    <col min="1552" max="1552" width="15" style="151" customWidth="1"/>
    <col min="1553" max="1554" width="16.1640625" style="151" customWidth="1"/>
    <col min="1555" max="1565" width="10.83203125" style="151"/>
    <col min="1566" max="1566" width="16.1640625" style="151" customWidth="1"/>
    <col min="1567" max="1792" width="10.83203125" style="151"/>
    <col min="1793" max="1793" width="18.1640625" style="151" bestFit="1" customWidth="1"/>
    <col min="1794" max="1795" width="10" style="151" customWidth="1"/>
    <col min="1796" max="1796" width="14.5" style="151" customWidth="1"/>
    <col min="1797" max="1797" width="16" style="151" customWidth="1"/>
    <col min="1798" max="1800" width="15" style="151" customWidth="1"/>
    <col min="1801" max="1801" width="16.33203125" style="151" customWidth="1"/>
    <col min="1802" max="1802" width="18.33203125" style="151" customWidth="1"/>
    <col min="1803" max="1803" width="15" style="151" bestFit="1" customWidth="1"/>
    <col min="1804" max="1804" width="16.5" style="151" customWidth="1"/>
    <col min="1805" max="1807" width="14.5" style="151" customWidth="1"/>
    <col min="1808" max="1808" width="15" style="151" customWidth="1"/>
    <col min="1809" max="1810" width="16.1640625" style="151" customWidth="1"/>
    <col min="1811" max="1821" width="10.83203125" style="151"/>
    <col min="1822" max="1822" width="16.1640625" style="151" customWidth="1"/>
    <col min="1823" max="2048" width="10.83203125" style="151"/>
    <col min="2049" max="2049" width="18.1640625" style="151" bestFit="1" customWidth="1"/>
    <col min="2050" max="2051" width="10" style="151" customWidth="1"/>
    <col min="2052" max="2052" width="14.5" style="151" customWidth="1"/>
    <col min="2053" max="2053" width="16" style="151" customWidth="1"/>
    <col min="2054" max="2056" width="15" style="151" customWidth="1"/>
    <col min="2057" max="2057" width="16.33203125" style="151" customWidth="1"/>
    <col min="2058" max="2058" width="18.33203125" style="151" customWidth="1"/>
    <col min="2059" max="2059" width="15" style="151" bestFit="1" customWidth="1"/>
    <col min="2060" max="2060" width="16.5" style="151" customWidth="1"/>
    <col min="2061" max="2063" width="14.5" style="151" customWidth="1"/>
    <col min="2064" max="2064" width="15" style="151" customWidth="1"/>
    <col min="2065" max="2066" width="16.1640625" style="151" customWidth="1"/>
    <col min="2067" max="2077" width="10.83203125" style="151"/>
    <col min="2078" max="2078" width="16.1640625" style="151" customWidth="1"/>
    <col min="2079" max="2304" width="10.83203125" style="151"/>
    <col min="2305" max="2305" width="18.1640625" style="151" bestFit="1" customWidth="1"/>
    <col min="2306" max="2307" width="10" style="151" customWidth="1"/>
    <col min="2308" max="2308" width="14.5" style="151" customWidth="1"/>
    <col min="2309" max="2309" width="16" style="151" customWidth="1"/>
    <col min="2310" max="2312" width="15" style="151" customWidth="1"/>
    <col min="2313" max="2313" width="16.33203125" style="151" customWidth="1"/>
    <col min="2314" max="2314" width="18.33203125" style="151" customWidth="1"/>
    <col min="2315" max="2315" width="15" style="151" bestFit="1" customWidth="1"/>
    <col min="2316" max="2316" width="16.5" style="151" customWidth="1"/>
    <col min="2317" max="2319" width="14.5" style="151" customWidth="1"/>
    <col min="2320" max="2320" width="15" style="151" customWidth="1"/>
    <col min="2321" max="2322" width="16.1640625" style="151" customWidth="1"/>
    <col min="2323" max="2333" width="10.83203125" style="151"/>
    <col min="2334" max="2334" width="16.1640625" style="151" customWidth="1"/>
    <col min="2335" max="2560" width="10.83203125" style="151"/>
    <col min="2561" max="2561" width="18.1640625" style="151" bestFit="1" customWidth="1"/>
    <col min="2562" max="2563" width="10" style="151" customWidth="1"/>
    <col min="2564" max="2564" width="14.5" style="151" customWidth="1"/>
    <col min="2565" max="2565" width="16" style="151" customWidth="1"/>
    <col min="2566" max="2568" width="15" style="151" customWidth="1"/>
    <col min="2569" max="2569" width="16.33203125" style="151" customWidth="1"/>
    <col min="2570" max="2570" width="18.33203125" style="151" customWidth="1"/>
    <col min="2571" max="2571" width="15" style="151" bestFit="1" customWidth="1"/>
    <col min="2572" max="2572" width="16.5" style="151" customWidth="1"/>
    <col min="2573" max="2575" width="14.5" style="151" customWidth="1"/>
    <col min="2576" max="2576" width="15" style="151" customWidth="1"/>
    <col min="2577" max="2578" width="16.1640625" style="151" customWidth="1"/>
    <col min="2579" max="2589" width="10.83203125" style="151"/>
    <col min="2590" max="2590" width="16.1640625" style="151" customWidth="1"/>
    <col min="2591" max="2816" width="10.83203125" style="151"/>
    <col min="2817" max="2817" width="18.1640625" style="151" bestFit="1" customWidth="1"/>
    <col min="2818" max="2819" width="10" style="151" customWidth="1"/>
    <col min="2820" max="2820" width="14.5" style="151" customWidth="1"/>
    <col min="2821" max="2821" width="16" style="151" customWidth="1"/>
    <col min="2822" max="2824" width="15" style="151" customWidth="1"/>
    <col min="2825" max="2825" width="16.33203125" style="151" customWidth="1"/>
    <col min="2826" max="2826" width="18.33203125" style="151" customWidth="1"/>
    <col min="2827" max="2827" width="15" style="151" bestFit="1" customWidth="1"/>
    <col min="2828" max="2828" width="16.5" style="151" customWidth="1"/>
    <col min="2829" max="2831" width="14.5" style="151" customWidth="1"/>
    <col min="2832" max="2832" width="15" style="151" customWidth="1"/>
    <col min="2833" max="2834" width="16.1640625" style="151" customWidth="1"/>
    <col min="2835" max="2845" width="10.83203125" style="151"/>
    <col min="2846" max="2846" width="16.1640625" style="151" customWidth="1"/>
    <col min="2847" max="3072" width="10.83203125" style="151"/>
    <col min="3073" max="3073" width="18.1640625" style="151" bestFit="1" customWidth="1"/>
    <col min="3074" max="3075" width="10" style="151" customWidth="1"/>
    <col min="3076" max="3076" width="14.5" style="151" customWidth="1"/>
    <col min="3077" max="3077" width="16" style="151" customWidth="1"/>
    <col min="3078" max="3080" width="15" style="151" customWidth="1"/>
    <col min="3081" max="3081" width="16.33203125" style="151" customWidth="1"/>
    <col min="3082" max="3082" width="18.33203125" style="151" customWidth="1"/>
    <col min="3083" max="3083" width="15" style="151" bestFit="1" customWidth="1"/>
    <col min="3084" max="3084" width="16.5" style="151" customWidth="1"/>
    <col min="3085" max="3087" width="14.5" style="151" customWidth="1"/>
    <col min="3088" max="3088" width="15" style="151" customWidth="1"/>
    <col min="3089" max="3090" width="16.1640625" style="151" customWidth="1"/>
    <col min="3091" max="3101" width="10.83203125" style="151"/>
    <col min="3102" max="3102" width="16.1640625" style="151" customWidth="1"/>
    <col min="3103" max="3328" width="10.83203125" style="151"/>
    <col min="3329" max="3329" width="18.1640625" style="151" bestFit="1" customWidth="1"/>
    <col min="3330" max="3331" width="10" style="151" customWidth="1"/>
    <col min="3332" max="3332" width="14.5" style="151" customWidth="1"/>
    <col min="3333" max="3333" width="16" style="151" customWidth="1"/>
    <col min="3334" max="3336" width="15" style="151" customWidth="1"/>
    <col min="3337" max="3337" width="16.33203125" style="151" customWidth="1"/>
    <col min="3338" max="3338" width="18.33203125" style="151" customWidth="1"/>
    <col min="3339" max="3339" width="15" style="151" bestFit="1" customWidth="1"/>
    <col min="3340" max="3340" width="16.5" style="151" customWidth="1"/>
    <col min="3341" max="3343" width="14.5" style="151" customWidth="1"/>
    <col min="3344" max="3344" width="15" style="151" customWidth="1"/>
    <col min="3345" max="3346" width="16.1640625" style="151" customWidth="1"/>
    <col min="3347" max="3357" width="10.83203125" style="151"/>
    <col min="3358" max="3358" width="16.1640625" style="151" customWidth="1"/>
    <col min="3359" max="3584" width="10.83203125" style="151"/>
    <col min="3585" max="3585" width="18.1640625" style="151" bestFit="1" customWidth="1"/>
    <col min="3586" max="3587" width="10" style="151" customWidth="1"/>
    <col min="3588" max="3588" width="14.5" style="151" customWidth="1"/>
    <col min="3589" max="3589" width="16" style="151" customWidth="1"/>
    <col min="3590" max="3592" width="15" style="151" customWidth="1"/>
    <col min="3593" max="3593" width="16.33203125" style="151" customWidth="1"/>
    <col min="3594" max="3594" width="18.33203125" style="151" customWidth="1"/>
    <col min="3595" max="3595" width="15" style="151" bestFit="1" customWidth="1"/>
    <col min="3596" max="3596" width="16.5" style="151" customWidth="1"/>
    <col min="3597" max="3599" width="14.5" style="151" customWidth="1"/>
    <col min="3600" max="3600" width="15" style="151" customWidth="1"/>
    <col min="3601" max="3602" width="16.1640625" style="151" customWidth="1"/>
    <col min="3603" max="3613" width="10.83203125" style="151"/>
    <col min="3614" max="3614" width="16.1640625" style="151" customWidth="1"/>
    <col min="3615" max="3840" width="10.83203125" style="151"/>
    <col min="3841" max="3841" width="18.1640625" style="151" bestFit="1" customWidth="1"/>
    <col min="3842" max="3843" width="10" style="151" customWidth="1"/>
    <col min="3844" max="3844" width="14.5" style="151" customWidth="1"/>
    <col min="3845" max="3845" width="16" style="151" customWidth="1"/>
    <col min="3846" max="3848" width="15" style="151" customWidth="1"/>
    <col min="3849" max="3849" width="16.33203125" style="151" customWidth="1"/>
    <col min="3850" max="3850" width="18.33203125" style="151" customWidth="1"/>
    <col min="3851" max="3851" width="15" style="151" bestFit="1" customWidth="1"/>
    <col min="3852" max="3852" width="16.5" style="151" customWidth="1"/>
    <col min="3853" max="3855" width="14.5" style="151" customWidth="1"/>
    <col min="3856" max="3856" width="15" style="151" customWidth="1"/>
    <col min="3857" max="3858" width="16.1640625" style="151" customWidth="1"/>
    <col min="3859" max="3869" width="10.83203125" style="151"/>
    <col min="3870" max="3870" width="16.1640625" style="151" customWidth="1"/>
    <col min="3871" max="4096" width="10.83203125" style="151"/>
    <col min="4097" max="4097" width="18.1640625" style="151" bestFit="1" customWidth="1"/>
    <col min="4098" max="4099" width="10" style="151" customWidth="1"/>
    <col min="4100" max="4100" width="14.5" style="151" customWidth="1"/>
    <col min="4101" max="4101" width="16" style="151" customWidth="1"/>
    <col min="4102" max="4104" width="15" style="151" customWidth="1"/>
    <col min="4105" max="4105" width="16.33203125" style="151" customWidth="1"/>
    <col min="4106" max="4106" width="18.33203125" style="151" customWidth="1"/>
    <col min="4107" max="4107" width="15" style="151" bestFit="1" customWidth="1"/>
    <col min="4108" max="4108" width="16.5" style="151" customWidth="1"/>
    <col min="4109" max="4111" width="14.5" style="151" customWidth="1"/>
    <col min="4112" max="4112" width="15" style="151" customWidth="1"/>
    <col min="4113" max="4114" width="16.1640625" style="151" customWidth="1"/>
    <col min="4115" max="4125" width="10.83203125" style="151"/>
    <col min="4126" max="4126" width="16.1640625" style="151" customWidth="1"/>
    <col min="4127" max="4352" width="10.83203125" style="151"/>
    <col min="4353" max="4353" width="18.1640625" style="151" bestFit="1" customWidth="1"/>
    <col min="4354" max="4355" width="10" style="151" customWidth="1"/>
    <col min="4356" max="4356" width="14.5" style="151" customWidth="1"/>
    <col min="4357" max="4357" width="16" style="151" customWidth="1"/>
    <col min="4358" max="4360" width="15" style="151" customWidth="1"/>
    <col min="4361" max="4361" width="16.33203125" style="151" customWidth="1"/>
    <col min="4362" max="4362" width="18.33203125" style="151" customWidth="1"/>
    <col min="4363" max="4363" width="15" style="151" bestFit="1" customWidth="1"/>
    <col min="4364" max="4364" width="16.5" style="151" customWidth="1"/>
    <col min="4365" max="4367" width="14.5" style="151" customWidth="1"/>
    <col min="4368" max="4368" width="15" style="151" customWidth="1"/>
    <col min="4369" max="4370" width="16.1640625" style="151" customWidth="1"/>
    <col min="4371" max="4381" width="10.83203125" style="151"/>
    <col min="4382" max="4382" width="16.1640625" style="151" customWidth="1"/>
    <col min="4383" max="4608" width="10.83203125" style="151"/>
    <col min="4609" max="4609" width="18.1640625" style="151" bestFit="1" customWidth="1"/>
    <col min="4610" max="4611" width="10" style="151" customWidth="1"/>
    <col min="4612" max="4612" width="14.5" style="151" customWidth="1"/>
    <col min="4613" max="4613" width="16" style="151" customWidth="1"/>
    <col min="4614" max="4616" width="15" style="151" customWidth="1"/>
    <col min="4617" max="4617" width="16.33203125" style="151" customWidth="1"/>
    <col min="4618" max="4618" width="18.33203125" style="151" customWidth="1"/>
    <col min="4619" max="4619" width="15" style="151" bestFit="1" customWidth="1"/>
    <col min="4620" max="4620" width="16.5" style="151" customWidth="1"/>
    <col min="4621" max="4623" width="14.5" style="151" customWidth="1"/>
    <col min="4624" max="4624" width="15" style="151" customWidth="1"/>
    <col min="4625" max="4626" width="16.1640625" style="151" customWidth="1"/>
    <col min="4627" max="4637" width="10.83203125" style="151"/>
    <col min="4638" max="4638" width="16.1640625" style="151" customWidth="1"/>
    <col min="4639" max="4864" width="10.83203125" style="151"/>
    <col min="4865" max="4865" width="18.1640625" style="151" bestFit="1" customWidth="1"/>
    <col min="4866" max="4867" width="10" style="151" customWidth="1"/>
    <col min="4868" max="4868" width="14.5" style="151" customWidth="1"/>
    <col min="4869" max="4869" width="16" style="151" customWidth="1"/>
    <col min="4870" max="4872" width="15" style="151" customWidth="1"/>
    <col min="4873" max="4873" width="16.33203125" style="151" customWidth="1"/>
    <col min="4874" max="4874" width="18.33203125" style="151" customWidth="1"/>
    <col min="4875" max="4875" width="15" style="151" bestFit="1" customWidth="1"/>
    <col min="4876" max="4876" width="16.5" style="151" customWidth="1"/>
    <col min="4877" max="4879" width="14.5" style="151" customWidth="1"/>
    <col min="4880" max="4880" width="15" style="151" customWidth="1"/>
    <col min="4881" max="4882" width="16.1640625" style="151" customWidth="1"/>
    <col min="4883" max="4893" width="10.83203125" style="151"/>
    <col min="4894" max="4894" width="16.1640625" style="151" customWidth="1"/>
    <col min="4895" max="5120" width="10.83203125" style="151"/>
    <col min="5121" max="5121" width="18.1640625" style="151" bestFit="1" customWidth="1"/>
    <col min="5122" max="5123" width="10" style="151" customWidth="1"/>
    <col min="5124" max="5124" width="14.5" style="151" customWidth="1"/>
    <col min="5125" max="5125" width="16" style="151" customWidth="1"/>
    <col min="5126" max="5128" width="15" style="151" customWidth="1"/>
    <col min="5129" max="5129" width="16.33203125" style="151" customWidth="1"/>
    <col min="5130" max="5130" width="18.33203125" style="151" customWidth="1"/>
    <col min="5131" max="5131" width="15" style="151" bestFit="1" customWidth="1"/>
    <col min="5132" max="5132" width="16.5" style="151" customWidth="1"/>
    <col min="5133" max="5135" width="14.5" style="151" customWidth="1"/>
    <col min="5136" max="5136" width="15" style="151" customWidth="1"/>
    <col min="5137" max="5138" width="16.1640625" style="151" customWidth="1"/>
    <col min="5139" max="5149" width="10.83203125" style="151"/>
    <col min="5150" max="5150" width="16.1640625" style="151" customWidth="1"/>
    <col min="5151" max="5376" width="10.83203125" style="151"/>
    <col min="5377" max="5377" width="18.1640625" style="151" bestFit="1" customWidth="1"/>
    <col min="5378" max="5379" width="10" style="151" customWidth="1"/>
    <col min="5380" max="5380" width="14.5" style="151" customWidth="1"/>
    <col min="5381" max="5381" width="16" style="151" customWidth="1"/>
    <col min="5382" max="5384" width="15" style="151" customWidth="1"/>
    <col min="5385" max="5385" width="16.33203125" style="151" customWidth="1"/>
    <col min="5386" max="5386" width="18.33203125" style="151" customWidth="1"/>
    <col min="5387" max="5387" width="15" style="151" bestFit="1" customWidth="1"/>
    <col min="5388" max="5388" width="16.5" style="151" customWidth="1"/>
    <col min="5389" max="5391" width="14.5" style="151" customWidth="1"/>
    <col min="5392" max="5392" width="15" style="151" customWidth="1"/>
    <col min="5393" max="5394" width="16.1640625" style="151" customWidth="1"/>
    <col min="5395" max="5405" width="10.83203125" style="151"/>
    <col min="5406" max="5406" width="16.1640625" style="151" customWidth="1"/>
    <col min="5407" max="5632" width="10.83203125" style="151"/>
    <col min="5633" max="5633" width="18.1640625" style="151" bestFit="1" customWidth="1"/>
    <col min="5634" max="5635" width="10" style="151" customWidth="1"/>
    <col min="5636" max="5636" width="14.5" style="151" customWidth="1"/>
    <col min="5637" max="5637" width="16" style="151" customWidth="1"/>
    <col min="5638" max="5640" width="15" style="151" customWidth="1"/>
    <col min="5641" max="5641" width="16.33203125" style="151" customWidth="1"/>
    <col min="5642" max="5642" width="18.33203125" style="151" customWidth="1"/>
    <col min="5643" max="5643" width="15" style="151" bestFit="1" customWidth="1"/>
    <col min="5644" max="5644" width="16.5" style="151" customWidth="1"/>
    <col min="5645" max="5647" width="14.5" style="151" customWidth="1"/>
    <col min="5648" max="5648" width="15" style="151" customWidth="1"/>
    <col min="5649" max="5650" width="16.1640625" style="151" customWidth="1"/>
    <col min="5651" max="5661" width="10.83203125" style="151"/>
    <col min="5662" max="5662" width="16.1640625" style="151" customWidth="1"/>
    <col min="5663" max="5888" width="10.83203125" style="151"/>
    <col min="5889" max="5889" width="18.1640625" style="151" bestFit="1" customWidth="1"/>
    <col min="5890" max="5891" width="10" style="151" customWidth="1"/>
    <col min="5892" max="5892" width="14.5" style="151" customWidth="1"/>
    <col min="5893" max="5893" width="16" style="151" customWidth="1"/>
    <col min="5894" max="5896" width="15" style="151" customWidth="1"/>
    <col min="5897" max="5897" width="16.33203125" style="151" customWidth="1"/>
    <col min="5898" max="5898" width="18.33203125" style="151" customWidth="1"/>
    <col min="5899" max="5899" width="15" style="151" bestFit="1" customWidth="1"/>
    <col min="5900" max="5900" width="16.5" style="151" customWidth="1"/>
    <col min="5901" max="5903" width="14.5" style="151" customWidth="1"/>
    <col min="5904" max="5904" width="15" style="151" customWidth="1"/>
    <col min="5905" max="5906" width="16.1640625" style="151" customWidth="1"/>
    <col min="5907" max="5917" width="10.83203125" style="151"/>
    <col min="5918" max="5918" width="16.1640625" style="151" customWidth="1"/>
    <col min="5919" max="6144" width="10.83203125" style="151"/>
    <col min="6145" max="6145" width="18.1640625" style="151" bestFit="1" customWidth="1"/>
    <col min="6146" max="6147" width="10" style="151" customWidth="1"/>
    <col min="6148" max="6148" width="14.5" style="151" customWidth="1"/>
    <col min="6149" max="6149" width="16" style="151" customWidth="1"/>
    <col min="6150" max="6152" width="15" style="151" customWidth="1"/>
    <col min="6153" max="6153" width="16.33203125" style="151" customWidth="1"/>
    <col min="6154" max="6154" width="18.33203125" style="151" customWidth="1"/>
    <col min="6155" max="6155" width="15" style="151" bestFit="1" customWidth="1"/>
    <col min="6156" max="6156" width="16.5" style="151" customWidth="1"/>
    <col min="6157" max="6159" width="14.5" style="151" customWidth="1"/>
    <col min="6160" max="6160" width="15" style="151" customWidth="1"/>
    <col min="6161" max="6162" width="16.1640625" style="151" customWidth="1"/>
    <col min="6163" max="6173" width="10.83203125" style="151"/>
    <col min="6174" max="6174" width="16.1640625" style="151" customWidth="1"/>
    <col min="6175" max="6400" width="10.83203125" style="151"/>
    <col min="6401" max="6401" width="18.1640625" style="151" bestFit="1" customWidth="1"/>
    <col min="6402" max="6403" width="10" style="151" customWidth="1"/>
    <col min="6404" max="6404" width="14.5" style="151" customWidth="1"/>
    <col min="6405" max="6405" width="16" style="151" customWidth="1"/>
    <col min="6406" max="6408" width="15" style="151" customWidth="1"/>
    <col min="6409" max="6409" width="16.33203125" style="151" customWidth="1"/>
    <col min="6410" max="6410" width="18.33203125" style="151" customWidth="1"/>
    <col min="6411" max="6411" width="15" style="151" bestFit="1" customWidth="1"/>
    <col min="6412" max="6412" width="16.5" style="151" customWidth="1"/>
    <col min="6413" max="6415" width="14.5" style="151" customWidth="1"/>
    <col min="6416" max="6416" width="15" style="151" customWidth="1"/>
    <col min="6417" max="6418" width="16.1640625" style="151" customWidth="1"/>
    <col min="6419" max="6429" width="10.83203125" style="151"/>
    <col min="6430" max="6430" width="16.1640625" style="151" customWidth="1"/>
    <col min="6431" max="6656" width="10.83203125" style="151"/>
    <col min="6657" max="6657" width="18.1640625" style="151" bestFit="1" customWidth="1"/>
    <col min="6658" max="6659" width="10" style="151" customWidth="1"/>
    <col min="6660" max="6660" width="14.5" style="151" customWidth="1"/>
    <col min="6661" max="6661" width="16" style="151" customWidth="1"/>
    <col min="6662" max="6664" width="15" style="151" customWidth="1"/>
    <col min="6665" max="6665" width="16.33203125" style="151" customWidth="1"/>
    <col min="6666" max="6666" width="18.33203125" style="151" customWidth="1"/>
    <col min="6667" max="6667" width="15" style="151" bestFit="1" customWidth="1"/>
    <col min="6668" max="6668" width="16.5" style="151" customWidth="1"/>
    <col min="6669" max="6671" width="14.5" style="151" customWidth="1"/>
    <col min="6672" max="6672" width="15" style="151" customWidth="1"/>
    <col min="6673" max="6674" width="16.1640625" style="151" customWidth="1"/>
    <col min="6675" max="6685" width="10.83203125" style="151"/>
    <col min="6686" max="6686" width="16.1640625" style="151" customWidth="1"/>
    <col min="6687" max="6912" width="10.83203125" style="151"/>
    <col min="6913" max="6913" width="18.1640625" style="151" bestFit="1" customWidth="1"/>
    <col min="6914" max="6915" width="10" style="151" customWidth="1"/>
    <col min="6916" max="6916" width="14.5" style="151" customWidth="1"/>
    <col min="6917" max="6917" width="16" style="151" customWidth="1"/>
    <col min="6918" max="6920" width="15" style="151" customWidth="1"/>
    <col min="6921" max="6921" width="16.33203125" style="151" customWidth="1"/>
    <col min="6922" max="6922" width="18.33203125" style="151" customWidth="1"/>
    <col min="6923" max="6923" width="15" style="151" bestFit="1" customWidth="1"/>
    <col min="6924" max="6924" width="16.5" style="151" customWidth="1"/>
    <col min="6925" max="6927" width="14.5" style="151" customWidth="1"/>
    <col min="6928" max="6928" width="15" style="151" customWidth="1"/>
    <col min="6929" max="6930" width="16.1640625" style="151" customWidth="1"/>
    <col min="6931" max="6941" width="10.83203125" style="151"/>
    <col min="6942" max="6942" width="16.1640625" style="151" customWidth="1"/>
    <col min="6943" max="7168" width="10.83203125" style="151"/>
    <col min="7169" max="7169" width="18.1640625" style="151" bestFit="1" customWidth="1"/>
    <col min="7170" max="7171" width="10" style="151" customWidth="1"/>
    <col min="7172" max="7172" width="14.5" style="151" customWidth="1"/>
    <col min="7173" max="7173" width="16" style="151" customWidth="1"/>
    <col min="7174" max="7176" width="15" style="151" customWidth="1"/>
    <col min="7177" max="7177" width="16.33203125" style="151" customWidth="1"/>
    <col min="7178" max="7178" width="18.33203125" style="151" customWidth="1"/>
    <col min="7179" max="7179" width="15" style="151" bestFit="1" customWidth="1"/>
    <col min="7180" max="7180" width="16.5" style="151" customWidth="1"/>
    <col min="7181" max="7183" width="14.5" style="151" customWidth="1"/>
    <col min="7184" max="7184" width="15" style="151" customWidth="1"/>
    <col min="7185" max="7186" width="16.1640625" style="151" customWidth="1"/>
    <col min="7187" max="7197" width="10.83203125" style="151"/>
    <col min="7198" max="7198" width="16.1640625" style="151" customWidth="1"/>
    <col min="7199" max="7424" width="10.83203125" style="151"/>
    <col min="7425" max="7425" width="18.1640625" style="151" bestFit="1" customWidth="1"/>
    <col min="7426" max="7427" width="10" style="151" customWidth="1"/>
    <col min="7428" max="7428" width="14.5" style="151" customWidth="1"/>
    <col min="7429" max="7429" width="16" style="151" customWidth="1"/>
    <col min="7430" max="7432" width="15" style="151" customWidth="1"/>
    <col min="7433" max="7433" width="16.33203125" style="151" customWidth="1"/>
    <col min="7434" max="7434" width="18.33203125" style="151" customWidth="1"/>
    <col min="7435" max="7435" width="15" style="151" bestFit="1" customWidth="1"/>
    <col min="7436" max="7436" width="16.5" style="151" customWidth="1"/>
    <col min="7437" max="7439" width="14.5" style="151" customWidth="1"/>
    <col min="7440" max="7440" width="15" style="151" customWidth="1"/>
    <col min="7441" max="7442" width="16.1640625" style="151" customWidth="1"/>
    <col min="7443" max="7453" width="10.83203125" style="151"/>
    <col min="7454" max="7454" width="16.1640625" style="151" customWidth="1"/>
    <col min="7455" max="7680" width="10.83203125" style="151"/>
    <col min="7681" max="7681" width="18.1640625" style="151" bestFit="1" customWidth="1"/>
    <col min="7682" max="7683" width="10" style="151" customWidth="1"/>
    <col min="7684" max="7684" width="14.5" style="151" customWidth="1"/>
    <col min="7685" max="7685" width="16" style="151" customWidth="1"/>
    <col min="7686" max="7688" width="15" style="151" customWidth="1"/>
    <col min="7689" max="7689" width="16.33203125" style="151" customWidth="1"/>
    <col min="7690" max="7690" width="18.33203125" style="151" customWidth="1"/>
    <col min="7691" max="7691" width="15" style="151" bestFit="1" customWidth="1"/>
    <col min="7692" max="7692" width="16.5" style="151" customWidth="1"/>
    <col min="7693" max="7695" width="14.5" style="151" customWidth="1"/>
    <col min="7696" max="7696" width="15" style="151" customWidth="1"/>
    <col min="7697" max="7698" width="16.1640625" style="151" customWidth="1"/>
    <col min="7699" max="7709" width="10.83203125" style="151"/>
    <col min="7710" max="7710" width="16.1640625" style="151" customWidth="1"/>
    <col min="7711" max="7936" width="10.83203125" style="151"/>
    <col min="7937" max="7937" width="18.1640625" style="151" bestFit="1" customWidth="1"/>
    <col min="7938" max="7939" width="10" style="151" customWidth="1"/>
    <col min="7940" max="7940" width="14.5" style="151" customWidth="1"/>
    <col min="7941" max="7941" width="16" style="151" customWidth="1"/>
    <col min="7942" max="7944" width="15" style="151" customWidth="1"/>
    <col min="7945" max="7945" width="16.33203125" style="151" customWidth="1"/>
    <col min="7946" max="7946" width="18.33203125" style="151" customWidth="1"/>
    <col min="7947" max="7947" width="15" style="151" bestFit="1" customWidth="1"/>
    <col min="7948" max="7948" width="16.5" style="151" customWidth="1"/>
    <col min="7949" max="7951" width="14.5" style="151" customWidth="1"/>
    <col min="7952" max="7952" width="15" style="151" customWidth="1"/>
    <col min="7953" max="7954" width="16.1640625" style="151" customWidth="1"/>
    <col min="7955" max="7965" width="10.83203125" style="151"/>
    <col min="7966" max="7966" width="16.1640625" style="151" customWidth="1"/>
    <col min="7967" max="8192" width="10.83203125" style="151"/>
    <col min="8193" max="8193" width="18.1640625" style="151" bestFit="1" customWidth="1"/>
    <col min="8194" max="8195" width="10" style="151" customWidth="1"/>
    <col min="8196" max="8196" width="14.5" style="151" customWidth="1"/>
    <col min="8197" max="8197" width="16" style="151" customWidth="1"/>
    <col min="8198" max="8200" width="15" style="151" customWidth="1"/>
    <col min="8201" max="8201" width="16.33203125" style="151" customWidth="1"/>
    <col min="8202" max="8202" width="18.33203125" style="151" customWidth="1"/>
    <col min="8203" max="8203" width="15" style="151" bestFit="1" customWidth="1"/>
    <col min="8204" max="8204" width="16.5" style="151" customWidth="1"/>
    <col min="8205" max="8207" width="14.5" style="151" customWidth="1"/>
    <col min="8208" max="8208" width="15" style="151" customWidth="1"/>
    <col min="8209" max="8210" width="16.1640625" style="151" customWidth="1"/>
    <col min="8211" max="8221" width="10.83203125" style="151"/>
    <col min="8222" max="8222" width="16.1640625" style="151" customWidth="1"/>
    <col min="8223" max="8448" width="10.83203125" style="151"/>
    <col min="8449" max="8449" width="18.1640625" style="151" bestFit="1" customWidth="1"/>
    <col min="8450" max="8451" width="10" style="151" customWidth="1"/>
    <col min="8452" max="8452" width="14.5" style="151" customWidth="1"/>
    <col min="8453" max="8453" width="16" style="151" customWidth="1"/>
    <col min="8454" max="8456" width="15" style="151" customWidth="1"/>
    <col min="8457" max="8457" width="16.33203125" style="151" customWidth="1"/>
    <col min="8458" max="8458" width="18.33203125" style="151" customWidth="1"/>
    <col min="8459" max="8459" width="15" style="151" bestFit="1" customWidth="1"/>
    <col min="8460" max="8460" width="16.5" style="151" customWidth="1"/>
    <col min="8461" max="8463" width="14.5" style="151" customWidth="1"/>
    <col min="8464" max="8464" width="15" style="151" customWidth="1"/>
    <col min="8465" max="8466" width="16.1640625" style="151" customWidth="1"/>
    <col min="8467" max="8477" width="10.83203125" style="151"/>
    <col min="8478" max="8478" width="16.1640625" style="151" customWidth="1"/>
    <col min="8479" max="8704" width="10.83203125" style="151"/>
    <col min="8705" max="8705" width="18.1640625" style="151" bestFit="1" customWidth="1"/>
    <col min="8706" max="8707" width="10" style="151" customWidth="1"/>
    <col min="8708" max="8708" width="14.5" style="151" customWidth="1"/>
    <col min="8709" max="8709" width="16" style="151" customWidth="1"/>
    <col min="8710" max="8712" width="15" style="151" customWidth="1"/>
    <col min="8713" max="8713" width="16.33203125" style="151" customWidth="1"/>
    <col min="8714" max="8714" width="18.33203125" style="151" customWidth="1"/>
    <col min="8715" max="8715" width="15" style="151" bestFit="1" customWidth="1"/>
    <col min="8716" max="8716" width="16.5" style="151" customWidth="1"/>
    <col min="8717" max="8719" width="14.5" style="151" customWidth="1"/>
    <col min="8720" max="8720" width="15" style="151" customWidth="1"/>
    <col min="8721" max="8722" width="16.1640625" style="151" customWidth="1"/>
    <col min="8723" max="8733" width="10.83203125" style="151"/>
    <col min="8734" max="8734" width="16.1640625" style="151" customWidth="1"/>
    <col min="8735" max="8960" width="10.83203125" style="151"/>
    <col min="8961" max="8961" width="18.1640625" style="151" bestFit="1" customWidth="1"/>
    <col min="8962" max="8963" width="10" style="151" customWidth="1"/>
    <col min="8964" max="8964" width="14.5" style="151" customWidth="1"/>
    <col min="8965" max="8965" width="16" style="151" customWidth="1"/>
    <col min="8966" max="8968" width="15" style="151" customWidth="1"/>
    <col min="8969" max="8969" width="16.33203125" style="151" customWidth="1"/>
    <col min="8970" max="8970" width="18.33203125" style="151" customWidth="1"/>
    <col min="8971" max="8971" width="15" style="151" bestFit="1" customWidth="1"/>
    <col min="8972" max="8972" width="16.5" style="151" customWidth="1"/>
    <col min="8973" max="8975" width="14.5" style="151" customWidth="1"/>
    <col min="8976" max="8976" width="15" style="151" customWidth="1"/>
    <col min="8977" max="8978" width="16.1640625" style="151" customWidth="1"/>
    <col min="8979" max="8989" width="10.83203125" style="151"/>
    <col min="8990" max="8990" width="16.1640625" style="151" customWidth="1"/>
    <col min="8991" max="9216" width="10.83203125" style="151"/>
    <col min="9217" max="9217" width="18.1640625" style="151" bestFit="1" customWidth="1"/>
    <col min="9218" max="9219" width="10" style="151" customWidth="1"/>
    <col min="9220" max="9220" width="14.5" style="151" customWidth="1"/>
    <col min="9221" max="9221" width="16" style="151" customWidth="1"/>
    <col min="9222" max="9224" width="15" style="151" customWidth="1"/>
    <col min="9225" max="9225" width="16.33203125" style="151" customWidth="1"/>
    <col min="9226" max="9226" width="18.33203125" style="151" customWidth="1"/>
    <col min="9227" max="9227" width="15" style="151" bestFit="1" customWidth="1"/>
    <col min="9228" max="9228" width="16.5" style="151" customWidth="1"/>
    <col min="9229" max="9231" width="14.5" style="151" customWidth="1"/>
    <col min="9232" max="9232" width="15" style="151" customWidth="1"/>
    <col min="9233" max="9234" width="16.1640625" style="151" customWidth="1"/>
    <col min="9235" max="9245" width="10.83203125" style="151"/>
    <col min="9246" max="9246" width="16.1640625" style="151" customWidth="1"/>
    <col min="9247" max="9472" width="10.83203125" style="151"/>
    <col min="9473" max="9473" width="18.1640625" style="151" bestFit="1" customWidth="1"/>
    <col min="9474" max="9475" width="10" style="151" customWidth="1"/>
    <col min="9476" max="9476" width="14.5" style="151" customWidth="1"/>
    <col min="9477" max="9477" width="16" style="151" customWidth="1"/>
    <col min="9478" max="9480" width="15" style="151" customWidth="1"/>
    <col min="9481" max="9481" width="16.33203125" style="151" customWidth="1"/>
    <col min="9482" max="9482" width="18.33203125" style="151" customWidth="1"/>
    <col min="9483" max="9483" width="15" style="151" bestFit="1" customWidth="1"/>
    <col min="9484" max="9484" width="16.5" style="151" customWidth="1"/>
    <col min="9485" max="9487" width="14.5" style="151" customWidth="1"/>
    <col min="9488" max="9488" width="15" style="151" customWidth="1"/>
    <col min="9489" max="9490" width="16.1640625" style="151" customWidth="1"/>
    <col min="9491" max="9501" width="10.83203125" style="151"/>
    <col min="9502" max="9502" width="16.1640625" style="151" customWidth="1"/>
    <col min="9503" max="9728" width="10.83203125" style="151"/>
    <col min="9729" max="9729" width="18.1640625" style="151" bestFit="1" customWidth="1"/>
    <col min="9730" max="9731" width="10" style="151" customWidth="1"/>
    <col min="9732" max="9732" width="14.5" style="151" customWidth="1"/>
    <col min="9733" max="9733" width="16" style="151" customWidth="1"/>
    <col min="9734" max="9736" width="15" style="151" customWidth="1"/>
    <col min="9737" max="9737" width="16.33203125" style="151" customWidth="1"/>
    <col min="9738" max="9738" width="18.33203125" style="151" customWidth="1"/>
    <col min="9739" max="9739" width="15" style="151" bestFit="1" customWidth="1"/>
    <col min="9740" max="9740" width="16.5" style="151" customWidth="1"/>
    <col min="9741" max="9743" width="14.5" style="151" customWidth="1"/>
    <col min="9744" max="9744" width="15" style="151" customWidth="1"/>
    <col min="9745" max="9746" width="16.1640625" style="151" customWidth="1"/>
    <col min="9747" max="9757" width="10.83203125" style="151"/>
    <col min="9758" max="9758" width="16.1640625" style="151" customWidth="1"/>
    <col min="9759" max="9984" width="10.83203125" style="151"/>
    <col min="9985" max="9985" width="18.1640625" style="151" bestFit="1" customWidth="1"/>
    <col min="9986" max="9987" width="10" style="151" customWidth="1"/>
    <col min="9988" max="9988" width="14.5" style="151" customWidth="1"/>
    <col min="9989" max="9989" width="16" style="151" customWidth="1"/>
    <col min="9990" max="9992" width="15" style="151" customWidth="1"/>
    <col min="9993" max="9993" width="16.33203125" style="151" customWidth="1"/>
    <col min="9994" max="9994" width="18.33203125" style="151" customWidth="1"/>
    <col min="9995" max="9995" width="15" style="151" bestFit="1" customWidth="1"/>
    <col min="9996" max="9996" width="16.5" style="151" customWidth="1"/>
    <col min="9997" max="9999" width="14.5" style="151" customWidth="1"/>
    <col min="10000" max="10000" width="15" style="151" customWidth="1"/>
    <col min="10001" max="10002" width="16.1640625" style="151" customWidth="1"/>
    <col min="10003" max="10013" width="10.83203125" style="151"/>
    <col min="10014" max="10014" width="16.1640625" style="151" customWidth="1"/>
    <col min="10015" max="10240" width="10.83203125" style="151"/>
    <col min="10241" max="10241" width="18.1640625" style="151" bestFit="1" customWidth="1"/>
    <col min="10242" max="10243" width="10" style="151" customWidth="1"/>
    <col min="10244" max="10244" width="14.5" style="151" customWidth="1"/>
    <col min="10245" max="10245" width="16" style="151" customWidth="1"/>
    <col min="10246" max="10248" width="15" style="151" customWidth="1"/>
    <col min="10249" max="10249" width="16.33203125" style="151" customWidth="1"/>
    <col min="10250" max="10250" width="18.33203125" style="151" customWidth="1"/>
    <col min="10251" max="10251" width="15" style="151" bestFit="1" customWidth="1"/>
    <col min="10252" max="10252" width="16.5" style="151" customWidth="1"/>
    <col min="10253" max="10255" width="14.5" style="151" customWidth="1"/>
    <col min="10256" max="10256" width="15" style="151" customWidth="1"/>
    <col min="10257" max="10258" width="16.1640625" style="151" customWidth="1"/>
    <col min="10259" max="10269" width="10.83203125" style="151"/>
    <col min="10270" max="10270" width="16.1640625" style="151" customWidth="1"/>
    <col min="10271" max="10496" width="10.83203125" style="151"/>
    <col min="10497" max="10497" width="18.1640625" style="151" bestFit="1" customWidth="1"/>
    <col min="10498" max="10499" width="10" style="151" customWidth="1"/>
    <col min="10500" max="10500" width="14.5" style="151" customWidth="1"/>
    <col min="10501" max="10501" width="16" style="151" customWidth="1"/>
    <col min="10502" max="10504" width="15" style="151" customWidth="1"/>
    <col min="10505" max="10505" width="16.33203125" style="151" customWidth="1"/>
    <col min="10506" max="10506" width="18.33203125" style="151" customWidth="1"/>
    <col min="10507" max="10507" width="15" style="151" bestFit="1" customWidth="1"/>
    <col min="10508" max="10508" width="16.5" style="151" customWidth="1"/>
    <col min="10509" max="10511" width="14.5" style="151" customWidth="1"/>
    <col min="10512" max="10512" width="15" style="151" customWidth="1"/>
    <col min="10513" max="10514" width="16.1640625" style="151" customWidth="1"/>
    <col min="10515" max="10525" width="10.83203125" style="151"/>
    <col min="10526" max="10526" width="16.1640625" style="151" customWidth="1"/>
    <col min="10527" max="10752" width="10.83203125" style="151"/>
    <col min="10753" max="10753" width="18.1640625" style="151" bestFit="1" customWidth="1"/>
    <col min="10754" max="10755" width="10" style="151" customWidth="1"/>
    <col min="10756" max="10756" width="14.5" style="151" customWidth="1"/>
    <col min="10757" max="10757" width="16" style="151" customWidth="1"/>
    <col min="10758" max="10760" width="15" style="151" customWidth="1"/>
    <col min="10761" max="10761" width="16.33203125" style="151" customWidth="1"/>
    <col min="10762" max="10762" width="18.33203125" style="151" customWidth="1"/>
    <col min="10763" max="10763" width="15" style="151" bestFit="1" customWidth="1"/>
    <col min="10764" max="10764" width="16.5" style="151" customWidth="1"/>
    <col min="10765" max="10767" width="14.5" style="151" customWidth="1"/>
    <col min="10768" max="10768" width="15" style="151" customWidth="1"/>
    <col min="10769" max="10770" width="16.1640625" style="151" customWidth="1"/>
    <col min="10771" max="10781" width="10.83203125" style="151"/>
    <col min="10782" max="10782" width="16.1640625" style="151" customWidth="1"/>
    <col min="10783" max="11008" width="10.83203125" style="151"/>
    <col min="11009" max="11009" width="18.1640625" style="151" bestFit="1" customWidth="1"/>
    <col min="11010" max="11011" width="10" style="151" customWidth="1"/>
    <col min="11012" max="11012" width="14.5" style="151" customWidth="1"/>
    <col min="11013" max="11013" width="16" style="151" customWidth="1"/>
    <col min="11014" max="11016" width="15" style="151" customWidth="1"/>
    <col min="11017" max="11017" width="16.33203125" style="151" customWidth="1"/>
    <col min="11018" max="11018" width="18.33203125" style="151" customWidth="1"/>
    <col min="11019" max="11019" width="15" style="151" bestFit="1" customWidth="1"/>
    <col min="11020" max="11020" width="16.5" style="151" customWidth="1"/>
    <col min="11021" max="11023" width="14.5" style="151" customWidth="1"/>
    <col min="11024" max="11024" width="15" style="151" customWidth="1"/>
    <col min="11025" max="11026" width="16.1640625" style="151" customWidth="1"/>
    <col min="11027" max="11037" width="10.83203125" style="151"/>
    <col min="11038" max="11038" width="16.1640625" style="151" customWidth="1"/>
    <col min="11039" max="11264" width="10.83203125" style="151"/>
    <col min="11265" max="11265" width="18.1640625" style="151" bestFit="1" customWidth="1"/>
    <col min="11266" max="11267" width="10" style="151" customWidth="1"/>
    <col min="11268" max="11268" width="14.5" style="151" customWidth="1"/>
    <col min="11269" max="11269" width="16" style="151" customWidth="1"/>
    <col min="11270" max="11272" width="15" style="151" customWidth="1"/>
    <col min="11273" max="11273" width="16.33203125" style="151" customWidth="1"/>
    <col min="11274" max="11274" width="18.33203125" style="151" customWidth="1"/>
    <col min="11275" max="11275" width="15" style="151" bestFit="1" customWidth="1"/>
    <col min="11276" max="11276" width="16.5" style="151" customWidth="1"/>
    <col min="11277" max="11279" width="14.5" style="151" customWidth="1"/>
    <col min="11280" max="11280" width="15" style="151" customWidth="1"/>
    <col min="11281" max="11282" width="16.1640625" style="151" customWidth="1"/>
    <col min="11283" max="11293" width="10.83203125" style="151"/>
    <col min="11294" max="11294" width="16.1640625" style="151" customWidth="1"/>
    <col min="11295" max="11520" width="10.83203125" style="151"/>
    <col min="11521" max="11521" width="18.1640625" style="151" bestFit="1" customWidth="1"/>
    <col min="11522" max="11523" width="10" style="151" customWidth="1"/>
    <col min="11524" max="11524" width="14.5" style="151" customWidth="1"/>
    <col min="11525" max="11525" width="16" style="151" customWidth="1"/>
    <col min="11526" max="11528" width="15" style="151" customWidth="1"/>
    <col min="11529" max="11529" width="16.33203125" style="151" customWidth="1"/>
    <col min="11530" max="11530" width="18.33203125" style="151" customWidth="1"/>
    <col min="11531" max="11531" width="15" style="151" bestFit="1" customWidth="1"/>
    <col min="11532" max="11532" width="16.5" style="151" customWidth="1"/>
    <col min="11533" max="11535" width="14.5" style="151" customWidth="1"/>
    <col min="11536" max="11536" width="15" style="151" customWidth="1"/>
    <col min="11537" max="11538" width="16.1640625" style="151" customWidth="1"/>
    <col min="11539" max="11549" width="10.83203125" style="151"/>
    <col min="11550" max="11550" width="16.1640625" style="151" customWidth="1"/>
    <col min="11551" max="11776" width="10.83203125" style="151"/>
    <col min="11777" max="11777" width="18.1640625" style="151" bestFit="1" customWidth="1"/>
    <col min="11778" max="11779" width="10" style="151" customWidth="1"/>
    <col min="11780" max="11780" width="14.5" style="151" customWidth="1"/>
    <col min="11781" max="11781" width="16" style="151" customWidth="1"/>
    <col min="11782" max="11784" width="15" style="151" customWidth="1"/>
    <col min="11785" max="11785" width="16.33203125" style="151" customWidth="1"/>
    <col min="11786" max="11786" width="18.33203125" style="151" customWidth="1"/>
    <col min="11787" max="11787" width="15" style="151" bestFit="1" customWidth="1"/>
    <col min="11788" max="11788" width="16.5" style="151" customWidth="1"/>
    <col min="11789" max="11791" width="14.5" style="151" customWidth="1"/>
    <col min="11792" max="11792" width="15" style="151" customWidth="1"/>
    <col min="11793" max="11794" width="16.1640625" style="151" customWidth="1"/>
    <col min="11795" max="11805" width="10.83203125" style="151"/>
    <col min="11806" max="11806" width="16.1640625" style="151" customWidth="1"/>
    <col min="11807" max="12032" width="10.83203125" style="151"/>
    <col min="12033" max="12033" width="18.1640625" style="151" bestFit="1" customWidth="1"/>
    <col min="12034" max="12035" width="10" style="151" customWidth="1"/>
    <col min="12036" max="12036" width="14.5" style="151" customWidth="1"/>
    <col min="12037" max="12037" width="16" style="151" customWidth="1"/>
    <col min="12038" max="12040" width="15" style="151" customWidth="1"/>
    <col min="12041" max="12041" width="16.33203125" style="151" customWidth="1"/>
    <col min="12042" max="12042" width="18.33203125" style="151" customWidth="1"/>
    <col min="12043" max="12043" width="15" style="151" bestFit="1" customWidth="1"/>
    <col min="12044" max="12044" width="16.5" style="151" customWidth="1"/>
    <col min="12045" max="12047" width="14.5" style="151" customWidth="1"/>
    <col min="12048" max="12048" width="15" style="151" customWidth="1"/>
    <col min="12049" max="12050" width="16.1640625" style="151" customWidth="1"/>
    <col min="12051" max="12061" width="10.83203125" style="151"/>
    <col min="12062" max="12062" width="16.1640625" style="151" customWidth="1"/>
    <col min="12063" max="12288" width="10.83203125" style="151"/>
    <col min="12289" max="12289" width="18.1640625" style="151" bestFit="1" customWidth="1"/>
    <col min="12290" max="12291" width="10" style="151" customWidth="1"/>
    <col min="12292" max="12292" width="14.5" style="151" customWidth="1"/>
    <col min="12293" max="12293" width="16" style="151" customWidth="1"/>
    <col min="12294" max="12296" width="15" style="151" customWidth="1"/>
    <col min="12297" max="12297" width="16.33203125" style="151" customWidth="1"/>
    <col min="12298" max="12298" width="18.33203125" style="151" customWidth="1"/>
    <col min="12299" max="12299" width="15" style="151" bestFit="1" customWidth="1"/>
    <col min="12300" max="12300" width="16.5" style="151" customWidth="1"/>
    <col min="12301" max="12303" width="14.5" style="151" customWidth="1"/>
    <col min="12304" max="12304" width="15" style="151" customWidth="1"/>
    <col min="12305" max="12306" width="16.1640625" style="151" customWidth="1"/>
    <col min="12307" max="12317" width="10.83203125" style="151"/>
    <col min="12318" max="12318" width="16.1640625" style="151" customWidth="1"/>
    <col min="12319" max="12544" width="10.83203125" style="151"/>
    <col min="12545" max="12545" width="18.1640625" style="151" bestFit="1" customWidth="1"/>
    <col min="12546" max="12547" width="10" style="151" customWidth="1"/>
    <col min="12548" max="12548" width="14.5" style="151" customWidth="1"/>
    <col min="12549" max="12549" width="16" style="151" customWidth="1"/>
    <col min="12550" max="12552" width="15" style="151" customWidth="1"/>
    <col min="12553" max="12553" width="16.33203125" style="151" customWidth="1"/>
    <col min="12554" max="12554" width="18.33203125" style="151" customWidth="1"/>
    <col min="12555" max="12555" width="15" style="151" bestFit="1" customWidth="1"/>
    <col min="12556" max="12556" width="16.5" style="151" customWidth="1"/>
    <col min="12557" max="12559" width="14.5" style="151" customWidth="1"/>
    <col min="12560" max="12560" width="15" style="151" customWidth="1"/>
    <col min="12561" max="12562" width="16.1640625" style="151" customWidth="1"/>
    <col min="12563" max="12573" width="10.83203125" style="151"/>
    <col min="12574" max="12574" width="16.1640625" style="151" customWidth="1"/>
    <col min="12575" max="12800" width="10.83203125" style="151"/>
    <col min="12801" max="12801" width="18.1640625" style="151" bestFit="1" customWidth="1"/>
    <col min="12802" max="12803" width="10" style="151" customWidth="1"/>
    <col min="12804" max="12804" width="14.5" style="151" customWidth="1"/>
    <col min="12805" max="12805" width="16" style="151" customWidth="1"/>
    <col min="12806" max="12808" width="15" style="151" customWidth="1"/>
    <col min="12809" max="12809" width="16.33203125" style="151" customWidth="1"/>
    <col min="12810" max="12810" width="18.33203125" style="151" customWidth="1"/>
    <col min="12811" max="12811" width="15" style="151" bestFit="1" customWidth="1"/>
    <col min="12812" max="12812" width="16.5" style="151" customWidth="1"/>
    <col min="12813" max="12815" width="14.5" style="151" customWidth="1"/>
    <col min="12816" max="12816" width="15" style="151" customWidth="1"/>
    <col min="12817" max="12818" width="16.1640625" style="151" customWidth="1"/>
    <col min="12819" max="12829" width="10.83203125" style="151"/>
    <col min="12830" max="12830" width="16.1640625" style="151" customWidth="1"/>
    <col min="12831" max="13056" width="10.83203125" style="151"/>
    <col min="13057" max="13057" width="18.1640625" style="151" bestFit="1" customWidth="1"/>
    <col min="13058" max="13059" width="10" style="151" customWidth="1"/>
    <col min="13060" max="13060" width="14.5" style="151" customWidth="1"/>
    <col min="13061" max="13061" width="16" style="151" customWidth="1"/>
    <col min="13062" max="13064" width="15" style="151" customWidth="1"/>
    <col min="13065" max="13065" width="16.33203125" style="151" customWidth="1"/>
    <col min="13066" max="13066" width="18.33203125" style="151" customWidth="1"/>
    <col min="13067" max="13067" width="15" style="151" bestFit="1" customWidth="1"/>
    <col min="13068" max="13068" width="16.5" style="151" customWidth="1"/>
    <col min="13069" max="13071" width="14.5" style="151" customWidth="1"/>
    <col min="13072" max="13072" width="15" style="151" customWidth="1"/>
    <col min="13073" max="13074" width="16.1640625" style="151" customWidth="1"/>
    <col min="13075" max="13085" width="10.83203125" style="151"/>
    <col min="13086" max="13086" width="16.1640625" style="151" customWidth="1"/>
    <col min="13087" max="13312" width="10.83203125" style="151"/>
    <col min="13313" max="13313" width="18.1640625" style="151" bestFit="1" customWidth="1"/>
    <col min="13314" max="13315" width="10" style="151" customWidth="1"/>
    <col min="13316" max="13316" width="14.5" style="151" customWidth="1"/>
    <col min="13317" max="13317" width="16" style="151" customWidth="1"/>
    <col min="13318" max="13320" width="15" style="151" customWidth="1"/>
    <col min="13321" max="13321" width="16.33203125" style="151" customWidth="1"/>
    <col min="13322" max="13322" width="18.33203125" style="151" customWidth="1"/>
    <col min="13323" max="13323" width="15" style="151" bestFit="1" customWidth="1"/>
    <col min="13324" max="13324" width="16.5" style="151" customWidth="1"/>
    <col min="13325" max="13327" width="14.5" style="151" customWidth="1"/>
    <col min="13328" max="13328" width="15" style="151" customWidth="1"/>
    <col min="13329" max="13330" width="16.1640625" style="151" customWidth="1"/>
    <col min="13331" max="13341" width="10.83203125" style="151"/>
    <col min="13342" max="13342" width="16.1640625" style="151" customWidth="1"/>
    <col min="13343" max="13568" width="10.83203125" style="151"/>
    <col min="13569" max="13569" width="18.1640625" style="151" bestFit="1" customWidth="1"/>
    <col min="13570" max="13571" width="10" style="151" customWidth="1"/>
    <col min="13572" max="13572" width="14.5" style="151" customWidth="1"/>
    <col min="13573" max="13573" width="16" style="151" customWidth="1"/>
    <col min="13574" max="13576" width="15" style="151" customWidth="1"/>
    <col min="13577" max="13577" width="16.33203125" style="151" customWidth="1"/>
    <col min="13578" max="13578" width="18.33203125" style="151" customWidth="1"/>
    <col min="13579" max="13579" width="15" style="151" bestFit="1" customWidth="1"/>
    <col min="13580" max="13580" width="16.5" style="151" customWidth="1"/>
    <col min="13581" max="13583" width="14.5" style="151" customWidth="1"/>
    <col min="13584" max="13584" width="15" style="151" customWidth="1"/>
    <col min="13585" max="13586" width="16.1640625" style="151" customWidth="1"/>
    <col min="13587" max="13597" width="10.83203125" style="151"/>
    <col min="13598" max="13598" width="16.1640625" style="151" customWidth="1"/>
    <col min="13599" max="13824" width="10.83203125" style="151"/>
    <col min="13825" max="13825" width="18.1640625" style="151" bestFit="1" customWidth="1"/>
    <col min="13826" max="13827" width="10" style="151" customWidth="1"/>
    <col min="13828" max="13828" width="14.5" style="151" customWidth="1"/>
    <col min="13829" max="13829" width="16" style="151" customWidth="1"/>
    <col min="13830" max="13832" width="15" style="151" customWidth="1"/>
    <col min="13833" max="13833" width="16.33203125" style="151" customWidth="1"/>
    <col min="13834" max="13834" width="18.33203125" style="151" customWidth="1"/>
    <col min="13835" max="13835" width="15" style="151" bestFit="1" customWidth="1"/>
    <col min="13836" max="13836" width="16.5" style="151" customWidth="1"/>
    <col min="13837" max="13839" width="14.5" style="151" customWidth="1"/>
    <col min="13840" max="13840" width="15" style="151" customWidth="1"/>
    <col min="13841" max="13842" width="16.1640625" style="151" customWidth="1"/>
    <col min="13843" max="13853" width="10.83203125" style="151"/>
    <col min="13854" max="13854" width="16.1640625" style="151" customWidth="1"/>
    <col min="13855" max="14080" width="10.83203125" style="151"/>
    <col min="14081" max="14081" width="18.1640625" style="151" bestFit="1" customWidth="1"/>
    <col min="14082" max="14083" width="10" style="151" customWidth="1"/>
    <col min="14084" max="14084" width="14.5" style="151" customWidth="1"/>
    <col min="14085" max="14085" width="16" style="151" customWidth="1"/>
    <col min="14086" max="14088" width="15" style="151" customWidth="1"/>
    <col min="14089" max="14089" width="16.33203125" style="151" customWidth="1"/>
    <col min="14090" max="14090" width="18.33203125" style="151" customWidth="1"/>
    <col min="14091" max="14091" width="15" style="151" bestFit="1" customWidth="1"/>
    <col min="14092" max="14092" width="16.5" style="151" customWidth="1"/>
    <col min="14093" max="14095" width="14.5" style="151" customWidth="1"/>
    <col min="14096" max="14096" width="15" style="151" customWidth="1"/>
    <col min="14097" max="14098" width="16.1640625" style="151" customWidth="1"/>
    <col min="14099" max="14109" width="10.83203125" style="151"/>
    <col min="14110" max="14110" width="16.1640625" style="151" customWidth="1"/>
    <col min="14111" max="14336" width="10.83203125" style="151"/>
    <col min="14337" max="14337" width="18.1640625" style="151" bestFit="1" customWidth="1"/>
    <col min="14338" max="14339" width="10" style="151" customWidth="1"/>
    <col min="14340" max="14340" width="14.5" style="151" customWidth="1"/>
    <col min="14341" max="14341" width="16" style="151" customWidth="1"/>
    <col min="14342" max="14344" width="15" style="151" customWidth="1"/>
    <col min="14345" max="14345" width="16.33203125" style="151" customWidth="1"/>
    <col min="14346" max="14346" width="18.33203125" style="151" customWidth="1"/>
    <col min="14347" max="14347" width="15" style="151" bestFit="1" customWidth="1"/>
    <col min="14348" max="14348" width="16.5" style="151" customWidth="1"/>
    <col min="14349" max="14351" width="14.5" style="151" customWidth="1"/>
    <col min="14352" max="14352" width="15" style="151" customWidth="1"/>
    <col min="14353" max="14354" width="16.1640625" style="151" customWidth="1"/>
    <col min="14355" max="14365" width="10.83203125" style="151"/>
    <col min="14366" max="14366" width="16.1640625" style="151" customWidth="1"/>
    <col min="14367" max="14592" width="10.83203125" style="151"/>
    <col min="14593" max="14593" width="18.1640625" style="151" bestFit="1" customWidth="1"/>
    <col min="14594" max="14595" width="10" style="151" customWidth="1"/>
    <col min="14596" max="14596" width="14.5" style="151" customWidth="1"/>
    <col min="14597" max="14597" width="16" style="151" customWidth="1"/>
    <col min="14598" max="14600" width="15" style="151" customWidth="1"/>
    <col min="14601" max="14601" width="16.33203125" style="151" customWidth="1"/>
    <col min="14602" max="14602" width="18.33203125" style="151" customWidth="1"/>
    <col min="14603" max="14603" width="15" style="151" bestFit="1" customWidth="1"/>
    <col min="14604" max="14604" width="16.5" style="151" customWidth="1"/>
    <col min="14605" max="14607" width="14.5" style="151" customWidth="1"/>
    <col min="14608" max="14608" width="15" style="151" customWidth="1"/>
    <col min="14609" max="14610" width="16.1640625" style="151" customWidth="1"/>
    <col min="14611" max="14621" width="10.83203125" style="151"/>
    <col min="14622" max="14622" width="16.1640625" style="151" customWidth="1"/>
    <col min="14623" max="14848" width="10.83203125" style="151"/>
    <col min="14849" max="14849" width="18.1640625" style="151" bestFit="1" customWidth="1"/>
    <col min="14850" max="14851" width="10" style="151" customWidth="1"/>
    <col min="14852" max="14852" width="14.5" style="151" customWidth="1"/>
    <col min="14853" max="14853" width="16" style="151" customWidth="1"/>
    <col min="14854" max="14856" width="15" style="151" customWidth="1"/>
    <col min="14857" max="14857" width="16.33203125" style="151" customWidth="1"/>
    <col min="14858" max="14858" width="18.33203125" style="151" customWidth="1"/>
    <col min="14859" max="14859" width="15" style="151" bestFit="1" customWidth="1"/>
    <col min="14860" max="14860" width="16.5" style="151" customWidth="1"/>
    <col min="14861" max="14863" width="14.5" style="151" customWidth="1"/>
    <col min="14864" max="14864" width="15" style="151" customWidth="1"/>
    <col min="14865" max="14866" width="16.1640625" style="151" customWidth="1"/>
    <col min="14867" max="14877" width="10.83203125" style="151"/>
    <col min="14878" max="14878" width="16.1640625" style="151" customWidth="1"/>
    <col min="14879" max="15104" width="10.83203125" style="151"/>
    <col min="15105" max="15105" width="18.1640625" style="151" bestFit="1" customWidth="1"/>
    <col min="15106" max="15107" width="10" style="151" customWidth="1"/>
    <col min="15108" max="15108" width="14.5" style="151" customWidth="1"/>
    <col min="15109" max="15109" width="16" style="151" customWidth="1"/>
    <col min="15110" max="15112" width="15" style="151" customWidth="1"/>
    <col min="15113" max="15113" width="16.33203125" style="151" customWidth="1"/>
    <col min="15114" max="15114" width="18.33203125" style="151" customWidth="1"/>
    <col min="15115" max="15115" width="15" style="151" bestFit="1" customWidth="1"/>
    <col min="15116" max="15116" width="16.5" style="151" customWidth="1"/>
    <col min="15117" max="15119" width="14.5" style="151" customWidth="1"/>
    <col min="15120" max="15120" width="15" style="151" customWidth="1"/>
    <col min="15121" max="15122" width="16.1640625" style="151" customWidth="1"/>
    <col min="15123" max="15133" width="10.83203125" style="151"/>
    <col min="15134" max="15134" width="16.1640625" style="151" customWidth="1"/>
    <col min="15135" max="15360" width="10.83203125" style="151"/>
    <col min="15361" max="15361" width="18.1640625" style="151" bestFit="1" customWidth="1"/>
    <col min="15362" max="15363" width="10" style="151" customWidth="1"/>
    <col min="15364" max="15364" width="14.5" style="151" customWidth="1"/>
    <col min="15365" max="15365" width="16" style="151" customWidth="1"/>
    <col min="15366" max="15368" width="15" style="151" customWidth="1"/>
    <col min="15369" max="15369" width="16.33203125" style="151" customWidth="1"/>
    <col min="15370" max="15370" width="18.33203125" style="151" customWidth="1"/>
    <col min="15371" max="15371" width="15" style="151" bestFit="1" customWidth="1"/>
    <col min="15372" max="15372" width="16.5" style="151" customWidth="1"/>
    <col min="15373" max="15375" width="14.5" style="151" customWidth="1"/>
    <col min="15376" max="15376" width="15" style="151" customWidth="1"/>
    <col min="15377" max="15378" width="16.1640625" style="151" customWidth="1"/>
    <col min="15379" max="15389" width="10.83203125" style="151"/>
    <col min="15390" max="15390" width="16.1640625" style="151" customWidth="1"/>
    <col min="15391" max="15616" width="10.83203125" style="151"/>
    <col min="15617" max="15617" width="18.1640625" style="151" bestFit="1" customWidth="1"/>
    <col min="15618" max="15619" width="10" style="151" customWidth="1"/>
    <col min="15620" max="15620" width="14.5" style="151" customWidth="1"/>
    <col min="15621" max="15621" width="16" style="151" customWidth="1"/>
    <col min="15622" max="15624" width="15" style="151" customWidth="1"/>
    <col min="15625" max="15625" width="16.33203125" style="151" customWidth="1"/>
    <col min="15626" max="15626" width="18.33203125" style="151" customWidth="1"/>
    <col min="15627" max="15627" width="15" style="151" bestFit="1" customWidth="1"/>
    <col min="15628" max="15628" width="16.5" style="151" customWidth="1"/>
    <col min="15629" max="15631" width="14.5" style="151" customWidth="1"/>
    <col min="15632" max="15632" width="15" style="151" customWidth="1"/>
    <col min="15633" max="15634" width="16.1640625" style="151" customWidth="1"/>
    <col min="15635" max="15645" width="10.83203125" style="151"/>
    <col min="15646" max="15646" width="16.1640625" style="151" customWidth="1"/>
    <col min="15647" max="15872" width="10.83203125" style="151"/>
    <col min="15873" max="15873" width="18.1640625" style="151" bestFit="1" customWidth="1"/>
    <col min="15874" max="15875" width="10" style="151" customWidth="1"/>
    <col min="15876" max="15876" width="14.5" style="151" customWidth="1"/>
    <col min="15877" max="15877" width="16" style="151" customWidth="1"/>
    <col min="15878" max="15880" width="15" style="151" customWidth="1"/>
    <col min="15881" max="15881" width="16.33203125" style="151" customWidth="1"/>
    <col min="15882" max="15882" width="18.33203125" style="151" customWidth="1"/>
    <col min="15883" max="15883" width="15" style="151" bestFit="1" customWidth="1"/>
    <col min="15884" max="15884" width="16.5" style="151" customWidth="1"/>
    <col min="15885" max="15887" width="14.5" style="151" customWidth="1"/>
    <col min="15888" max="15888" width="15" style="151" customWidth="1"/>
    <col min="15889" max="15890" width="16.1640625" style="151" customWidth="1"/>
    <col min="15891" max="15901" width="10.83203125" style="151"/>
    <col min="15902" max="15902" width="16.1640625" style="151" customWidth="1"/>
    <col min="15903" max="16128" width="10.83203125" style="151"/>
    <col min="16129" max="16129" width="18.1640625" style="151" bestFit="1" customWidth="1"/>
    <col min="16130" max="16131" width="10" style="151" customWidth="1"/>
    <col min="16132" max="16132" width="14.5" style="151" customWidth="1"/>
    <col min="16133" max="16133" width="16" style="151" customWidth="1"/>
    <col min="16134" max="16136" width="15" style="151" customWidth="1"/>
    <col min="16137" max="16137" width="16.33203125" style="151" customWidth="1"/>
    <col min="16138" max="16138" width="18.33203125" style="151" customWidth="1"/>
    <col min="16139" max="16139" width="15" style="151" bestFit="1" customWidth="1"/>
    <col min="16140" max="16140" width="16.5" style="151" customWidth="1"/>
    <col min="16141" max="16143" width="14.5" style="151" customWidth="1"/>
    <col min="16144" max="16144" width="15" style="151" customWidth="1"/>
    <col min="16145" max="16146" width="16.1640625" style="151" customWidth="1"/>
    <col min="16147" max="16157" width="10.83203125" style="151"/>
    <col min="16158" max="16158" width="16.1640625" style="151" customWidth="1"/>
    <col min="16159" max="16384" width="10.83203125" style="151"/>
  </cols>
  <sheetData>
    <row r="1" spans="1:37">
      <c r="A1" s="149" t="s">
        <v>298</v>
      </c>
      <c r="B1" s="239">
        <v>45658</v>
      </c>
      <c r="C1" s="240"/>
      <c r="D1" s="240"/>
      <c r="E1" s="240"/>
      <c r="F1" s="240"/>
      <c r="G1" s="240"/>
      <c r="H1" s="240"/>
      <c r="I1" s="240"/>
      <c r="J1" s="240"/>
      <c r="K1" s="241"/>
    </row>
    <row r="2" spans="1:37">
      <c r="A2" s="152" t="s">
        <v>299</v>
      </c>
      <c r="B2" s="242" t="s">
        <v>300</v>
      </c>
      <c r="C2" s="243"/>
      <c r="D2" s="243"/>
      <c r="E2" s="243"/>
      <c r="F2" s="243"/>
      <c r="G2" s="243"/>
      <c r="H2" s="243"/>
      <c r="I2" s="243"/>
      <c r="J2" s="243"/>
      <c r="K2" s="244"/>
    </row>
    <row r="3" spans="1:37">
      <c r="A3" s="152" t="s">
        <v>301</v>
      </c>
      <c r="B3" s="245" t="s">
        <v>302</v>
      </c>
      <c r="C3" s="246"/>
      <c r="D3" s="246"/>
      <c r="E3" s="246"/>
      <c r="F3" s="247"/>
      <c r="G3" s="153"/>
      <c r="H3" s="153"/>
      <c r="I3" s="248" t="s">
        <v>303</v>
      </c>
      <c r="J3" s="249"/>
      <c r="K3" s="250"/>
      <c r="L3" s="154"/>
      <c r="M3" s="154"/>
      <c r="N3" s="154"/>
      <c r="O3" s="154"/>
      <c r="P3" s="154"/>
    </row>
    <row r="4" spans="1:37">
      <c r="A4" s="152" t="s">
        <v>304</v>
      </c>
      <c r="B4" s="251" t="s">
        <v>305</v>
      </c>
      <c r="C4" s="252"/>
      <c r="D4" s="252"/>
      <c r="E4" s="252"/>
      <c r="F4" s="252"/>
      <c r="G4" s="252"/>
      <c r="H4" s="252"/>
      <c r="I4" s="252"/>
      <c r="J4" s="252"/>
      <c r="K4" s="253"/>
    </row>
    <row r="5" spans="1:37">
      <c r="A5" s="152" t="s">
        <v>306</v>
      </c>
      <c r="B5" s="236" t="s">
        <v>307</v>
      </c>
      <c r="C5" s="237"/>
      <c r="D5" s="237"/>
      <c r="E5" s="237"/>
      <c r="F5" s="237"/>
      <c r="G5" s="237"/>
      <c r="H5" s="237"/>
      <c r="I5" s="237"/>
      <c r="J5" s="237"/>
      <c r="K5" s="238"/>
    </row>
    <row r="6" spans="1:37">
      <c r="A6" s="152" t="s">
        <v>308</v>
      </c>
      <c r="B6" s="242" t="s">
        <v>309</v>
      </c>
      <c r="C6" s="243"/>
      <c r="D6" s="243"/>
      <c r="E6" s="243"/>
      <c r="F6" s="243"/>
      <c r="G6" s="243"/>
      <c r="H6" s="243"/>
      <c r="I6" s="243"/>
      <c r="J6" s="243"/>
      <c r="K6" s="244"/>
      <c r="O6" s="150" t="s">
        <v>376</v>
      </c>
    </row>
    <row r="7" spans="1:37" ht="17" thickBot="1">
      <c r="A7" s="155" t="s">
        <v>310</v>
      </c>
      <c r="B7" s="254" t="s">
        <v>311</v>
      </c>
      <c r="C7" s="255"/>
      <c r="D7" s="255"/>
      <c r="E7" s="255"/>
      <c r="F7" s="255"/>
      <c r="G7" s="255"/>
      <c r="H7" s="255"/>
      <c r="I7" s="255"/>
      <c r="J7" s="255"/>
      <c r="K7" s="256"/>
      <c r="N7" s="150" t="s">
        <v>375</v>
      </c>
      <c r="O7" s="123">
        <f>(I118/I78)^(1/40)-1</f>
        <v>0.11381613199404583</v>
      </c>
    </row>
    <row r="8" spans="1:37" s="159" customFormat="1" ht="20" thickBot="1">
      <c r="A8" s="156" t="s">
        <v>312</v>
      </c>
      <c r="B8" s="156"/>
      <c r="C8" s="156"/>
      <c r="D8" s="156"/>
      <c r="E8" s="156"/>
      <c r="F8" s="156"/>
      <c r="G8" s="156"/>
      <c r="H8" s="156"/>
      <c r="I8" s="157"/>
      <c r="J8" s="157"/>
      <c r="K8" s="157"/>
      <c r="L8" s="158"/>
      <c r="M8" s="158"/>
      <c r="N8" s="158"/>
      <c r="P8" s="158"/>
      <c r="Q8" s="158"/>
      <c r="R8" s="158"/>
      <c r="S8" s="158"/>
      <c r="T8" s="158"/>
      <c r="U8" s="158"/>
      <c r="V8" s="158"/>
      <c r="W8" s="158"/>
      <c r="X8" s="158"/>
      <c r="Y8" s="158"/>
      <c r="Z8" s="158"/>
      <c r="AA8" s="158"/>
      <c r="AB8" s="158"/>
      <c r="AC8" s="158"/>
      <c r="AD8" s="158"/>
      <c r="AE8" s="158"/>
      <c r="AF8" s="158"/>
      <c r="AG8" s="158"/>
      <c r="AH8" s="158"/>
      <c r="AI8" s="158"/>
      <c r="AJ8" s="158"/>
      <c r="AK8" s="158"/>
    </row>
    <row r="9" spans="1:37">
      <c r="A9" s="151" t="s">
        <v>313</v>
      </c>
      <c r="D9" s="160" t="s">
        <v>314</v>
      </c>
      <c r="G9" s="257" t="s">
        <v>315</v>
      </c>
      <c r="H9" s="258"/>
      <c r="I9" s="258"/>
      <c r="J9" s="258"/>
      <c r="K9" s="259"/>
      <c r="L9" s="161"/>
      <c r="M9" s="161"/>
      <c r="N9" s="161"/>
      <c r="O9" s="161"/>
      <c r="P9" s="161"/>
      <c r="Q9" s="161"/>
      <c r="R9" s="161"/>
      <c r="S9" s="161"/>
    </row>
    <row r="10" spans="1:37" ht="17" thickBot="1">
      <c r="A10" s="151" t="s">
        <v>316</v>
      </c>
      <c r="D10" s="160">
        <v>1928</v>
      </c>
      <c r="G10" s="260"/>
      <c r="H10" s="261"/>
      <c r="I10" s="261"/>
      <c r="J10" s="261"/>
      <c r="K10" s="262"/>
      <c r="L10" s="161"/>
      <c r="M10" s="161"/>
      <c r="N10" s="161"/>
      <c r="O10" s="161"/>
      <c r="P10" s="161"/>
      <c r="Q10" s="161"/>
      <c r="R10" s="161"/>
      <c r="S10" s="161"/>
    </row>
    <row r="11" spans="1:37">
      <c r="F11" s="150"/>
      <c r="G11" s="150"/>
      <c r="H11" s="150"/>
      <c r="L11" s="162"/>
    </row>
    <row r="12" spans="1:37">
      <c r="A12" s="151" t="s">
        <v>317</v>
      </c>
      <c r="E12" s="163">
        <f>IF(D10=1928,100,VLOOKUP(D10-1,A21:O118,9))</f>
        <v>100</v>
      </c>
      <c r="F12" s="164"/>
    </row>
    <row r="13" spans="1:37">
      <c r="A13" s="151" t="s">
        <v>318</v>
      </c>
      <c r="E13" s="163">
        <f>IF(D10=1928,100,VLOOKUP(D10-1,A21:L118,11))</f>
        <v>100</v>
      </c>
      <c r="F13" s="164"/>
    </row>
    <row r="14" spans="1:37">
      <c r="A14" s="151" t="s">
        <v>319</v>
      </c>
      <c r="E14" s="163">
        <f>IF(D10=1928,100,VLOOKUP(D10-1,A20:L118,12))</f>
        <v>100</v>
      </c>
      <c r="F14" s="164"/>
      <c r="K14" s="162"/>
    </row>
    <row r="15" spans="1:37">
      <c r="A15" s="151" t="s">
        <v>320</v>
      </c>
      <c r="E15" s="163">
        <f>IF(D10=1928,100,VLOOKUP(D10-1,A20:N118,14))</f>
        <v>100</v>
      </c>
      <c r="F15" s="164"/>
    </row>
    <row r="16" spans="1:37">
      <c r="A16" s="151" t="s">
        <v>321</v>
      </c>
      <c r="E16" s="163">
        <f>IF(D10=1928,100,VLOOKUP(D10-1,A20:O118,15))</f>
        <v>100</v>
      </c>
      <c r="F16" s="164"/>
    </row>
    <row r="17" spans="1:37">
      <c r="A17" s="151" t="s">
        <v>322</v>
      </c>
      <c r="E17" s="165">
        <f>IF(D9="ST",(I118/E12)^(1/(A118-D10+1))-(K118/E13)^(1/(A118-D10+1)),(I118/E12)^(1/(A118-D10+1))-(L118/E14)^(1/(A118-D10+1)))</f>
        <v>5.4831292889428784E-2</v>
      </c>
      <c r="F17" s="166"/>
    </row>
    <row r="18" spans="1:37" ht="17" thickBot="1"/>
    <row r="19" spans="1:37" ht="17" thickBot="1">
      <c r="A19" s="167"/>
      <c r="B19" s="263" t="s">
        <v>323</v>
      </c>
      <c r="C19" s="263"/>
      <c r="D19" s="263"/>
      <c r="E19" s="263"/>
      <c r="F19" s="263"/>
      <c r="G19" s="263"/>
      <c r="H19" s="263"/>
      <c r="I19" s="264" t="s">
        <v>324</v>
      </c>
      <c r="J19" s="264"/>
      <c r="K19" s="265"/>
      <c r="L19" s="265"/>
      <c r="M19" s="265"/>
      <c r="N19" s="265"/>
      <c r="O19" s="265"/>
      <c r="P19" s="280" t="s">
        <v>325</v>
      </c>
      <c r="Q19" s="281"/>
      <c r="R19" s="281"/>
      <c r="S19" s="281"/>
      <c r="T19" s="282"/>
      <c r="U19" s="266" t="s">
        <v>326</v>
      </c>
      <c r="V19" s="266"/>
      <c r="W19" s="266"/>
      <c r="X19" s="266"/>
      <c r="Y19" s="266"/>
      <c r="Z19" s="266"/>
      <c r="AA19" s="266"/>
      <c r="AB19" s="266"/>
      <c r="AC19" s="267" t="s">
        <v>327</v>
      </c>
      <c r="AD19" s="267"/>
      <c r="AE19" s="266"/>
      <c r="AF19" s="266"/>
      <c r="AG19" s="266"/>
      <c r="AH19" s="266"/>
      <c r="AI19" s="268"/>
      <c r="AJ19" s="269" t="s">
        <v>328</v>
      </c>
      <c r="AK19" s="270"/>
    </row>
    <row r="20" spans="1:37" s="179" customFormat="1" ht="68">
      <c r="A20" s="168" t="s">
        <v>74</v>
      </c>
      <c r="B20" s="169" t="s">
        <v>329</v>
      </c>
      <c r="C20" s="169" t="s">
        <v>330</v>
      </c>
      <c r="D20" s="169" t="s">
        <v>331</v>
      </c>
      <c r="E20" s="169" t="s">
        <v>332</v>
      </c>
      <c r="F20" s="169" t="s">
        <v>333</v>
      </c>
      <c r="G20" s="169" t="s">
        <v>334</v>
      </c>
      <c r="H20" s="169" t="s">
        <v>335</v>
      </c>
      <c r="I20" s="170" t="s">
        <v>336</v>
      </c>
      <c r="J20" s="171" t="s">
        <v>337</v>
      </c>
      <c r="K20" s="172" t="s">
        <v>338</v>
      </c>
      <c r="L20" s="172" t="s">
        <v>339</v>
      </c>
      <c r="M20" s="172" t="s">
        <v>340</v>
      </c>
      <c r="N20" s="172" t="s">
        <v>341</v>
      </c>
      <c r="O20" s="172" t="s">
        <v>342</v>
      </c>
      <c r="P20" s="173" t="s">
        <v>343</v>
      </c>
      <c r="Q20" s="173" t="s">
        <v>344</v>
      </c>
      <c r="R20" s="174" t="s">
        <v>345</v>
      </c>
      <c r="S20" s="174" t="s">
        <v>346</v>
      </c>
      <c r="T20" s="174" t="s">
        <v>347</v>
      </c>
      <c r="U20" s="173" t="s">
        <v>348</v>
      </c>
      <c r="V20" s="173" t="s">
        <v>349</v>
      </c>
      <c r="W20" s="175" t="s">
        <v>350</v>
      </c>
      <c r="X20" s="173" t="s">
        <v>351</v>
      </c>
      <c r="Y20" s="173" t="s">
        <v>352</v>
      </c>
      <c r="Z20" s="173" t="s">
        <v>353</v>
      </c>
      <c r="AA20" s="173" t="s">
        <v>354</v>
      </c>
      <c r="AB20" s="173" t="s">
        <v>355</v>
      </c>
      <c r="AC20" s="176" t="s">
        <v>336</v>
      </c>
      <c r="AD20" s="177" t="s">
        <v>350</v>
      </c>
      <c r="AE20" s="176" t="s">
        <v>338</v>
      </c>
      <c r="AF20" s="176" t="s">
        <v>339</v>
      </c>
      <c r="AG20" s="176" t="s">
        <v>340</v>
      </c>
      <c r="AH20" s="176" t="s">
        <v>341</v>
      </c>
      <c r="AI20" s="176" t="s">
        <v>342</v>
      </c>
      <c r="AJ20" s="178" t="s">
        <v>356</v>
      </c>
      <c r="AK20" s="178" t="s">
        <v>357</v>
      </c>
    </row>
    <row r="21" spans="1:37">
      <c r="A21" s="180">
        <v>1928</v>
      </c>
      <c r="B21" s="181">
        <f>('[1]S&amp;P 500 &amp; Raw Data'!B4-'[1]S&amp;P 500 &amp; Raw Data'!B3+'[1]S&amp;P 500 &amp; Raw Data'!C4)/'[1]S&amp;P 500 &amp; Raw Data'!B3</f>
        <v>0.43811155152887893</v>
      </c>
      <c r="C21" s="181">
        <f>'[1]Small Cap'!B2</f>
        <v>0.62149999999999994</v>
      </c>
      <c r="D21" s="181">
        <v>3.0800000000000001E-2</v>
      </c>
      <c r="E21" s="181">
        <f>'[1]S&amp;P 500 &amp; Raw Data'!F4</f>
        <v>8.354708589799302E-3</v>
      </c>
      <c r="F21" s="181">
        <f>'[1]S&amp;P 500 &amp; Raw Data'!J4</f>
        <v>3.2195514702324381E-2</v>
      </c>
      <c r="G21" s="181">
        <f>'[1]Home Prices'!B4/'[1]Home Prices'!B3-1</f>
        <v>1.491053677932408E-2</v>
      </c>
      <c r="H21" s="181">
        <f>'[1]Gold Prices'!B3/'[1]Gold Prices'!B2-1</f>
        <v>9.6899224806201723E-4</v>
      </c>
      <c r="I21" s="182">
        <f>100*(1+B21)</f>
        <v>143.81115515288789</v>
      </c>
      <c r="J21" s="182">
        <v>159.91</v>
      </c>
      <c r="K21" s="183">
        <f>100*(1+D21)</f>
        <v>103.08</v>
      </c>
      <c r="L21" s="183">
        <f>100*(1+E21)</f>
        <v>100.83547085897993</v>
      </c>
      <c r="M21" s="183">
        <f>100*(1+F21)</f>
        <v>103.21955147023243</v>
      </c>
      <c r="N21" s="183">
        <f>100*(1+G21)</f>
        <v>101.49105367793241</v>
      </c>
      <c r="O21" s="183">
        <f>100*(1+H21)</f>
        <v>100.09689922480621</v>
      </c>
      <c r="P21" s="184">
        <f t="shared" ref="P21:P84" si="0">B21-D21</f>
        <v>0.40731155152887893</v>
      </c>
      <c r="Q21" s="184">
        <f t="shared" ref="Q21:Q84" si="1">B21-E21</f>
        <v>0.42975684293907962</v>
      </c>
      <c r="R21" s="185">
        <f>DamodaranUS!$C21-DamodaranUS!$B21</f>
        <v>0.18338844847112101</v>
      </c>
      <c r="S21" s="185">
        <f t="shared" ref="S21:S84" si="2">B21-F21</f>
        <v>0.40591603682655453</v>
      </c>
      <c r="T21" s="186"/>
      <c r="U21" s="187">
        <f>'[1]Inflation Rate'!C26</f>
        <v>-1.15607E-2</v>
      </c>
      <c r="V21" s="188">
        <f t="shared" ref="V21:AB52" si="3">(1+B21)/(1+$U21)-1</f>
        <v>0.45493157903462444</v>
      </c>
      <c r="W21" s="188">
        <f t="shared" si="3"/>
        <v>0.64046492283340006</v>
      </c>
      <c r="X21" s="188">
        <f t="shared" si="3"/>
        <v>4.2856147059308514E-2</v>
      </c>
      <c r="Y21" s="188">
        <f t="shared" si="3"/>
        <v>2.0148337474844569E-2</v>
      </c>
      <c r="Z21" s="188">
        <f t="shared" si="3"/>
        <v>4.4267983580098758E-2</v>
      </c>
      <c r="AA21" s="188">
        <f t="shared" si="3"/>
        <v>2.678084206012854E-2</v>
      </c>
      <c r="AB21" s="188">
        <f t="shared" si="3"/>
        <v>1.2676238437769438E-2</v>
      </c>
      <c r="AC21" s="189">
        <f t="shared" ref="AC21:AI21" si="4">100*(1+V21)</f>
        <v>145.49315790346245</v>
      </c>
      <c r="AD21" s="189">
        <f t="shared" si="4"/>
        <v>164.04649228334</v>
      </c>
      <c r="AE21" s="190">
        <f t="shared" si="4"/>
        <v>104.28561470593085</v>
      </c>
      <c r="AF21" s="190">
        <f t="shared" si="4"/>
        <v>102.01483374748446</v>
      </c>
      <c r="AG21" s="190">
        <f t="shared" si="4"/>
        <v>104.42679835800988</v>
      </c>
      <c r="AH21" s="190">
        <f t="shared" si="4"/>
        <v>102.67808420601285</v>
      </c>
      <c r="AI21" s="190">
        <f t="shared" si="4"/>
        <v>101.26762384377695</v>
      </c>
      <c r="AJ21" s="191">
        <f>DamodaranUS!$V21-DamodaranUS!$X21</f>
        <v>0.41207543197531593</v>
      </c>
      <c r="AK21" s="191">
        <f>DamodaranUS!$V21-DamodaranUS!$Y21</f>
        <v>0.43478324155977988</v>
      </c>
    </row>
    <row r="22" spans="1:37">
      <c r="A22" s="180">
        <v>1929</v>
      </c>
      <c r="B22" s="181">
        <f>('[1]S&amp;P 500 &amp; Raw Data'!B5-'[1]S&amp;P 500 &amp; Raw Data'!B4+'[1]S&amp;P 500 &amp; Raw Data'!C5)/'[1]S&amp;P 500 &amp; Raw Data'!B4</f>
        <v>-8.2979466119096595E-2</v>
      </c>
      <c r="C22" s="181">
        <f>'[1]Small Cap'!B3</f>
        <v>-0.46079999999999999</v>
      </c>
      <c r="D22" s="181">
        <v>3.1600000000000003E-2</v>
      </c>
      <c r="E22" s="181">
        <f>'[1]S&amp;P 500 &amp; Raw Data'!F5</f>
        <v>4.2038041563204259E-2</v>
      </c>
      <c r="F22" s="181">
        <f>'[1]S&amp;P 500 &amp; Raw Data'!J5</f>
        <v>3.0178562399040432E-2</v>
      </c>
      <c r="G22" s="181">
        <f>'[1]Home Prices'!B5/'[1]Home Prices'!B4-1</f>
        <v>-2.0568070519098924E-2</v>
      </c>
      <c r="H22" s="181">
        <f>'[1]Gold Prices'!B4/'[1]Gold Prices'!B3-1</f>
        <v>-1.4520813165538327E-3</v>
      </c>
      <c r="I22" s="192">
        <f t="shared" ref="I22:O37" si="5">I21*(1+B22)</f>
        <v>131.87778227633069</v>
      </c>
      <c r="J22" s="183">
        <f t="shared" si="5"/>
        <v>86.223472000000001</v>
      </c>
      <c r="K22" s="183">
        <f t="shared" si="5"/>
        <v>106.337328</v>
      </c>
      <c r="L22" s="183">
        <f t="shared" si="5"/>
        <v>105.074396573995</v>
      </c>
      <c r="M22" s="183">
        <f t="shared" si="5"/>
        <v>106.33456914507781</v>
      </c>
      <c r="N22" s="183">
        <f t="shared" si="5"/>
        <v>99.40357852882704</v>
      </c>
      <c r="O22" s="183">
        <f t="shared" si="5"/>
        <v>99.951550387596896</v>
      </c>
      <c r="P22" s="184">
        <f t="shared" si="0"/>
        <v>-0.1145794661190966</v>
      </c>
      <c r="Q22" s="184">
        <f t="shared" si="1"/>
        <v>-0.12501750768230085</v>
      </c>
      <c r="R22" s="185">
        <f>DamodaranUS!$C22-DamodaranUS!$B22</f>
        <v>-0.37782053388090342</v>
      </c>
      <c r="S22" s="185">
        <f t="shared" si="2"/>
        <v>-0.11315802851813703</v>
      </c>
      <c r="T22" s="186"/>
      <c r="U22" s="187">
        <f>'[1]Inflation Rate'!C27</f>
        <v>5.8479999999999999E-3</v>
      </c>
      <c r="V22" s="191">
        <f t="shared" si="3"/>
        <v>-8.8311023255100762E-2</v>
      </c>
      <c r="W22" s="191">
        <f t="shared" si="3"/>
        <v>-0.46393490865419029</v>
      </c>
      <c r="X22" s="191">
        <f t="shared" si="3"/>
        <v>2.5602277878963742E-2</v>
      </c>
      <c r="Y22" s="191">
        <f t="shared" si="3"/>
        <v>3.5979632671342188E-2</v>
      </c>
      <c r="Z22" s="191">
        <f t="shared" si="3"/>
        <v>2.4189104515831783E-2</v>
      </c>
      <c r="AA22" s="191">
        <f t="shared" si="3"/>
        <v>-2.6262487492244357E-2</v>
      </c>
      <c r="AB22" s="191">
        <f t="shared" si="3"/>
        <v>-7.2576386457535724E-3</v>
      </c>
      <c r="AC22" s="193">
        <f t="shared" ref="AC22:AI37" si="6">AC21*(1+V22)</f>
        <v>132.64450825239172</v>
      </c>
      <c r="AD22" s="193">
        <f t="shared" si="6"/>
        <v>87.939597870828322</v>
      </c>
      <c r="AE22" s="190">
        <f t="shared" si="6"/>
        <v>106.95556399241065</v>
      </c>
      <c r="AF22" s="190">
        <f t="shared" si="6"/>
        <v>105.68528999274699</v>
      </c>
      <c r="AG22" s="190">
        <f t="shared" si="6"/>
        <v>106.95278909774547</v>
      </c>
      <c r="AH22" s="190">
        <f t="shared" si="6"/>
        <v>99.981502303824826</v>
      </c>
      <c r="AI22" s="190">
        <f t="shared" si="6"/>
        <v>100.53266002340472</v>
      </c>
      <c r="AJ22" s="191">
        <f>DamodaranUS!$V22-DamodaranUS!$X22</f>
        <v>-0.1139133011340645</v>
      </c>
      <c r="AK22" s="191">
        <f>DamodaranUS!$V22-DamodaranUS!$Y22</f>
        <v>-0.12429065592644295</v>
      </c>
    </row>
    <row r="23" spans="1:37">
      <c r="A23" s="180">
        <v>1930</v>
      </c>
      <c r="B23" s="181">
        <f>('[1]S&amp;P 500 &amp; Raw Data'!B6-'[1]S&amp;P 500 &amp; Raw Data'!B5+'[1]S&amp;P 500 &amp; Raw Data'!C6)/'[1]S&amp;P 500 &amp; Raw Data'!B5</f>
        <v>-0.25123636363636365</v>
      </c>
      <c r="C23" s="181">
        <f>'[1]Small Cap'!B4</f>
        <v>-0.48350000000000004</v>
      </c>
      <c r="D23" s="181">
        <v>4.5499999999999999E-2</v>
      </c>
      <c r="E23" s="181">
        <f>'[1]S&amp;P 500 &amp; Raw Data'!F6</f>
        <v>4.5409314348970366E-2</v>
      </c>
      <c r="F23" s="181">
        <f>'[1]S&amp;P 500 &amp; Raw Data'!J6</f>
        <v>5.3978094648238287E-3</v>
      </c>
      <c r="G23" s="181">
        <f>'[1]Home Prices'!B6/'[1]Home Prices'!B5-1</f>
        <v>-4.2999999999999927E-2</v>
      </c>
      <c r="H23" s="181">
        <f>'[1]Gold Prices'!B5/'[1]Gold Prices'!B4-1</f>
        <v>9.6946194861846635E-4</v>
      </c>
      <c r="I23" s="194">
        <f t="shared" si="5"/>
        <v>98.745287812797272</v>
      </c>
      <c r="J23" s="183">
        <f t="shared" si="5"/>
        <v>44.534423287999999</v>
      </c>
      <c r="K23" s="183">
        <f t="shared" si="5"/>
        <v>111.17567642400002</v>
      </c>
      <c r="L23" s="183">
        <f t="shared" si="5"/>
        <v>109.84575287805193</v>
      </c>
      <c r="M23" s="183">
        <f t="shared" si="5"/>
        <v>106.90854288884708</v>
      </c>
      <c r="N23" s="183">
        <f t="shared" si="5"/>
        <v>95.129224652087487</v>
      </c>
      <c r="O23" s="183">
        <f t="shared" si="5"/>
        <v>100.04844961240309</v>
      </c>
      <c r="P23" s="184">
        <f t="shared" si="0"/>
        <v>-0.29673636363636363</v>
      </c>
      <c r="Q23" s="184">
        <f t="shared" si="1"/>
        <v>-0.29664567798533403</v>
      </c>
      <c r="R23" s="185">
        <f>DamodaranUS!$C23-DamodaranUS!$B23</f>
        <v>-0.23226363636363639</v>
      </c>
      <c r="S23" s="185">
        <f t="shared" si="2"/>
        <v>-0.25663417310118747</v>
      </c>
      <c r="T23" s="186"/>
      <c r="U23" s="187">
        <f>'[1]Inflation Rate'!C28</f>
        <v>-6.3953499999999996E-2</v>
      </c>
      <c r="V23" s="191">
        <f t="shared" si="3"/>
        <v>-0.20007858972429649</v>
      </c>
      <c r="W23" s="191">
        <f t="shared" si="3"/>
        <v>-0.44821117326970406</v>
      </c>
      <c r="X23" s="191">
        <f t="shared" si="3"/>
        <v>0.11693169089356137</v>
      </c>
      <c r="Y23" s="191">
        <f t="shared" si="3"/>
        <v>0.11683480932728285</v>
      </c>
      <c r="Z23" s="191">
        <f t="shared" si="3"/>
        <v>7.4089598609496266E-2</v>
      </c>
      <c r="AA23" s="191">
        <f t="shared" si="3"/>
        <v>2.2385105868138133E-2</v>
      </c>
      <c r="AB23" s="191">
        <f t="shared" si="3"/>
        <v>6.9358693129687898E-2</v>
      </c>
      <c r="AC23" s="195">
        <f t="shared" si="6"/>
        <v>106.10518210658037</v>
      </c>
      <c r="AD23" s="193">
        <f t="shared" si="6"/>
        <v>48.524087532278394</v>
      </c>
      <c r="AE23" s="190">
        <f t="shared" si="6"/>
        <v>119.46205894051774</v>
      </c>
      <c r="AF23" s="190">
        <f t="shared" si="6"/>
        <v>118.03301069774818</v>
      </c>
      <c r="AG23" s="190">
        <f t="shared" si="6"/>
        <v>114.87687831216354</v>
      </c>
      <c r="AH23" s="190">
        <f t="shared" si="6"/>
        <v>102.21959881775145</v>
      </c>
      <c r="AI23" s="190">
        <f t="shared" si="6"/>
        <v>107.50547393947929</v>
      </c>
      <c r="AJ23" s="191">
        <f>DamodaranUS!$V23-DamodaranUS!$X23</f>
        <v>-0.31701028061785785</v>
      </c>
      <c r="AK23" s="191">
        <f>DamodaranUS!$V23-DamodaranUS!$Y23</f>
        <v>-0.31691339905157934</v>
      </c>
    </row>
    <row r="24" spans="1:37">
      <c r="A24" s="180">
        <v>1931</v>
      </c>
      <c r="B24" s="181">
        <f>('[1]S&amp;P 500 &amp; Raw Data'!B7-'[1]S&amp;P 500 &amp; Raw Data'!B6+'[1]S&amp;P 500 &amp; Raw Data'!C7)/'[1]S&amp;P 500 &amp; Raw Data'!B6</f>
        <v>-0.43837548891786188</v>
      </c>
      <c r="C24" s="181">
        <f>'[1]Small Cap'!B5</f>
        <v>-0.43619999999999998</v>
      </c>
      <c r="D24" s="181">
        <v>2.3099999999999999E-2</v>
      </c>
      <c r="E24" s="181">
        <f>'[1]S&amp;P 500 &amp; Raw Data'!F7</f>
        <v>-2.5588559619422531E-2</v>
      </c>
      <c r="F24" s="181">
        <f>'[1]S&amp;P 500 &amp; Raw Data'!J7</f>
        <v>-0.15680775082667592</v>
      </c>
      <c r="G24" s="181">
        <f>'[1]Home Prices'!B7/'[1]Home Prices'!B6-1</f>
        <v>-8.1504702194357348E-2</v>
      </c>
      <c r="H24" s="181">
        <f>'[1]Gold Prices'!B6/'[1]Gold Prices'!B5-1</f>
        <v>-0.17384987893462467</v>
      </c>
      <c r="I24" s="182">
        <f t="shared" si="5"/>
        <v>55.457773989527276</v>
      </c>
      <c r="J24" s="183">
        <f t="shared" si="5"/>
        <v>25.108507849774401</v>
      </c>
      <c r="K24" s="183">
        <f t="shared" si="5"/>
        <v>113.74383454939441</v>
      </c>
      <c r="L24" s="183">
        <f t="shared" si="5"/>
        <v>107.03495828159154</v>
      </c>
      <c r="M24" s="183">
        <f t="shared" si="5"/>
        <v>90.144454734289752</v>
      </c>
      <c r="N24" s="183">
        <f t="shared" si="5"/>
        <v>87.375745526838983</v>
      </c>
      <c r="O24" s="183">
        <f t="shared" si="5"/>
        <v>82.655038759689916</v>
      </c>
      <c r="P24" s="184">
        <f t="shared" si="0"/>
        <v>-0.46147548891786189</v>
      </c>
      <c r="Q24" s="184">
        <f t="shared" si="1"/>
        <v>-0.41278692929843935</v>
      </c>
      <c r="R24" s="185">
        <f>DamodaranUS!$C24-DamodaranUS!$B24</f>
        <v>2.1754889178619008E-3</v>
      </c>
      <c r="S24" s="185">
        <f t="shared" si="2"/>
        <v>-0.28156773809118596</v>
      </c>
      <c r="T24" s="186"/>
      <c r="U24" s="187">
        <f>'[1]Inflation Rate'!C29</f>
        <v>-9.3167700000000006E-2</v>
      </c>
      <c r="V24" s="191">
        <f t="shared" si="3"/>
        <v>-0.38067434179159909</v>
      </c>
      <c r="W24" s="191">
        <f t="shared" si="3"/>
        <v>-0.37827534374326977</v>
      </c>
      <c r="X24" s="191">
        <f t="shared" si="3"/>
        <v>0.1282130113803841</v>
      </c>
      <c r="Y24" s="191">
        <f t="shared" si="3"/>
        <v>7.4522202595317166E-2</v>
      </c>
      <c r="Z24" s="191">
        <f t="shared" si="3"/>
        <v>-7.0178412068775953E-2</v>
      </c>
      <c r="AA24" s="191">
        <f t="shared" si="3"/>
        <v>1.2861250978425165E-2</v>
      </c>
      <c r="AB24" s="191">
        <f t="shared" si="3"/>
        <v>-8.8971443710843423E-2</v>
      </c>
      <c r="AC24" s="189">
        <f t="shared" si="6"/>
        <v>65.713661747480131</v>
      </c>
      <c r="AD24" s="193">
        <f t="shared" si="6"/>
        <v>30.168621641177275</v>
      </c>
      <c r="AE24" s="190">
        <f t="shared" si="6"/>
        <v>134.77864926298244</v>
      </c>
      <c r="AF24" s="190">
        <f t="shared" si="6"/>
        <v>126.829090633901</v>
      </c>
      <c r="AG24" s="190">
        <f t="shared" si="6"/>
        <v>106.8150014087979</v>
      </c>
      <c r="AH24" s="190">
        <f t="shared" si="6"/>
        <v>103.53427073306048</v>
      </c>
      <c r="AI24" s="190">
        <f t="shared" si="6"/>
        <v>97.940556716265363</v>
      </c>
      <c r="AJ24" s="191">
        <f>DamodaranUS!$V24-DamodaranUS!$X24</f>
        <v>-0.50888735317198319</v>
      </c>
      <c r="AK24" s="191">
        <f>DamodaranUS!$V24-DamodaranUS!$Y24</f>
        <v>-0.45519654438691626</v>
      </c>
    </row>
    <row r="25" spans="1:37">
      <c r="A25" s="180">
        <v>1932</v>
      </c>
      <c r="B25" s="181">
        <f>('[1]S&amp;P 500 &amp; Raw Data'!B8-'[1]S&amp;P 500 &amp; Raw Data'!B7+'[1]S&amp;P 500 &amp; Raw Data'!C8)/'[1]S&amp;P 500 &amp; Raw Data'!B7</f>
        <v>-8.642364532019696E-2</v>
      </c>
      <c r="C25" s="181">
        <f>'[1]Small Cap'!B6</f>
        <v>0.28649999999999998</v>
      </c>
      <c r="D25" s="181">
        <v>1.0699999999999999E-2</v>
      </c>
      <c r="E25" s="181">
        <f>'[1]S&amp;P 500 &amp; Raw Data'!F8</f>
        <v>8.7903069904773257E-2</v>
      </c>
      <c r="F25" s="181">
        <f>'[1]S&amp;P 500 &amp; Raw Data'!J8</f>
        <v>0.23589601675740196</v>
      </c>
      <c r="G25" s="181">
        <f>'[1]Home Prices'!B8/'[1]Home Prices'!B7-1</f>
        <v>-0.10466439135381123</v>
      </c>
      <c r="H25" s="181">
        <f>'[1]Gold Prices'!B7/'[1]Gold Prices'!B6-1</f>
        <v>0.21277842907385724</v>
      </c>
      <c r="I25" s="182">
        <f t="shared" si="5"/>
        <v>50.664911000008722</v>
      </c>
      <c r="J25" s="183">
        <f t="shared" si="5"/>
        <v>32.302095348734767</v>
      </c>
      <c r="K25" s="183">
        <f t="shared" si="5"/>
        <v>114.96089357907292</v>
      </c>
      <c r="L25" s="183">
        <f t="shared" si="5"/>
        <v>116.44365970167279</v>
      </c>
      <c r="M25" s="183">
        <f t="shared" si="5"/>
        <v>111.40917253887663</v>
      </c>
      <c r="N25" s="183">
        <f t="shared" si="5"/>
        <v>78.230616302186888</v>
      </c>
      <c r="O25" s="183">
        <f t="shared" si="5"/>
        <v>100.24224806201552</v>
      </c>
      <c r="P25" s="184">
        <f t="shared" si="0"/>
        <v>-9.7123645320196961E-2</v>
      </c>
      <c r="Q25" s="184">
        <f t="shared" si="1"/>
        <v>-0.17432671522497023</v>
      </c>
      <c r="R25" s="185">
        <f>DamodaranUS!$C25-DamodaranUS!$B25</f>
        <v>0.37292364532019695</v>
      </c>
      <c r="S25" s="185">
        <f t="shared" si="2"/>
        <v>-0.32231966207759893</v>
      </c>
      <c r="T25" s="186"/>
      <c r="U25" s="187">
        <f>'[1]Inflation Rate'!C30</f>
        <v>-0.1027397</v>
      </c>
      <c r="V25" s="191">
        <f t="shared" si="3"/>
        <v>1.8184304688174668E-2</v>
      </c>
      <c r="W25" s="191">
        <f t="shared" si="3"/>
        <v>0.43380911871393391</v>
      </c>
      <c r="X25" s="191">
        <f t="shared" si="3"/>
        <v>0.12642897495854877</v>
      </c>
      <c r="Y25" s="191">
        <f t="shared" si="3"/>
        <v>0.21247208853971733</v>
      </c>
      <c r="Z25" s="191">
        <f t="shared" si="3"/>
        <v>0.37741078788106641</v>
      </c>
      <c r="AA25" s="191">
        <f t="shared" si="3"/>
        <v>-2.1450757977492518E-3</v>
      </c>
      <c r="AB25" s="191">
        <f t="shared" si="3"/>
        <v>0.35164614892005952</v>
      </c>
      <c r="AC25" s="189">
        <f t="shared" si="6"/>
        <v>66.908618994871958</v>
      </c>
      <c r="AD25" s="193">
        <f t="shared" si="6"/>
        <v>43.256044808150506</v>
      </c>
      <c r="AE25" s="190">
        <f t="shared" si="6"/>
        <v>151.81857573559907</v>
      </c>
      <c r="AF25" s="190">
        <f t="shared" si="6"/>
        <v>153.77673240847906</v>
      </c>
      <c r="AG25" s="190">
        <f t="shared" si="6"/>
        <v>147.12813524800953</v>
      </c>
      <c r="AH25" s="190">
        <f t="shared" si="6"/>
        <v>103.31218187467337</v>
      </c>
      <c r="AI25" s="190">
        <f t="shared" si="6"/>
        <v>132.38097630862674</v>
      </c>
      <c r="AJ25" s="191">
        <f>DamodaranUS!$V25-DamodaranUS!$X25</f>
        <v>-0.1082446702703741</v>
      </c>
      <c r="AK25" s="191">
        <f>DamodaranUS!$V25-DamodaranUS!$Y25</f>
        <v>-0.19428778385154266</v>
      </c>
    </row>
    <row r="26" spans="1:37">
      <c r="A26" s="180">
        <v>1933</v>
      </c>
      <c r="B26" s="181">
        <f>('[1]S&amp;P 500 &amp; Raw Data'!B9-'[1]S&amp;P 500 &amp; Raw Data'!B8+'[1]S&amp;P 500 &amp; Raw Data'!C9)/'[1]S&amp;P 500 &amp; Raw Data'!B8</f>
        <v>0.49982225433526023</v>
      </c>
      <c r="C26" s="181">
        <f>'[1]Small Cap'!B7</f>
        <v>1.466</v>
      </c>
      <c r="D26" s="181">
        <v>9.5999999999999992E-3</v>
      </c>
      <c r="E26" s="181">
        <f>'[1]S&amp;P 500 &amp; Raw Data'!F9</f>
        <v>1.8552720891857361E-2</v>
      </c>
      <c r="F26" s="181">
        <f>'[1]S&amp;P 500 &amp; Raw Data'!J9</f>
        <v>0.1296689369754826</v>
      </c>
      <c r="G26" s="181">
        <f>'[1]Home Prices'!B9/'[1]Home Prices'!B8-1</f>
        <v>-3.811944091486652E-2</v>
      </c>
      <c r="H26" s="181">
        <f>'[1]Gold Prices'!B8/'[1]Gold Prices'!B7-1</f>
        <v>0.27259545674238739</v>
      </c>
      <c r="I26" s="182">
        <f t="shared" si="5"/>
        <v>75.988361031728402</v>
      </c>
      <c r="J26" s="183">
        <f t="shared" si="5"/>
        <v>79.656967129979947</v>
      </c>
      <c r="K26" s="183">
        <f t="shared" si="5"/>
        <v>116.06451815743202</v>
      </c>
      <c r="L26" s="183">
        <f t="shared" si="5"/>
        <v>118.60400641974435</v>
      </c>
      <c r="M26" s="183">
        <f t="shared" si="5"/>
        <v>125.8554815113109</v>
      </c>
      <c r="N26" s="183">
        <f t="shared" si="5"/>
        <v>75.248508946322076</v>
      </c>
      <c r="O26" s="183">
        <f t="shared" si="5"/>
        <v>127.56782945736434</v>
      </c>
      <c r="P26" s="184">
        <f t="shared" si="0"/>
        <v>0.49022225433526023</v>
      </c>
      <c r="Q26" s="184">
        <f t="shared" si="1"/>
        <v>0.48126953344340284</v>
      </c>
      <c r="R26" s="185">
        <f>DamodaranUS!$C26-DamodaranUS!$B26</f>
        <v>0.9661777456647398</v>
      </c>
      <c r="S26" s="185">
        <f t="shared" si="2"/>
        <v>0.37015331735977763</v>
      </c>
      <c r="T26" s="186"/>
      <c r="U26" s="187">
        <f>'[1]Inflation Rate'!C31</f>
        <v>7.6336000000000008E-3</v>
      </c>
      <c r="V26" s="191">
        <f t="shared" si="3"/>
        <v>0.48845994648775148</v>
      </c>
      <c r="W26" s="191">
        <f t="shared" si="3"/>
        <v>1.44731815215372</v>
      </c>
      <c r="X26" s="191">
        <f t="shared" si="3"/>
        <v>1.9515030066485917E-3</v>
      </c>
      <c r="Y26" s="191">
        <f t="shared" si="3"/>
        <v>1.0836400147690162E-2</v>
      </c>
      <c r="Z26" s="191">
        <f t="shared" si="3"/>
        <v>0.12111082537887063</v>
      </c>
      <c r="AA26" s="191">
        <f t="shared" si="3"/>
        <v>-4.5406426418160728E-2</v>
      </c>
      <c r="AB26" s="191">
        <f t="shared" si="3"/>
        <v>0.26295456676155649</v>
      </c>
      <c r="AC26" s="189">
        <f t="shared" si="6"/>
        <v>99.590799448676464</v>
      </c>
      <c r="AD26" s="193">
        <f t="shared" si="6"/>
        <v>105.8613036493614</v>
      </c>
      <c r="AE26" s="190">
        <f t="shared" si="6"/>
        <v>152.1148501426122</v>
      </c>
      <c r="AF26" s="190">
        <f t="shared" si="6"/>
        <v>155.44311861426161</v>
      </c>
      <c r="AG26" s="190">
        <f t="shared" si="6"/>
        <v>164.94694514435008</v>
      </c>
      <c r="AH26" s="190">
        <f t="shared" si="6"/>
        <v>98.621144890281371</v>
      </c>
      <c r="AI26" s="190">
        <f t="shared" si="6"/>
        <v>167.19115858133355</v>
      </c>
      <c r="AJ26" s="191">
        <f>DamodaranUS!$V26-DamodaranUS!$X26</f>
        <v>0.48650844348110289</v>
      </c>
      <c r="AK26" s="191">
        <f>DamodaranUS!$V26-DamodaranUS!$Y26</f>
        <v>0.47762354634006132</v>
      </c>
    </row>
    <row r="27" spans="1:37">
      <c r="A27" s="180">
        <v>1934</v>
      </c>
      <c r="B27" s="181">
        <f>('[1]S&amp;P 500 &amp; Raw Data'!B10-'[1]S&amp;P 500 &amp; Raw Data'!B9+'[1]S&amp;P 500 &amp; Raw Data'!C10)/'[1]S&amp;P 500 &amp; Raw Data'!B9</f>
        <v>-1.1885656970912803E-2</v>
      </c>
      <c r="C27" s="181">
        <f>'[1]Small Cap'!B8</f>
        <v>0.23070000000000002</v>
      </c>
      <c r="D27" s="181">
        <f>'[1]T. Bill rates'!C12</f>
        <v>2.7833333333333334E-3</v>
      </c>
      <c r="E27" s="181">
        <f>'[1]S&amp;P 500 &amp; Raw Data'!F10</f>
        <v>7.9634426179656104E-2</v>
      </c>
      <c r="F27" s="181">
        <f>'[1]S&amp;P 500 &amp; Raw Data'!J10</f>
        <v>0.18816429268482648</v>
      </c>
      <c r="G27" s="181">
        <f>'[1]Home Prices'!B10/'[1]Home Prices'!B9-1</f>
        <v>2.9062087186261465E-2</v>
      </c>
      <c r="H27" s="181">
        <f>'[1]Gold Prices'!B9/'[1]Gold Prices'!B8-1</f>
        <v>0.31750854538549178</v>
      </c>
      <c r="I27" s="182">
        <f t="shared" si="5"/>
        <v>75.085189438723404</v>
      </c>
      <c r="J27" s="183">
        <f t="shared" si="5"/>
        <v>98.033829446866335</v>
      </c>
      <c r="K27" s="183">
        <f t="shared" si="5"/>
        <v>116.38756439963687</v>
      </c>
      <c r="L27" s="183">
        <f t="shared" si="5"/>
        <v>128.04896841358894</v>
      </c>
      <c r="M27" s="183">
        <f t="shared" si="5"/>
        <v>149.53698917039497</v>
      </c>
      <c r="N27" s="183">
        <f t="shared" si="5"/>
        <v>77.435387673956271</v>
      </c>
      <c r="O27" s="183">
        <f t="shared" si="5"/>
        <v>168.07170542635657</v>
      </c>
      <c r="P27" s="184">
        <f t="shared" si="0"/>
        <v>-1.4668990304246137E-2</v>
      </c>
      <c r="Q27" s="184">
        <f t="shared" si="1"/>
        <v>-9.1520083150568907E-2</v>
      </c>
      <c r="R27" s="185">
        <f>DamodaranUS!$C27-DamodaranUS!$B27</f>
        <v>0.24258565697091283</v>
      </c>
      <c r="S27" s="185">
        <f t="shared" si="2"/>
        <v>-0.2000499496557393</v>
      </c>
      <c r="T27" s="186"/>
      <c r="U27" s="187">
        <f>'[1]Inflation Rate'!C32</f>
        <v>1.51515E-2</v>
      </c>
      <c r="V27" s="191">
        <f t="shared" si="3"/>
        <v>-2.6633617712147228E-2</v>
      </c>
      <c r="W27" s="191">
        <f t="shared" si="3"/>
        <v>0.21233136137808017</v>
      </c>
      <c r="X27" s="191">
        <f t="shared" si="3"/>
        <v>-1.2183567346023327E-2</v>
      </c>
      <c r="Y27" s="191">
        <f t="shared" si="3"/>
        <v>6.3520495393698306E-2</v>
      </c>
      <c r="Z27" s="191">
        <f t="shared" si="3"/>
        <v>0.17043051474073234</v>
      </c>
      <c r="AA27" s="191">
        <f t="shared" si="3"/>
        <v>1.370296668651072E-2</v>
      </c>
      <c r="AB27" s="191">
        <f t="shared" si="3"/>
        <v>0.29784425810875703</v>
      </c>
      <c r="AC27" s="189">
        <f t="shared" si="6"/>
        <v>96.938336168513288</v>
      </c>
      <c r="AD27" s="193">
        <f t="shared" si="6"/>
        <v>128.33897837048863</v>
      </c>
      <c r="AE27" s="190">
        <f t="shared" si="6"/>
        <v>150.26154862156943</v>
      </c>
      <c r="AF27" s="190">
        <f t="shared" si="6"/>
        <v>165.31694251418091</v>
      </c>
      <c r="AG27" s="190">
        <f t="shared" si="6"/>
        <v>193.05893791021302</v>
      </c>
      <c r="AH27" s="190">
        <f t="shared" si="6"/>
        <v>99.97254715329845</v>
      </c>
      <c r="AI27" s="190">
        <f t="shared" si="6"/>
        <v>216.9880851713344</v>
      </c>
      <c r="AJ27" s="191">
        <f>DamodaranUS!$V27-DamodaranUS!$X27</f>
        <v>-1.4450050366123901E-2</v>
      </c>
      <c r="AK27" s="191">
        <f>DamodaranUS!$V27-DamodaranUS!$Y27</f>
        <v>-9.0154113105845535E-2</v>
      </c>
    </row>
    <row r="28" spans="1:37">
      <c r="A28" s="180">
        <v>1935</v>
      </c>
      <c r="B28" s="181">
        <f>('[1]S&amp;P 500 &amp; Raw Data'!B11-'[1]S&amp;P 500 &amp; Raw Data'!B10+'[1]S&amp;P 500 &amp; Raw Data'!C11)/'[1]S&amp;P 500 &amp; Raw Data'!B10</f>
        <v>0.46740421052631581</v>
      </c>
      <c r="C28" s="181">
        <f>'[1]Small Cap'!B9</f>
        <v>0.54899999999999993</v>
      </c>
      <c r="D28" s="181">
        <f>'[1]T. Bill rates'!C13</f>
        <v>1.6750000000000001E-3</v>
      </c>
      <c r="E28" s="181">
        <f>'[1]S&amp;P 500 &amp; Raw Data'!F11</f>
        <v>4.4720477296566127E-2</v>
      </c>
      <c r="F28" s="181">
        <f>'[1]S&amp;P 500 &amp; Raw Data'!J11</f>
        <v>0.1330773186567917</v>
      </c>
      <c r="G28" s="181">
        <f>'[1]Home Prices'!B11/'[1]Home Prices'!B10-1</f>
        <v>9.7658337262297445E-2</v>
      </c>
      <c r="H28" s="181">
        <f>'[1]Gold Prices'!B10/'[1]Gold Prices'!B9-1</f>
        <v>4.3240126837706949E-3</v>
      </c>
      <c r="I28" s="182">
        <f t="shared" si="5"/>
        <v>110.18032313054879</v>
      </c>
      <c r="J28" s="183">
        <f t="shared" si="5"/>
        <v>151.85440181319595</v>
      </c>
      <c r="K28" s="183">
        <f t="shared" si="5"/>
        <v>116.58251357000627</v>
      </c>
      <c r="L28" s="183">
        <f t="shared" si="5"/>
        <v>133.77537939837757</v>
      </c>
      <c r="M28" s="183">
        <f t="shared" si="5"/>
        <v>169.43697072920085</v>
      </c>
      <c r="N28" s="183">
        <f t="shared" si="5"/>
        <v>84.997598879456248</v>
      </c>
      <c r="O28" s="183">
        <f t="shared" si="5"/>
        <v>168.79844961240312</v>
      </c>
      <c r="P28" s="184">
        <f t="shared" si="0"/>
        <v>0.46572921052631583</v>
      </c>
      <c r="Q28" s="184">
        <f t="shared" si="1"/>
        <v>0.42268373322974967</v>
      </c>
      <c r="R28" s="185">
        <f>DamodaranUS!$C28-DamodaranUS!$B28</f>
        <v>8.1595789473684122E-2</v>
      </c>
      <c r="S28" s="185">
        <f t="shared" si="2"/>
        <v>0.33432689186952413</v>
      </c>
      <c r="T28" s="186"/>
      <c r="U28" s="187">
        <f>'[1]Inflation Rate'!C33</f>
        <v>2.9850699999999997E-2</v>
      </c>
      <c r="V28" s="191">
        <f t="shared" si="3"/>
        <v>0.42487081916467706</v>
      </c>
      <c r="W28" s="191">
        <f t="shared" si="3"/>
        <v>0.50410151685093774</v>
      </c>
      <c r="X28" s="191">
        <f t="shared" si="3"/>
        <v>-2.7359014272651194E-2</v>
      </c>
      <c r="Y28" s="191">
        <f t="shared" si="3"/>
        <v>1.4438769907682891E-2</v>
      </c>
      <c r="Z28" s="191">
        <f t="shared" si="3"/>
        <v>0.10023454725698766</v>
      </c>
      <c r="AA28" s="191">
        <f t="shared" si="3"/>
        <v>6.5842201459199501E-2</v>
      </c>
      <c r="AB28" s="191">
        <f t="shared" si="3"/>
        <v>-2.4786784449657762E-2</v>
      </c>
      <c r="AC28" s="189">
        <f t="shared" si="6"/>
        <v>138.12460646489038</v>
      </c>
      <c r="AD28" s="193">
        <f t="shared" si="6"/>
        <v>193.03485203815166</v>
      </c>
      <c r="AE28" s="190">
        <f t="shared" si="6"/>
        <v>146.15054076820124</v>
      </c>
      <c r="AF28" s="190">
        <f t="shared" si="6"/>
        <v>167.70391580898482</v>
      </c>
      <c r="AG28" s="190">
        <f t="shared" si="6"/>
        <v>212.41011314555811</v>
      </c>
      <c r="AH28" s="190">
        <f t="shared" si="6"/>
        <v>106.55495974335525</v>
      </c>
      <c r="AI28" s="190">
        <f t="shared" si="6"/>
        <v>211.60964827604855</v>
      </c>
      <c r="AJ28" s="191">
        <f>DamodaranUS!$V28-DamodaranUS!$X28</f>
        <v>0.45222983343732825</v>
      </c>
      <c r="AK28" s="191">
        <f>DamodaranUS!$V28-DamodaranUS!$Y28</f>
        <v>0.41043204925699417</v>
      </c>
    </row>
    <row r="29" spans="1:37">
      <c r="A29" s="180">
        <v>1936</v>
      </c>
      <c r="B29" s="181">
        <f>('[1]S&amp;P 500 &amp; Raw Data'!B12-'[1]S&amp;P 500 &amp; Raw Data'!B11+'[1]S&amp;P 500 &amp; Raw Data'!C12)/'[1]S&amp;P 500 &amp; Raw Data'!B11</f>
        <v>0.31943410275502609</v>
      </c>
      <c r="C29" s="181">
        <f>'[1]Small Cap'!B10</f>
        <v>0.96409999999999996</v>
      </c>
      <c r="D29" s="181">
        <f>'[1]T. Bill rates'!C14</f>
        <v>1.725E-3</v>
      </c>
      <c r="E29" s="181">
        <f>'[1]S&amp;P 500 &amp; Raw Data'!F12</f>
        <v>5.0178754045450601E-2</v>
      </c>
      <c r="F29" s="181">
        <f>'[1]S&amp;P 500 &amp; Raw Data'!J12</f>
        <v>0.11383815871922703</v>
      </c>
      <c r="G29" s="181">
        <f>'[1]Home Prices'!B12/'[1]Home Prices'!B11-1</f>
        <v>3.2186014546704111E-2</v>
      </c>
      <c r="H29" s="181">
        <f>'[1]Gold Prices'!B11/'[1]Gold Prices'!B10-1</f>
        <v>8.61079219288019E-4</v>
      </c>
      <c r="I29" s="182">
        <f t="shared" si="5"/>
        <v>145.37567579101449</v>
      </c>
      <c r="J29" s="183">
        <f t="shared" si="5"/>
        <v>298.25723060129815</v>
      </c>
      <c r="K29" s="183">
        <f t="shared" si="5"/>
        <v>116.78361840591452</v>
      </c>
      <c r="L29" s="183">
        <f t="shared" si="5"/>
        <v>140.4880612585456</v>
      </c>
      <c r="M29" s="183">
        <f t="shared" si="5"/>
        <v>188.72536349597664</v>
      </c>
      <c r="N29" s="183">
        <f t="shared" si="5"/>
        <v>87.733332833425351</v>
      </c>
      <c r="O29" s="183">
        <f t="shared" si="5"/>
        <v>168.94379844961239</v>
      </c>
      <c r="P29" s="184">
        <f t="shared" si="0"/>
        <v>0.31770910275502612</v>
      </c>
      <c r="Q29" s="184">
        <f t="shared" si="1"/>
        <v>0.26925534870957551</v>
      </c>
      <c r="R29" s="185">
        <f>DamodaranUS!$C29-DamodaranUS!$B29</f>
        <v>0.64466589724497392</v>
      </c>
      <c r="S29" s="185">
        <f t="shared" si="2"/>
        <v>0.20559594403579906</v>
      </c>
      <c r="T29" s="186"/>
      <c r="U29" s="187">
        <f>'[1]Inflation Rate'!C34</f>
        <v>1.4492799999999998E-2</v>
      </c>
      <c r="V29" s="191">
        <f t="shared" si="3"/>
        <v>0.30058498468892636</v>
      </c>
      <c r="W29" s="191">
        <f t="shared" si="3"/>
        <v>0.9360413400666816</v>
      </c>
      <c r="X29" s="191">
        <f t="shared" si="3"/>
        <v>-1.2585402281810154E-2</v>
      </c>
      <c r="Y29" s="191">
        <f t="shared" si="3"/>
        <v>3.5176153093891438E-2</v>
      </c>
      <c r="Z29" s="191">
        <f t="shared" si="3"/>
        <v>9.7926134832329037E-2</v>
      </c>
      <c r="AA29" s="191">
        <f t="shared" si="3"/>
        <v>1.7440453541616163E-2</v>
      </c>
      <c r="AB29" s="191">
        <f t="shared" si="3"/>
        <v>-1.3436981298154071E-2</v>
      </c>
      <c r="AC29" s="189">
        <f t="shared" si="6"/>
        <v>179.64278918430344</v>
      </c>
      <c r="AD29" s="193">
        <f t="shared" si="6"/>
        <v>373.72345361951676</v>
      </c>
      <c r="AE29" s="190">
        <f t="shared" si="6"/>
        <v>144.31117741892933</v>
      </c>
      <c r="AF29" s="190">
        <f t="shared" si="6"/>
        <v>173.60309442592674</v>
      </c>
      <c r="AG29" s="190">
        <f t="shared" si="6"/>
        <v>233.2106145252003</v>
      </c>
      <c r="AH29" s="190">
        <f t="shared" si="6"/>
        <v>108.41332656838803</v>
      </c>
      <c r="AI29" s="190">
        <f t="shared" si="6"/>
        <v>208.76625338965431</v>
      </c>
      <c r="AJ29" s="191">
        <f>DamodaranUS!$V29-DamodaranUS!$X29</f>
        <v>0.31317038697073651</v>
      </c>
      <c r="AK29" s="191">
        <f>DamodaranUS!$V29-DamodaranUS!$Y29</f>
        <v>0.26540883159503492</v>
      </c>
    </row>
    <row r="30" spans="1:37">
      <c r="A30" s="180">
        <v>1937</v>
      </c>
      <c r="B30" s="181">
        <f>('[1]S&amp;P 500 &amp; Raw Data'!B13-'[1]S&amp;P 500 &amp; Raw Data'!B12+'[1]S&amp;P 500 &amp; Raw Data'!C13)/'[1]S&amp;P 500 &amp; Raw Data'!B12</f>
        <v>-0.35336728754365537</v>
      </c>
      <c r="C30" s="181">
        <f>'[1]Small Cap'!B11</f>
        <v>-0.53939999999999999</v>
      </c>
      <c r="D30" s="181">
        <f>'[1]T. Bill rates'!C15</f>
        <v>2.7583333333333331E-3</v>
      </c>
      <c r="E30" s="181">
        <f>'[1]S&amp;P 500 &amp; Raw Data'!F13</f>
        <v>1.379146059646038E-2</v>
      </c>
      <c r="F30" s="181">
        <f>'[1]S&amp;P 500 &amp; Raw Data'!J13</f>
        <v>-4.4161916839982614E-2</v>
      </c>
      <c r="G30" s="181">
        <f>'[1]Home Prices'!B13/'[1]Home Prices'!B12-1</f>
        <v>2.5633912223270494E-2</v>
      </c>
      <c r="H30" s="181">
        <f>'[1]Gold Prices'!B12/'[1]Gold Prices'!B11-1</f>
        <v>-2.2942357327214724E-3</v>
      </c>
      <c r="I30" s="182">
        <f t="shared" si="5"/>
        <v>94.004667561917856</v>
      </c>
      <c r="J30" s="183">
        <f t="shared" si="5"/>
        <v>137.37728041495794</v>
      </c>
      <c r="K30" s="183">
        <f t="shared" si="5"/>
        <v>117.10574655335085</v>
      </c>
      <c r="L30" s="183">
        <f t="shared" si="5"/>
        <v>142.42559681966594</v>
      </c>
      <c r="M30" s="183">
        <f t="shared" si="5"/>
        <v>180.39088968767183</v>
      </c>
      <c r="N30" s="183">
        <f t="shared" si="5"/>
        <v>89.982281386332346</v>
      </c>
      <c r="O30" s="183">
        <f t="shared" si="5"/>
        <v>168.55620155038758</v>
      </c>
      <c r="P30" s="184">
        <f t="shared" si="0"/>
        <v>-0.35612562087698868</v>
      </c>
      <c r="Q30" s="184">
        <f t="shared" si="1"/>
        <v>-0.36715874814011573</v>
      </c>
      <c r="R30" s="185">
        <f>DamodaranUS!$C30-DamodaranUS!$B30</f>
        <v>-0.18603271245634462</v>
      </c>
      <c r="S30" s="185">
        <f t="shared" si="2"/>
        <v>-0.30920537070367277</v>
      </c>
      <c r="T30" s="186"/>
      <c r="U30" s="187">
        <f>'[1]Inflation Rate'!C35</f>
        <v>2.8571399999999997E-2</v>
      </c>
      <c r="V30" s="191">
        <f t="shared" si="3"/>
        <v>-0.37132928987103397</v>
      </c>
      <c r="W30" s="191">
        <f t="shared" si="3"/>
        <v>-0.55219443200540086</v>
      </c>
      <c r="X30" s="191">
        <f t="shared" si="3"/>
        <v>-2.5096037734149035E-2</v>
      </c>
      <c r="Y30" s="191">
        <f t="shared" si="3"/>
        <v>-1.4369385930368517E-2</v>
      </c>
      <c r="Z30" s="191">
        <f t="shared" si="3"/>
        <v>-7.0712948892009408E-2</v>
      </c>
      <c r="AA30" s="191">
        <f t="shared" si="3"/>
        <v>-2.8558909733727988E-3</v>
      </c>
      <c r="AB30" s="191">
        <f t="shared" si="3"/>
        <v>-3.0008257795930748E-2</v>
      </c>
      <c r="AC30" s="189">
        <f t="shared" si="6"/>
        <v>112.93615984604418</v>
      </c>
      <c r="AD30" s="193">
        <f t="shared" si="6"/>
        <v>167.35544342099092</v>
      </c>
      <c r="AE30" s="190">
        <f t="shared" si="6"/>
        <v>140.6895386649644</v>
      </c>
      <c r="AF30" s="190">
        <f t="shared" si="6"/>
        <v>171.10852456341439</v>
      </c>
      <c r="AG30" s="190">
        <f t="shared" si="6"/>
        <v>216.71960425920571</v>
      </c>
      <c r="AH30" s="190">
        <f t="shared" si="6"/>
        <v>108.10370992764805</v>
      </c>
      <c r="AI30" s="190">
        <f t="shared" si="6"/>
        <v>202.50154183884698</v>
      </c>
      <c r="AJ30" s="191">
        <f>DamodaranUS!$V30-DamodaranUS!$X30</f>
        <v>-0.34623325213688494</v>
      </c>
      <c r="AK30" s="191">
        <f>DamodaranUS!$V30-DamodaranUS!$Y30</f>
        <v>-0.35695990394066546</v>
      </c>
    </row>
    <row r="31" spans="1:37">
      <c r="A31" s="180">
        <v>1938</v>
      </c>
      <c r="B31" s="181">
        <f>('[1]S&amp;P 500 &amp; Raw Data'!B14-'[1]S&amp;P 500 &amp; Raw Data'!B13+'[1]S&amp;P 500 &amp; Raw Data'!C14)/'[1]S&amp;P 500 &amp; Raw Data'!B13</f>
        <v>0.29282654028436017</v>
      </c>
      <c r="C31" s="181">
        <f>'[1]Small Cap'!B12</f>
        <v>5.16E-2</v>
      </c>
      <c r="D31" s="181">
        <f>'[1]T. Bill rates'!C16</f>
        <v>6.4999999999999997E-4</v>
      </c>
      <c r="E31" s="181">
        <f>'[1]S&amp;P 500 &amp; Raw Data'!F14</f>
        <v>4.2132485322046068E-2</v>
      </c>
      <c r="F31" s="181">
        <f>'[1]S&amp;P 500 &amp; Raw Data'!J14</f>
        <v>9.2358817136874202E-2</v>
      </c>
      <c r="G31" s="181">
        <f>'[1]Home Prices'!B14/'[1]Home Prices'!B13-1</f>
        <v>-8.7368136326751999E-3</v>
      </c>
      <c r="H31" s="181">
        <f>'[1]Gold Prices'!B13/'[1]Gold Prices'!B12-1</f>
        <v>1.7246335153779935E-3</v>
      </c>
      <c r="I31" s="182">
        <f t="shared" si="5"/>
        <v>121.53172913465568</v>
      </c>
      <c r="J31" s="183">
        <f t="shared" si="5"/>
        <v>144.46594808436978</v>
      </c>
      <c r="K31" s="183">
        <f t="shared" si="5"/>
        <v>117.18186528861054</v>
      </c>
      <c r="L31" s="183">
        <f t="shared" si="5"/>
        <v>148.42634118715418</v>
      </c>
      <c r="M31" s="183">
        <f t="shared" si="5"/>
        <v>197.05157888149355</v>
      </c>
      <c r="N31" s="183">
        <f t="shared" si="5"/>
        <v>89.196122963617029</v>
      </c>
      <c r="O31" s="183">
        <f t="shared" si="5"/>
        <v>168.84689922480618</v>
      </c>
      <c r="P31" s="184">
        <f t="shared" si="0"/>
        <v>0.29217654028436019</v>
      </c>
      <c r="Q31" s="184">
        <f t="shared" si="1"/>
        <v>0.25069405496231412</v>
      </c>
      <c r="R31" s="185">
        <f>DamodaranUS!$C31-DamodaranUS!$B31</f>
        <v>-0.24122654028436016</v>
      </c>
      <c r="S31" s="185">
        <f t="shared" si="2"/>
        <v>0.20046772314748595</v>
      </c>
      <c r="T31" s="186"/>
      <c r="U31" s="187">
        <f>'[1]Inflation Rate'!C36</f>
        <v>-2.7777799999999998E-2</v>
      </c>
      <c r="V31" s="191">
        <f t="shared" si="3"/>
        <v>0.32976447182995838</v>
      </c>
      <c r="W31" s="191">
        <f t="shared" si="3"/>
        <v>8.1645739009045482E-2</v>
      </c>
      <c r="X31" s="191">
        <f t="shared" si="3"/>
        <v>2.9240023525486158E-2</v>
      </c>
      <c r="Y31" s="191">
        <f t="shared" si="3"/>
        <v>7.1907723689138336E-2</v>
      </c>
      <c r="Z31" s="191">
        <f t="shared" si="3"/>
        <v>0.12356909473664968</v>
      </c>
      <c r="AA31" s="191">
        <f t="shared" si="3"/>
        <v>1.9585014996905903E-2</v>
      </c>
      <c r="AB31" s="191">
        <f t="shared" si="3"/>
        <v>3.0345360880854155E-2</v>
      </c>
      <c r="AC31" s="189">
        <f t="shared" si="6"/>
        <v>150.1784929481787</v>
      </c>
      <c r="AD31" s="193">
        <f t="shared" si="6"/>
        <v>181.01930227628424</v>
      </c>
      <c r="AE31" s="190">
        <f t="shared" si="6"/>
        <v>144.80330408531776</v>
      </c>
      <c r="AF31" s="190">
        <f t="shared" si="6"/>
        <v>183.41254906857654</v>
      </c>
      <c r="AG31" s="190">
        <f t="shared" si="6"/>
        <v>243.49944956920072</v>
      </c>
      <c r="AH31" s="190">
        <f t="shared" si="6"/>
        <v>110.2209227078022</v>
      </c>
      <c r="AI31" s="190">
        <f t="shared" si="6"/>
        <v>208.64652420487619</v>
      </c>
      <c r="AJ31" s="191">
        <f>DamodaranUS!$V31-DamodaranUS!$X31</f>
        <v>0.30052444830447222</v>
      </c>
      <c r="AK31" s="191">
        <f>DamodaranUS!$V31-DamodaranUS!$Y31</f>
        <v>0.25785674814082005</v>
      </c>
    </row>
    <row r="32" spans="1:37">
      <c r="A32" s="180">
        <v>1939</v>
      </c>
      <c r="B32" s="181">
        <f>('[1]S&amp;P 500 &amp; Raw Data'!B15-'[1]S&amp;P 500 &amp; Raw Data'!B14+'[1]S&amp;P 500 &amp; Raw Data'!C15)/'[1]S&amp;P 500 &amp; Raw Data'!B14</f>
        <v>-1.0975646879756443E-2</v>
      </c>
      <c r="C32" s="181">
        <f>'[1]Small Cap'!B13</f>
        <v>-4.8600000000000004E-2</v>
      </c>
      <c r="D32" s="181">
        <f>'[1]T. Bill rates'!C17</f>
        <v>4.5833333333333332E-4</v>
      </c>
      <c r="E32" s="181">
        <f>'[1]S&amp;P 500 &amp; Raw Data'!F15</f>
        <v>4.4122613942060671E-2</v>
      </c>
      <c r="F32" s="181">
        <f>'[1]S&amp;P 500 &amp; Raw Data'!J15</f>
        <v>7.9831377653461405E-2</v>
      </c>
      <c r="G32" s="181">
        <f>'[1]Home Prices'!B15/'[1]Home Prices'!B14-1</f>
        <v>-1.3016072256937905E-2</v>
      </c>
      <c r="H32" s="181">
        <f>'[1]Gold Prices'!B14/'[1]Gold Prices'!B13-1</f>
        <v>-1.2338593974175027E-2</v>
      </c>
      <c r="I32" s="182">
        <f t="shared" si="5"/>
        <v>120.19783979098749</v>
      </c>
      <c r="J32" s="183">
        <f t="shared" si="5"/>
        <v>137.44490300746941</v>
      </c>
      <c r="K32" s="183">
        <f t="shared" si="5"/>
        <v>117.23557364353447</v>
      </c>
      <c r="L32" s="183">
        <f t="shared" si="5"/>
        <v>154.97529933818757</v>
      </c>
      <c r="M32" s="183">
        <f t="shared" si="5"/>
        <v>212.7824778923929</v>
      </c>
      <c r="N32" s="183">
        <f t="shared" si="5"/>
        <v>88.035139782083874</v>
      </c>
      <c r="O32" s="183">
        <f t="shared" si="5"/>
        <v>166.76356589147284</v>
      </c>
      <c r="P32" s="184">
        <f t="shared" si="0"/>
        <v>-1.1433980213089777E-2</v>
      </c>
      <c r="Q32" s="184">
        <f t="shared" si="1"/>
        <v>-5.509826082181711E-2</v>
      </c>
      <c r="R32" s="185">
        <f>DamodaranUS!$C32-DamodaranUS!$B32</f>
        <v>-3.7624353120243564E-2</v>
      </c>
      <c r="S32" s="185">
        <f t="shared" si="2"/>
        <v>-9.0807024533217845E-2</v>
      </c>
      <c r="T32" s="186"/>
      <c r="U32" s="187">
        <f>'[1]Inflation Rate'!C37</f>
        <v>0</v>
      </c>
      <c r="V32" s="191">
        <f t="shared" si="3"/>
        <v>-1.0975646879756495E-2</v>
      </c>
      <c r="W32" s="191">
        <f t="shared" si="3"/>
        <v>-4.8599999999999977E-2</v>
      </c>
      <c r="X32" s="191">
        <f t="shared" si="3"/>
        <v>4.5833333333322734E-4</v>
      </c>
      <c r="Y32" s="191">
        <f t="shared" si="3"/>
        <v>4.412261394206074E-2</v>
      </c>
      <c r="Z32" s="191">
        <f t="shared" si="3"/>
        <v>7.9831377653461377E-2</v>
      </c>
      <c r="AA32" s="191">
        <f t="shared" si="3"/>
        <v>-1.3016072256937905E-2</v>
      </c>
      <c r="AB32" s="191">
        <f t="shared" si="3"/>
        <v>-1.2338593974175027E-2</v>
      </c>
      <c r="AC32" s="189">
        <f t="shared" si="6"/>
        <v>148.53018684064548</v>
      </c>
      <c r="AD32" s="193">
        <f t="shared" si="6"/>
        <v>172.22176418565684</v>
      </c>
      <c r="AE32" s="190">
        <f t="shared" si="6"/>
        <v>144.86967226635684</v>
      </c>
      <c r="AF32" s="190">
        <f t="shared" si="6"/>
        <v>191.50519016325862</v>
      </c>
      <c r="AG32" s="190">
        <f t="shared" si="6"/>
        <v>262.93834608616953</v>
      </c>
      <c r="AH32" s="190">
        <f t="shared" si="6"/>
        <v>108.78627921361108</v>
      </c>
      <c r="AI32" s="190">
        <f t="shared" si="6"/>
        <v>206.07211945858933</v>
      </c>
      <c r="AJ32" s="191">
        <f>DamodaranUS!$V32-DamodaranUS!$X32</f>
        <v>-1.1433980213089723E-2</v>
      </c>
      <c r="AK32" s="191">
        <f>DamodaranUS!$V32-DamodaranUS!$Y32</f>
        <v>-5.5098260821817235E-2</v>
      </c>
    </row>
    <row r="33" spans="1:37">
      <c r="A33" s="180">
        <v>1940</v>
      </c>
      <c r="B33" s="181">
        <f>('[1]S&amp;P 500 &amp; Raw Data'!B16-'[1]S&amp;P 500 &amp; Raw Data'!B15+'[1]S&amp;P 500 &amp; Raw Data'!C16)/'[1]S&amp;P 500 &amp; Raw Data'!B15</f>
        <v>-0.10672873194221515</v>
      </c>
      <c r="C33" s="181">
        <f>'[1]Small Cap'!B14</f>
        <v>-0.32880000000000004</v>
      </c>
      <c r="D33" s="181">
        <f>'[1]T. Bill rates'!C18</f>
        <v>3.5833333333333333E-4</v>
      </c>
      <c r="E33" s="181">
        <f>'[1]S&amp;P 500 &amp; Raw Data'!F16</f>
        <v>5.4024815962845509E-2</v>
      </c>
      <c r="F33" s="181">
        <f>'[1]S&amp;P 500 &amp; Raw Data'!J16</f>
        <v>8.6481371775829569E-2</v>
      </c>
      <c r="G33" s="181">
        <f>'[1]Home Prices'!B16/'[1]Home Prices'!B15-1</f>
        <v>3.306607685927565E-2</v>
      </c>
      <c r="H33" s="181">
        <f>'[1]Gold Prices'!B15/'[1]Gold Prices'!B14-1</f>
        <v>-1.6560139453805967E-2</v>
      </c>
      <c r="I33" s="182">
        <f t="shared" si="5"/>
        <v>107.36927676790187</v>
      </c>
      <c r="J33" s="183">
        <f t="shared" si="5"/>
        <v>92.253018898613462</v>
      </c>
      <c r="K33" s="183">
        <f t="shared" si="5"/>
        <v>117.27758305742339</v>
      </c>
      <c r="L33" s="183">
        <f t="shared" si="5"/>
        <v>163.34781136372007</v>
      </c>
      <c r="M33" s="183">
        <f t="shared" si="5"/>
        <v>231.18419847038714</v>
      </c>
      <c r="N33" s="183">
        <f t="shared" si="5"/>
        <v>90.946116480435336</v>
      </c>
      <c r="O33" s="183">
        <f t="shared" si="5"/>
        <v>164.0019379844961</v>
      </c>
      <c r="P33" s="184">
        <f t="shared" si="0"/>
        <v>-0.10708706527554848</v>
      </c>
      <c r="Q33" s="184">
        <f t="shared" si="1"/>
        <v>-0.16075354790506066</v>
      </c>
      <c r="R33" s="185">
        <f>DamodaranUS!$C33-DamodaranUS!$B33</f>
        <v>-0.22207126805778488</v>
      </c>
      <c r="S33" s="185">
        <f t="shared" si="2"/>
        <v>-0.1932101037180447</v>
      </c>
      <c r="T33" s="186"/>
      <c r="U33" s="187">
        <f>'[1]Inflation Rate'!C38</f>
        <v>7.1428999999999998E-3</v>
      </c>
      <c r="V33" s="191">
        <f t="shared" si="3"/>
        <v>-0.1130640269044394</v>
      </c>
      <c r="W33" s="191">
        <f t="shared" si="3"/>
        <v>-0.33356031204707892</v>
      </c>
      <c r="X33" s="191">
        <f t="shared" si="3"/>
        <v>-6.7364488859196214E-3</v>
      </c>
      <c r="Y33" s="191">
        <f t="shared" si="3"/>
        <v>4.6549418124126607E-2</v>
      </c>
      <c r="Z33" s="191">
        <f t="shared" si="3"/>
        <v>7.8775784226676748E-2</v>
      </c>
      <c r="AA33" s="191">
        <f t="shared" si="3"/>
        <v>2.5739323445834295E-2</v>
      </c>
      <c r="AB33" s="191">
        <f t="shared" si="3"/>
        <v>-2.3534931789526592E-2</v>
      </c>
      <c r="AC33" s="189">
        <f t="shared" si="6"/>
        <v>131.73676579957333</v>
      </c>
      <c r="AD33" s="193">
        <f t="shared" si="6"/>
        <v>114.77541878259071</v>
      </c>
      <c r="AE33" s="190">
        <f t="shared" si="6"/>
        <v>143.89376512401461</v>
      </c>
      <c r="AF33" s="190">
        <f t="shared" si="6"/>
        <v>200.41964533310852</v>
      </c>
      <c r="AG33" s="190">
        <f t="shared" si="6"/>
        <v>283.65152050237288</v>
      </c>
      <c r="AH33" s="190">
        <f t="shared" si="6"/>
        <v>111.58636444075906</v>
      </c>
      <c r="AI33" s="190">
        <f t="shared" si="6"/>
        <v>201.22222618340825</v>
      </c>
      <c r="AJ33" s="191">
        <f>DamodaranUS!$V33-DamodaranUS!$X33</f>
        <v>-0.10632757801851977</v>
      </c>
      <c r="AK33" s="191">
        <f>DamodaranUS!$V33-DamodaranUS!$Y33</f>
        <v>-0.159613445028566</v>
      </c>
    </row>
    <row r="34" spans="1:37">
      <c r="A34" s="180">
        <v>1941</v>
      </c>
      <c r="B34" s="181">
        <f>('[1]S&amp;P 500 &amp; Raw Data'!B17-'[1]S&amp;P 500 &amp; Raw Data'!B16+'[1]S&amp;P 500 &amp; Raw Data'!C17)/'[1]S&amp;P 500 &amp; Raw Data'!B16</f>
        <v>-0.12771455576559551</v>
      </c>
      <c r="C34" s="181">
        <f>'[1]Small Cap'!B15</f>
        <v>-6.7500000000000004E-2</v>
      </c>
      <c r="D34" s="181">
        <f>'[1]T. Bill rates'!C19</f>
        <v>1.2916666666666669E-3</v>
      </c>
      <c r="E34" s="181">
        <f>'[1]S&amp;P 500 &amp; Raw Data'!F17</f>
        <v>-2.0221975848580105E-2</v>
      </c>
      <c r="F34" s="181">
        <f>'[1]S&amp;P 500 &amp; Raw Data'!J17</f>
        <v>5.0071728572759232E-2</v>
      </c>
      <c r="G34" s="181">
        <f>'[1]Home Prices'!B17/'[1]Home Prices'!B16-1</f>
        <v>-8.384627736444894E-2</v>
      </c>
      <c r="H34" s="181">
        <f>'[1]Gold Prices'!B16/'[1]Gold Prices'!B15-1</f>
        <v>0</v>
      </c>
      <c r="I34" s="182">
        <f t="shared" si="5"/>
        <v>93.656657282615996</v>
      </c>
      <c r="J34" s="183">
        <f t="shared" si="5"/>
        <v>86.025940122957053</v>
      </c>
      <c r="K34" s="183">
        <f t="shared" si="5"/>
        <v>117.42906660220589</v>
      </c>
      <c r="L34" s="183">
        <f t="shared" si="5"/>
        <v>160.0445958674045</v>
      </c>
      <c r="M34" s="183">
        <f t="shared" si="5"/>
        <v>242.75999090650726</v>
      </c>
      <c r="N34" s="183">
        <f t="shared" si="5"/>
        <v>83.320623172797269</v>
      </c>
      <c r="O34" s="183">
        <f t="shared" si="5"/>
        <v>164.0019379844961</v>
      </c>
      <c r="P34" s="184">
        <f t="shared" si="0"/>
        <v>-0.12900622243226217</v>
      </c>
      <c r="Q34" s="184">
        <f t="shared" si="1"/>
        <v>-0.10749257991701541</v>
      </c>
      <c r="R34" s="185">
        <f>DamodaranUS!$C34-DamodaranUS!$B34</f>
        <v>6.0214555765595507E-2</v>
      </c>
      <c r="S34" s="185">
        <f t="shared" si="2"/>
        <v>-0.17778628433835475</v>
      </c>
      <c r="T34" s="186"/>
      <c r="U34" s="187">
        <f>'[1]Inflation Rate'!C39</f>
        <v>9.9290800000000012E-2</v>
      </c>
      <c r="V34" s="191">
        <f t="shared" si="3"/>
        <v>-0.20650164248222169</v>
      </c>
      <c r="W34" s="191">
        <f t="shared" si="3"/>
        <v>-0.15172582177527538</v>
      </c>
      <c r="X34" s="191">
        <f t="shared" si="3"/>
        <v>-8.9147597099269116E-2</v>
      </c>
      <c r="Y34" s="191">
        <f t="shared" si="3"/>
        <v>-0.10871807154993018</v>
      </c>
      <c r="Z34" s="191">
        <f t="shared" si="3"/>
        <v>-4.4773477070162548E-2</v>
      </c>
      <c r="AA34" s="191">
        <f t="shared" si="3"/>
        <v>-0.16659566091560929</v>
      </c>
      <c r="AB34" s="191">
        <f t="shared" si="3"/>
        <v>-9.0322597078043354E-2</v>
      </c>
      <c r="AC34" s="189">
        <f t="shared" si="6"/>
        <v>104.53290728666568</v>
      </c>
      <c r="AD34" s="193">
        <f t="shared" si="6"/>
        <v>97.361024048200747</v>
      </c>
      <c r="AE34" s="190">
        <f t="shared" si="6"/>
        <v>131.0659817256421</v>
      </c>
      <c r="AF34" s="190">
        <f t="shared" si="6"/>
        <v>178.63040799177199</v>
      </c>
      <c r="AG34" s="190">
        <f t="shared" si="6"/>
        <v>270.95145565324316</v>
      </c>
      <c r="AH34" s="190">
        <f t="shared" si="6"/>
        <v>92.996560307580765</v>
      </c>
      <c r="AI34" s="190">
        <f t="shared" si="6"/>
        <v>183.04731212469736</v>
      </c>
      <c r="AJ34" s="191">
        <f>DamodaranUS!$V34-DamodaranUS!$X34</f>
        <v>-0.11735404538295258</v>
      </c>
      <c r="AK34" s="191">
        <f>DamodaranUS!$V34-DamodaranUS!$Y34</f>
        <v>-9.7783570932291508E-2</v>
      </c>
    </row>
    <row r="35" spans="1:37">
      <c r="A35" s="180">
        <v>1942</v>
      </c>
      <c r="B35" s="181">
        <f>('[1]S&amp;P 500 &amp; Raw Data'!B18-'[1]S&amp;P 500 &amp; Raw Data'!B17+'[1]S&amp;P 500 &amp; Raw Data'!C18)/'[1]S&amp;P 500 &amp; Raw Data'!B17</f>
        <v>0.19173762945914843</v>
      </c>
      <c r="C35" s="181">
        <f>'[1]Small Cap'!B16</f>
        <v>0.63009999999999999</v>
      </c>
      <c r="D35" s="181">
        <f>'[1]T. Bill rates'!C20</f>
        <v>3.4250000000000001E-3</v>
      </c>
      <c r="E35" s="181">
        <f>'[1]S&amp;P 500 &amp; Raw Data'!F18</f>
        <v>2.2948682374484164E-2</v>
      </c>
      <c r="F35" s="181">
        <f>'[1]S&amp;P 500 &amp; Raw Data'!J18</f>
        <v>5.1799010426587015E-2</v>
      </c>
      <c r="G35" s="181">
        <f>'[1]Home Prices'!B18/'[1]Home Prices'!B17-1</f>
        <v>3.3330412175386348E-2</v>
      </c>
      <c r="H35" s="181">
        <f>'[1]Gold Prices'!B17/'[1]Gold Prices'!B16-1</f>
        <v>0</v>
      </c>
      <c r="I35" s="182">
        <f t="shared" si="5"/>
        <v>111.61416273305268</v>
      </c>
      <c r="J35" s="183">
        <f t="shared" si="5"/>
        <v>140.2308849944323</v>
      </c>
      <c r="K35" s="183">
        <f t="shared" si="5"/>
        <v>117.83126115531844</v>
      </c>
      <c r="L35" s="183">
        <f t="shared" si="5"/>
        <v>163.71740846371824</v>
      </c>
      <c r="M35" s="183">
        <f t="shared" si="5"/>
        <v>255.33471820663161</v>
      </c>
      <c r="N35" s="183">
        <f t="shared" si="5"/>
        <v>86.097733885856655</v>
      </c>
      <c r="O35" s="183">
        <f t="shared" si="5"/>
        <v>164.0019379844961</v>
      </c>
      <c r="P35" s="184">
        <f t="shared" si="0"/>
        <v>0.18831262945914842</v>
      </c>
      <c r="Q35" s="184">
        <f t="shared" si="1"/>
        <v>0.16878894708466427</v>
      </c>
      <c r="R35" s="185">
        <f>DamodaranUS!$C35-DamodaranUS!$B35</f>
        <v>0.43836237054085159</v>
      </c>
      <c r="S35" s="185">
        <f t="shared" si="2"/>
        <v>0.13993861903256141</v>
      </c>
      <c r="T35" s="186"/>
      <c r="U35" s="187">
        <f>'[1]Inflation Rate'!C40</f>
        <v>9.0322600000000003E-2</v>
      </c>
      <c r="V35" s="191">
        <f t="shared" si="3"/>
        <v>9.3013782764063135E-2</v>
      </c>
      <c r="W35" s="191">
        <f t="shared" si="3"/>
        <v>0.495062103637951</v>
      </c>
      <c r="X35" s="191">
        <f t="shared" si="3"/>
        <v>-7.9698980833745825E-2</v>
      </c>
      <c r="Y35" s="191">
        <f t="shared" si="3"/>
        <v>-6.1792645246017797E-2</v>
      </c>
      <c r="Z35" s="191">
        <f t="shared" si="3"/>
        <v>-3.5332285667941665E-2</v>
      </c>
      <c r="AA35" s="191">
        <f t="shared" si="3"/>
        <v>-5.2270940568060809E-2</v>
      </c>
      <c r="AB35" s="191">
        <f t="shared" si="3"/>
        <v>-8.2840252967332773E-2</v>
      </c>
      <c r="AC35" s="189">
        <f t="shared" si="6"/>
        <v>114.25590841672354</v>
      </c>
      <c r="AD35" s="193">
        <f t="shared" si="6"/>
        <v>145.56077742584816</v>
      </c>
      <c r="AE35" s="190">
        <f t="shared" si="6"/>
        <v>120.62015656013408</v>
      </c>
      <c r="AF35" s="190">
        <f t="shared" si="6"/>
        <v>167.592362560585</v>
      </c>
      <c r="AG35" s="190">
        <f t="shared" si="6"/>
        <v>261.37812141995812</v>
      </c>
      <c r="AH35" s="190">
        <f t="shared" si="6"/>
        <v>88.135542630709125</v>
      </c>
      <c r="AI35" s="190">
        <f t="shared" si="6"/>
        <v>167.88362648329712</v>
      </c>
      <c r="AJ35" s="191">
        <f>DamodaranUS!$V35-DamodaranUS!$X35</f>
        <v>0.17271276359780896</v>
      </c>
      <c r="AK35" s="191">
        <f>DamodaranUS!$V35-DamodaranUS!$Y35</f>
        <v>0.15480642801008093</v>
      </c>
    </row>
    <row r="36" spans="1:37">
      <c r="A36" s="180">
        <v>1943</v>
      </c>
      <c r="B36" s="181">
        <f>('[1]S&amp;P 500 &amp; Raw Data'!B19-'[1]S&amp;P 500 &amp; Raw Data'!B18+'[1]S&amp;P 500 &amp; Raw Data'!C19)/'[1]S&amp;P 500 &amp; Raw Data'!B18</f>
        <v>0.25061310133060394</v>
      </c>
      <c r="C36" s="181">
        <f>'[1]Small Cap'!B17</f>
        <v>1.4302000000000001</v>
      </c>
      <c r="D36" s="181">
        <f>'[1]T. Bill rates'!C21</f>
        <v>3.8E-3</v>
      </c>
      <c r="E36" s="181">
        <f>'[1]S&amp;P 500 &amp; Raw Data'!F19</f>
        <v>2.4899999999999999E-2</v>
      </c>
      <c r="F36" s="181">
        <f>'[1]S&amp;P 500 &amp; Raw Data'!J19</f>
        <v>8.044670060105924E-2</v>
      </c>
      <c r="G36" s="181">
        <f>'[1]Home Prices'!B19/'[1]Home Prices'!B18-1</f>
        <v>0.11446259964945993</v>
      </c>
      <c r="H36" s="181">
        <f>'[1]Gold Prices'!B18/'[1]Gold Prices'!B17-1</f>
        <v>0</v>
      </c>
      <c r="I36" s="182">
        <f t="shared" si="5"/>
        <v>139.58613420800171</v>
      </c>
      <c r="J36" s="183">
        <f t="shared" si="5"/>
        <v>340.78909671346941</v>
      </c>
      <c r="K36" s="183">
        <f t="shared" si="5"/>
        <v>118.27901994770866</v>
      </c>
      <c r="L36" s="183">
        <f t="shared" si="5"/>
        <v>167.79397193446482</v>
      </c>
      <c r="M36" s="183">
        <f t="shared" si="5"/>
        <v>275.87555383525631</v>
      </c>
      <c r="N36" s="183">
        <f t="shared" si="5"/>
        <v>95.952704330359211</v>
      </c>
      <c r="O36" s="183">
        <f t="shared" si="5"/>
        <v>164.0019379844961</v>
      </c>
      <c r="P36" s="184">
        <f t="shared" si="0"/>
        <v>0.24681310133060394</v>
      </c>
      <c r="Q36" s="184">
        <f t="shared" si="1"/>
        <v>0.22571310133060393</v>
      </c>
      <c r="R36" s="185">
        <f>DamodaranUS!$C36-DamodaranUS!$B36</f>
        <v>1.1795868986693963</v>
      </c>
      <c r="S36" s="185">
        <f t="shared" si="2"/>
        <v>0.1701664007295447</v>
      </c>
      <c r="T36" s="186"/>
      <c r="U36" s="187">
        <f>'[1]Inflation Rate'!C41</f>
        <v>2.9585799999999999E-2</v>
      </c>
      <c r="V36" s="191">
        <f t="shared" si="3"/>
        <v>0.21467594185021199</v>
      </c>
      <c r="W36" s="191">
        <f t="shared" si="3"/>
        <v>1.3603666639536018</v>
      </c>
      <c r="X36" s="191">
        <f t="shared" si="3"/>
        <v>-2.504482870684499E-2</v>
      </c>
      <c r="Y36" s="191">
        <f t="shared" si="3"/>
        <v>-4.5511505694815213E-3</v>
      </c>
      <c r="Z36" s="191">
        <f t="shared" si="3"/>
        <v>4.9399380412064042E-2</v>
      </c>
      <c r="AA36" s="191">
        <f t="shared" si="3"/>
        <v>8.2437811059029587E-2</v>
      </c>
      <c r="AB36" s="191">
        <f t="shared" si="3"/>
        <v>-2.873563330030382E-2</v>
      </c>
      <c r="AC36" s="189">
        <f t="shared" si="6"/>
        <v>138.78390316803524</v>
      </c>
      <c r="AD36" s="193">
        <f t="shared" si="6"/>
        <v>343.57680661514195</v>
      </c>
      <c r="AE36" s="190">
        <f t="shared" si="6"/>
        <v>117.59924540049269</v>
      </c>
      <c r="AF36" s="190">
        <f t="shared" si="6"/>
        <v>166.82962448427665</v>
      </c>
      <c r="AG36" s="190">
        <f t="shared" si="6"/>
        <v>274.29003867137328</v>
      </c>
      <c r="AH36" s="190">
        <f t="shared" si="6"/>
        <v>95.401243841684575</v>
      </c>
      <c r="AI36" s="190">
        <f t="shared" si="6"/>
        <v>163.05938415554792</v>
      </c>
      <c r="AJ36" s="191">
        <f>DamodaranUS!$V36-DamodaranUS!$X36</f>
        <v>0.23972077055705698</v>
      </c>
      <c r="AK36" s="191">
        <f>DamodaranUS!$V36-DamodaranUS!$Y36</f>
        <v>0.21922709241969351</v>
      </c>
    </row>
    <row r="37" spans="1:37">
      <c r="A37" s="180">
        <v>1944</v>
      </c>
      <c r="B37" s="181">
        <f>('[1]S&amp;P 500 &amp; Raw Data'!B20-'[1]S&amp;P 500 &amp; Raw Data'!B19+'[1]S&amp;P 500 &amp; Raw Data'!C20)/'[1]S&amp;P 500 &amp; Raw Data'!B19</f>
        <v>0.19030676949443009</v>
      </c>
      <c r="C37" s="181">
        <f>'[1]Small Cap'!B18</f>
        <v>0.71150000000000002</v>
      </c>
      <c r="D37" s="181">
        <f>'[1]T. Bill rates'!C22</f>
        <v>3.8E-3</v>
      </c>
      <c r="E37" s="181">
        <f>'[1]S&amp;P 500 &amp; Raw Data'!F20</f>
        <v>2.5776111579070303E-2</v>
      </c>
      <c r="F37" s="181">
        <f>'[1]S&amp;P 500 &amp; Raw Data'!J20</f>
        <v>6.5658635882561697E-2</v>
      </c>
      <c r="G37" s="181">
        <f>'[1]Home Prices'!B20/'[1]Home Prices'!B19-1</f>
        <v>0.16584227481419478</v>
      </c>
      <c r="H37" s="181">
        <f>'[1]Gold Prices'!B19/'[1]Gold Prices'!B18-1</f>
        <v>0</v>
      </c>
      <c r="I37" s="182">
        <f t="shared" si="5"/>
        <v>166.15032047534245</v>
      </c>
      <c r="J37" s="183">
        <f t="shared" si="5"/>
        <v>583.26053902510284</v>
      </c>
      <c r="K37" s="183">
        <f t="shared" si="5"/>
        <v>118.72848022350996</v>
      </c>
      <c r="L37" s="183">
        <f t="shared" si="5"/>
        <v>172.11904807734297</v>
      </c>
      <c r="M37" s="183">
        <f t="shared" si="5"/>
        <v>293.98916637342546</v>
      </c>
      <c r="N37" s="183">
        <f t="shared" si="5"/>
        <v>111.86571909107982</v>
      </c>
      <c r="O37" s="183">
        <f t="shared" si="5"/>
        <v>164.0019379844961</v>
      </c>
      <c r="P37" s="184">
        <f t="shared" si="0"/>
        <v>0.1865067694944301</v>
      </c>
      <c r="Q37" s="184">
        <f t="shared" si="1"/>
        <v>0.16453065791535978</v>
      </c>
      <c r="R37" s="185">
        <f>DamodaranUS!$C37-DamodaranUS!$B37</f>
        <v>0.52119323050556998</v>
      </c>
      <c r="S37" s="185">
        <f t="shared" si="2"/>
        <v>0.1246481336118684</v>
      </c>
      <c r="T37" s="186"/>
      <c r="U37" s="187">
        <f>'[1]Inflation Rate'!C42</f>
        <v>2.2988499999999999E-2</v>
      </c>
      <c r="V37" s="191">
        <f t="shared" si="3"/>
        <v>0.16355830930106241</v>
      </c>
      <c r="W37" s="191">
        <f t="shared" si="3"/>
        <v>0.67303933524179382</v>
      </c>
      <c r="X37" s="191">
        <f t="shared" si="3"/>
        <v>-1.8757297858187139E-2</v>
      </c>
      <c r="Y37" s="191">
        <f t="shared" si="3"/>
        <v>2.7249686375458992E-3</v>
      </c>
      <c r="Z37" s="191">
        <f t="shared" si="3"/>
        <v>4.171125665885933E-2</v>
      </c>
      <c r="AA37" s="191">
        <f t="shared" si="3"/>
        <v>0.13964357841187325</v>
      </c>
      <c r="AB37" s="191">
        <f t="shared" si="3"/>
        <v>-2.2471904620628758E-2</v>
      </c>
      <c r="AC37" s="189">
        <f t="shared" si="6"/>
        <v>161.48316372840145</v>
      </c>
      <c r="AD37" s="193">
        <f t="shared" si="6"/>
        <v>574.81751214389544</v>
      </c>
      <c r="AE37" s="190">
        <f t="shared" si="6"/>
        <v>115.39340132661761</v>
      </c>
      <c r="AF37" s="190">
        <f t="shared" si="6"/>
        <v>167.28422997880986</v>
      </c>
      <c r="AG37" s="190">
        <f t="shared" si="6"/>
        <v>285.73102087336338</v>
      </c>
      <c r="AH37" s="190">
        <f t="shared" si="6"/>
        <v>108.72341491668109</v>
      </c>
      <c r="AI37" s="190">
        <f t="shared" si="6"/>
        <v>159.39512922730597</v>
      </c>
      <c r="AJ37" s="191">
        <f>DamodaranUS!$V37-DamodaranUS!$X37</f>
        <v>0.18231560715924955</v>
      </c>
      <c r="AK37" s="191">
        <f>DamodaranUS!$V37-DamodaranUS!$Y37</f>
        <v>0.16083334066351651</v>
      </c>
    </row>
    <row r="38" spans="1:37">
      <c r="A38" s="180">
        <v>1945</v>
      </c>
      <c r="B38" s="181">
        <f>('[1]S&amp;P 500 &amp; Raw Data'!B21-'[1]S&amp;P 500 &amp; Raw Data'!B20+'[1]S&amp;P 500 &amp; Raw Data'!C21)/'[1]S&amp;P 500 &amp; Raw Data'!B20</f>
        <v>0.35821084337349401</v>
      </c>
      <c r="C38" s="181">
        <f>'[1]Small Cap'!B19</f>
        <v>0.94409999999999994</v>
      </c>
      <c r="D38" s="181">
        <f>'[1]T. Bill rates'!C23</f>
        <v>3.8E-3</v>
      </c>
      <c r="E38" s="181">
        <f>'[1]S&amp;P 500 &amp; Raw Data'!F21</f>
        <v>3.8044173419237229E-2</v>
      </c>
      <c r="F38" s="181">
        <f>'[1]S&amp;P 500 &amp; Raw Data'!J21</f>
        <v>6.799865477817886E-2</v>
      </c>
      <c r="G38" s="181">
        <f>'[1]Home Prices'!B21/'[1]Home Prices'!B20-1</f>
        <v>0.11777376471356127</v>
      </c>
      <c r="H38" s="181">
        <f>'[1]Gold Prices'!B20/'[1]Gold Prices'!B19-1</f>
        <v>2.5406203840472763E-2</v>
      </c>
      <c r="I38" s="182">
        <f t="shared" ref="I38:O53" si="7">I37*(1+B38)</f>
        <v>225.66716689959119</v>
      </c>
      <c r="J38" s="183">
        <f t="shared" si="7"/>
        <v>1133.9168139187025</v>
      </c>
      <c r="K38" s="183">
        <f t="shared" si="7"/>
        <v>119.1796484483593</v>
      </c>
      <c r="L38" s="183">
        <f t="shared" si="7"/>
        <v>178.66717499115143</v>
      </c>
      <c r="M38" s="183">
        <f t="shared" si="7"/>
        <v>313.98003420617658</v>
      </c>
      <c r="N38" s="183">
        <f t="shared" si="7"/>
        <v>125.04056597082599</v>
      </c>
      <c r="O38" s="183">
        <f t="shared" si="7"/>
        <v>168.16860465116278</v>
      </c>
      <c r="P38" s="184">
        <f t="shared" si="0"/>
        <v>0.35441084337349399</v>
      </c>
      <c r="Q38" s="184">
        <f t="shared" si="1"/>
        <v>0.3201666699542568</v>
      </c>
      <c r="R38" s="185">
        <f>DamodaranUS!$C38-DamodaranUS!$B38</f>
        <v>0.58588915662650587</v>
      </c>
      <c r="S38" s="185">
        <f t="shared" si="2"/>
        <v>0.29021218859531517</v>
      </c>
      <c r="T38" s="186"/>
      <c r="U38" s="187">
        <f>'[1]Inflation Rate'!C43</f>
        <v>2.24719E-2</v>
      </c>
      <c r="V38" s="191">
        <f t="shared" si="3"/>
        <v>0.32836006874467061</v>
      </c>
      <c r="W38" s="191">
        <f t="shared" si="3"/>
        <v>0.90137254627731078</v>
      </c>
      <c r="X38" s="191">
        <f t="shared" si="3"/>
        <v>-1.8261528752037015E-2</v>
      </c>
      <c r="Y38" s="191">
        <f t="shared" si="3"/>
        <v>1.5230025802408065E-2</v>
      </c>
      <c r="Z38" s="191">
        <f t="shared" si="3"/>
        <v>4.4526167201444755E-2</v>
      </c>
      <c r="AA38" s="191">
        <f t="shared" si="3"/>
        <v>9.320731915817082E-2</v>
      </c>
      <c r="AB38" s="191">
        <f t="shared" si="3"/>
        <v>2.8698136745595182E-3</v>
      </c>
      <c r="AC38" s="189">
        <f t="shared" ref="AC38:AI53" si="8">AC37*(1+V38)</f>
        <v>214.50778647136624</v>
      </c>
      <c r="AD38" s="193">
        <f t="shared" si="8"/>
        <v>1092.9422367098275</v>
      </c>
      <c r="AE38" s="190">
        <f t="shared" si="8"/>
        <v>113.28614141049623</v>
      </c>
      <c r="AF38" s="190">
        <f t="shared" si="8"/>
        <v>169.83197311772309</v>
      </c>
      <c r="AG38" s="190">
        <f t="shared" si="8"/>
        <v>298.45352808341028</v>
      </c>
      <c r="AH38" s="190">
        <f t="shared" si="8"/>
        <v>118.85723295078643</v>
      </c>
      <c r="AI38" s="190">
        <f t="shared" si="8"/>
        <v>159.85256354882068</v>
      </c>
      <c r="AJ38" s="191">
        <f>DamodaranUS!$V38-DamodaranUS!$X38</f>
        <v>0.34662159749670762</v>
      </c>
      <c r="AK38" s="191">
        <f>DamodaranUS!$V38-DamodaranUS!$Y38</f>
        <v>0.31313004294226254</v>
      </c>
    </row>
    <row r="39" spans="1:37">
      <c r="A39" s="180">
        <v>1946</v>
      </c>
      <c r="B39" s="181">
        <f>('[1]S&amp;P 500 &amp; Raw Data'!B22-'[1]S&amp;P 500 &amp; Raw Data'!B21+'[1]S&amp;P 500 &amp; Raw Data'!C22)/'[1]S&amp;P 500 &amp; Raw Data'!B21</f>
        <v>-8.4291474654377807E-2</v>
      </c>
      <c r="C39" s="181">
        <f>'[1]Small Cap'!B20</f>
        <v>-0.13730000000000001</v>
      </c>
      <c r="D39" s="181">
        <f>'[1]T. Bill rates'!C24</f>
        <v>3.8E-3</v>
      </c>
      <c r="E39" s="181">
        <f>'[1]S&amp;P 500 &amp; Raw Data'!F22</f>
        <v>3.1283745375695685E-2</v>
      </c>
      <c r="F39" s="181">
        <f>'[1]S&amp;P 500 &amp; Raw Data'!J22</f>
        <v>2.5080329773195936E-2</v>
      </c>
      <c r="G39" s="181">
        <f>'[1]Home Prices'!B22/'[1]Home Prices'!B21-1</f>
        <v>0.24101685677580131</v>
      </c>
      <c r="H39" s="181">
        <f>'[1]Gold Prices'!B21/'[1]Gold Prices'!B20-1</f>
        <v>0</v>
      </c>
      <c r="I39" s="182">
        <f t="shared" si="7"/>
        <v>206.64534862054904</v>
      </c>
      <c r="J39" s="183">
        <f t="shared" si="7"/>
        <v>978.23003536766464</v>
      </c>
      <c r="K39" s="183">
        <f t="shared" si="7"/>
        <v>119.63253111246307</v>
      </c>
      <c r="L39" s="183">
        <f t="shared" si="7"/>
        <v>184.25655340056949</v>
      </c>
      <c r="M39" s="183">
        <f t="shared" si="7"/>
        <v>321.85475700626682</v>
      </c>
      <c r="N39" s="183">
        <f t="shared" si="7"/>
        <v>155.17745015058171</v>
      </c>
      <c r="O39" s="183">
        <f t="shared" si="7"/>
        <v>168.16860465116278</v>
      </c>
      <c r="P39" s="184">
        <f t="shared" si="0"/>
        <v>-8.8091474654377805E-2</v>
      </c>
      <c r="Q39" s="184">
        <f t="shared" si="1"/>
        <v>-0.11557522003007349</v>
      </c>
      <c r="R39" s="185">
        <f>DamodaranUS!$C39-DamodaranUS!$B39</f>
        <v>-5.3008525345622198E-2</v>
      </c>
      <c r="S39" s="185">
        <f t="shared" si="2"/>
        <v>-0.10937180442757374</v>
      </c>
      <c r="T39" s="186"/>
      <c r="U39" s="187">
        <f>'[1]Inflation Rate'!C44</f>
        <v>0.1813187</v>
      </c>
      <c r="V39" s="191">
        <f t="shared" si="3"/>
        <v>-0.22484209777969133</v>
      </c>
      <c r="W39" s="191">
        <f t="shared" si="3"/>
        <v>-0.26971443015335317</v>
      </c>
      <c r="X39" s="191">
        <f t="shared" si="3"/>
        <v>-0.15027164134454152</v>
      </c>
      <c r="Y39" s="191">
        <f t="shared" si="3"/>
        <v>-0.12700633167349695</v>
      </c>
      <c r="Z39" s="191">
        <f t="shared" si="3"/>
        <v>-0.13225759503070944</v>
      </c>
      <c r="AA39" s="191">
        <f t="shared" si="3"/>
        <v>5.0535183076168444E-2</v>
      </c>
      <c r="AB39" s="191">
        <f t="shared" si="3"/>
        <v>-0.15348838547971855</v>
      </c>
      <c r="AC39" s="189">
        <f t="shared" si="8"/>
        <v>166.27740577106616</v>
      </c>
      <c r="AD39" s="193">
        <f t="shared" si="8"/>
        <v>798.1599441451051</v>
      </c>
      <c r="AE39" s="190">
        <f t="shared" si="8"/>
        <v>96.262446999151123</v>
      </c>
      <c r="AF39" s="190">
        <f t="shared" si="8"/>
        <v>148.26223721116915</v>
      </c>
      <c r="AG39" s="190">
        <f t="shared" si="8"/>
        <v>258.98078223066813</v>
      </c>
      <c r="AH39" s="190">
        <f t="shared" si="8"/>
        <v>124.86370497788121</v>
      </c>
      <c r="AI39" s="190">
        <f t="shared" si="8"/>
        <v>135.31705165491809</v>
      </c>
      <c r="AJ39" s="191">
        <f>DamodaranUS!$V39-DamodaranUS!$X39</f>
        <v>-7.4570456435149812E-2</v>
      </c>
      <c r="AK39" s="191">
        <f>DamodaranUS!$V39-DamodaranUS!$Y39</f>
        <v>-9.7835766106194377E-2</v>
      </c>
    </row>
    <row r="40" spans="1:37">
      <c r="A40" s="180">
        <v>1947</v>
      </c>
      <c r="B40" s="181">
        <f>('[1]S&amp;P 500 &amp; Raw Data'!B23-'[1]S&amp;P 500 &amp; Raw Data'!B22+'[1]S&amp;P 500 &amp; Raw Data'!C23)/'[1]S&amp;P 500 &amp; Raw Data'!B22</f>
        <v>5.1999999999999998E-2</v>
      </c>
      <c r="C40" s="181">
        <f>'[1]Small Cap'!B21</f>
        <v>-1.7399999999999999E-2</v>
      </c>
      <c r="D40" s="181">
        <f>'[1]T. Bill rates'!C25</f>
        <v>6.0083333333333334E-3</v>
      </c>
      <c r="E40" s="181">
        <f>'[1]S&amp;P 500 &amp; Raw Data'!F23</f>
        <v>9.1969680628322358E-3</v>
      </c>
      <c r="F40" s="181">
        <f>'[1]S&amp;P 500 &amp; Raw Data'!J23</f>
        <v>2.6212022665691934E-3</v>
      </c>
      <c r="G40" s="181">
        <f>'[1]Home Prices'!B23/'[1]Home Prices'!B22-1</f>
        <v>0.2126388104648973</v>
      </c>
      <c r="H40" s="181">
        <f>'[1]Gold Prices'!B22/'[1]Gold Prices'!B21-1</f>
        <v>0</v>
      </c>
      <c r="I40" s="182">
        <f t="shared" si="7"/>
        <v>217.3909067488176</v>
      </c>
      <c r="J40" s="183">
        <f t="shared" si="7"/>
        <v>961.20883275226731</v>
      </c>
      <c r="K40" s="183">
        <f t="shared" si="7"/>
        <v>120.35132323689713</v>
      </c>
      <c r="L40" s="183">
        <f t="shared" si="7"/>
        <v>185.95115503756207</v>
      </c>
      <c r="M40" s="183">
        <f t="shared" si="7"/>
        <v>322.69840342483775</v>
      </c>
      <c r="N40" s="183">
        <f t="shared" si="7"/>
        <v>188.1741985615773</v>
      </c>
      <c r="O40" s="183">
        <f t="shared" si="7"/>
        <v>168.16860465116278</v>
      </c>
      <c r="P40" s="184">
        <f t="shared" si="0"/>
        <v>4.5991666666666667E-2</v>
      </c>
      <c r="Q40" s="184">
        <f t="shared" si="1"/>
        <v>4.2803031937167765E-2</v>
      </c>
      <c r="R40" s="185">
        <f>DamodaranUS!$C40-DamodaranUS!$B40</f>
        <v>-6.9399999999999989E-2</v>
      </c>
      <c r="S40" s="185">
        <f t="shared" si="2"/>
        <v>4.9378797733430804E-2</v>
      </c>
      <c r="T40" s="186"/>
      <c r="U40" s="187">
        <f>'[1]Inflation Rate'!C45</f>
        <v>8.8372100000000009E-2</v>
      </c>
      <c r="V40" s="191">
        <f t="shared" si="3"/>
        <v>-3.3418809614836564E-2</v>
      </c>
      <c r="W40" s="191">
        <f t="shared" si="3"/>
        <v>-9.7183766471044208E-2</v>
      </c>
      <c r="X40" s="191">
        <f t="shared" si="3"/>
        <v>-7.5676109913757061E-2</v>
      </c>
      <c r="Y40" s="191">
        <f t="shared" si="3"/>
        <v>-7.2746381441758379E-2</v>
      </c>
      <c r="Z40" s="191">
        <f t="shared" si="3"/>
        <v>-7.8788217497885782E-2</v>
      </c>
      <c r="AA40" s="191">
        <f t="shared" si="3"/>
        <v>0.11417667768670059</v>
      </c>
      <c r="AB40" s="191">
        <f t="shared" si="3"/>
        <v>-8.1196587086346583E-2</v>
      </c>
      <c r="AC40" s="189">
        <f t="shared" si="8"/>
        <v>160.72061280435398</v>
      </c>
      <c r="AD40" s="193">
        <f t="shared" si="8"/>
        <v>720.5917545267655</v>
      </c>
      <c r="AE40" s="190">
        <f t="shared" si="8"/>
        <v>88.977679479476151</v>
      </c>
      <c r="AF40" s="190">
        <f t="shared" si="8"/>
        <v>137.47669594959697</v>
      </c>
      <c r="AG40" s="190">
        <f t="shared" si="8"/>
        <v>238.57614803250564</v>
      </c>
      <c r="AH40" s="190">
        <f t="shared" si="8"/>
        <v>139.12022797590802</v>
      </c>
      <c r="AI40" s="190">
        <f t="shared" si="8"/>
        <v>124.32976888595188</v>
      </c>
      <c r="AJ40" s="191">
        <f>DamodaranUS!$V40-DamodaranUS!$X40</f>
        <v>4.2257300298920497E-2</v>
      </c>
      <c r="AK40" s="191">
        <f>DamodaranUS!$V40-DamodaranUS!$Y40</f>
        <v>3.9327571826921814E-2</v>
      </c>
    </row>
    <row r="41" spans="1:37">
      <c r="A41" s="180">
        <v>1948</v>
      </c>
      <c r="B41" s="181">
        <f>('[1]S&amp;P 500 &amp; Raw Data'!B24-'[1]S&amp;P 500 &amp; Raw Data'!B23+'[1]S&amp;P 500 &amp; Raw Data'!C24)/'[1]S&amp;P 500 &amp; Raw Data'!B23</f>
        <v>5.7045751633986834E-2</v>
      </c>
      <c r="C41" s="181">
        <f>'[1]Small Cap'!B22</f>
        <v>-1E-4</v>
      </c>
      <c r="D41" s="181">
        <f>'[1]T. Bill rates'!C26</f>
        <v>1.0449999999999999E-2</v>
      </c>
      <c r="E41" s="181">
        <f>'[1]S&amp;P 500 &amp; Raw Data'!F24</f>
        <v>1.9510369413175046E-2</v>
      </c>
      <c r="F41" s="181">
        <f>'[1]S&amp;P 500 &amp; Raw Data'!J24</f>
        <v>3.4369595605103213E-2</v>
      </c>
      <c r="G41" s="181">
        <f>'[1]Home Prices'!B24/'[1]Home Prices'!B23-1</f>
        <v>2.0585153855108507E-2</v>
      </c>
      <c r="H41" s="181">
        <f>'[1]Gold Prices'!B23/'[1]Gold Prices'!B22-1</f>
        <v>0</v>
      </c>
      <c r="I41" s="182">
        <f t="shared" si="7"/>
        <v>229.79213442269784</v>
      </c>
      <c r="J41" s="183">
        <f t="shared" si="7"/>
        <v>961.11271186899205</v>
      </c>
      <c r="K41" s="183">
        <f t="shared" si="7"/>
        <v>121.60899456472271</v>
      </c>
      <c r="L41" s="183">
        <f t="shared" si="7"/>
        <v>189.57913076515149</v>
      </c>
      <c r="M41" s="183">
        <f t="shared" si="7"/>
        <v>333.78941705296182</v>
      </c>
      <c r="N41" s="183">
        <f t="shared" si="7"/>
        <v>192.04779339052911</v>
      </c>
      <c r="O41" s="183">
        <f t="shared" si="7"/>
        <v>168.16860465116278</v>
      </c>
      <c r="P41" s="184">
        <f t="shared" si="0"/>
        <v>4.6595751633986833E-2</v>
      </c>
      <c r="Q41" s="184">
        <f t="shared" si="1"/>
        <v>3.7535382220811792E-2</v>
      </c>
      <c r="R41" s="185">
        <f>DamodaranUS!$C41-DamodaranUS!$B41</f>
        <v>-5.7145751633986837E-2</v>
      </c>
      <c r="S41" s="185">
        <f t="shared" si="2"/>
        <v>2.2676156028883621E-2</v>
      </c>
      <c r="T41" s="186"/>
      <c r="U41" s="187">
        <f>'[1]Inflation Rate'!C46</f>
        <v>2.99145E-2</v>
      </c>
      <c r="V41" s="191">
        <f t="shared" si="3"/>
        <v>2.6343207745872954E-2</v>
      </c>
      <c r="W41" s="191">
        <f t="shared" si="3"/>
        <v>-2.9142710390037241E-2</v>
      </c>
      <c r="X41" s="191">
        <f t="shared" si="3"/>
        <v>-1.889914162777584E-2</v>
      </c>
      <c r="Y41" s="191">
        <f t="shared" si="3"/>
        <v>-1.0101936215894614E-2</v>
      </c>
      <c r="Z41" s="191">
        <f t="shared" si="3"/>
        <v>4.3256946135850072E-3</v>
      </c>
      <c r="AA41" s="191">
        <f t="shared" si="3"/>
        <v>-9.0583695490175087E-3</v>
      </c>
      <c r="AB41" s="191">
        <f t="shared" si="3"/>
        <v>-2.9045614951532461E-2</v>
      </c>
      <c r="AC41" s="189">
        <f t="shared" si="8"/>
        <v>164.95450929650309</v>
      </c>
      <c r="AD41" s="193">
        <f t="shared" si="8"/>
        <v>699.59175771514322</v>
      </c>
      <c r="AE41" s="190">
        <f t="shared" si="8"/>
        <v>87.296077713282685</v>
      </c>
      <c r="AF41" s="190">
        <f t="shared" si="8"/>
        <v>136.08791513594221</v>
      </c>
      <c r="AG41" s="190">
        <f t="shared" si="8"/>
        <v>239.60815559097972</v>
      </c>
      <c r="AH41" s="190">
        <f t="shared" si="8"/>
        <v>137.86002553915867</v>
      </c>
      <c r="AI41" s="190">
        <f t="shared" si="8"/>
        <v>120.7185342918775</v>
      </c>
      <c r="AJ41" s="191">
        <f>DamodaranUS!$V41-DamodaranUS!$X41</f>
        <v>4.5242349373648794E-2</v>
      </c>
      <c r="AK41" s="191">
        <f>DamodaranUS!$V41-DamodaranUS!$Y41</f>
        <v>3.6445143961767568E-2</v>
      </c>
    </row>
    <row r="42" spans="1:37">
      <c r="A42" s="180">
        <v>1949</v>
      </c>
      <c r="B42" s="181">
        <f>('[1]S&amp;P 500 &amp; Raw Data'!B25-'[1]S&amp;P 500 &amp; Raw Data'!B24+'[1]S&amp;P 500 &amp; Raw Data'!C25)/'[1]S&amp;P 500 &amp; Raw Data'!B24</f>
        <v>0.18303223684210526</v>
      </c>
      <c r="C42" s="181">
        <f>'[1]Small Cap'!B23</f>
        <v>0.27600000000000002</v>
      </c>
      <c r="D42" s="181">
        <f>'[1]T. Bill rates'!C27</f>
        <v>1.115E-2</v>
      </c>
      <c r="E42" s="181">
        <f>'[1]S&amp;P 500 &amp; Raw Data'!F25</f>
        <v>4.6634851827973139E-2</v>
      </c>
      <c r="F42" s="181">
        <f>'[1]S&amp;P 500 &amp; Raw Data'!J25</f>
        <v>5.3773011179658936E-2</v>
      </c>
      <c r="G42" s="181">
        <f>'[1]Home Prices'!B25/'[1]Home Prices'!B24-1</f>
        <v>8.9348516244314169E-4</v>
      </c>
      <c r="H42" s="181">
        <f>'[1]Gold Prices'!B24/'[1]Gold Prices'!B23-1</f>
        <v>-8.7006626332469028E-2</v>
      </c>
      <c r="I42" s="182">
        <f t="shared" si="7"/>
        <v>271.85150279480598</v>
      </c>
      <c r="J42" s="183">
        <f t="shared" si="7"/>
        <v>1226.3798203448339</v>
      </c>
      <c r="K42" s="183">
        <f t="shared" si="7"/>
        <v>122.96493485411936</v>
      </c>
      <c r="L42" s="183">
        <f t="shared" si="7"/>
        <v>198.42012543806027</v>
      </c>
      <c r="M42" s="183">
        <f t="shared" si="7"/>
        <v>351.73827910780261</v>
      </c>
      <c r="N42" s="183">
        <f t="shared" si="7"/>
        <v>192.2193852444035</v>
      </c>
      <c r="O42" s="183">
        <f t="shared" si="7"/>
        <v>153.53682170542635</v>
      </c>
      <c r="P42" s="184">
        <f t="shared" si="0"/>
        <v>0.17188223684210527</v>
      </c>
      <c r="Q42" s="184">
        <f t="shared" si="1"/>
        <v>0.13639738501413212</v>
      </c>
      <c r="R42" s="185">
        <f>DamodaranUS!$C42-DamodaranUS!$B42</f>
        <v>9.2967763157894762E-2</v>
      </c>
      <c r="S42" s="185">
        <f t="shared" si="2"/>
        <v>0.12925922566244633</v>
      </c>
      <c r="T42" s="186"/>
      <c r="U42" s="187">
        <f>'[1]Inflation Rate'!C47</f>
        <v>-2.0746899999999999E-2</v>
      </c>
      <c r="V42" s="191">
        <f t="shared" si="3"/>
        <v>0.20809649399333563</v>
      </c>
      <c r="W42" s="191">
        <f t="shared" si="3"/>
        <v>0.30303391431694227</v>
      </c>
      <c r="X42" s="191">
        <f t="shared" si="3"/>
        <v>3.2572682179918599E-2</v>
      </c>
      <c r="Y42" s="191">
        <f t="shared" si="3"/>
        <v>6.8809332161392289E-2</v>
      </c>
      <c r="Z42" s="191">
        <f t="shared" si="3"/>
        <v>7.6098723792305645E-2</v>
      </c>
      <c r="AA42" s="191">
        <f t="shared" si="3"/>
        <v>2.209886817048945E-2</v>
      </c>
      <c r="AB42" s="191">
        <f t="shared" si="3"/>
        <v>-6.7663534925208824E-2</v>
      </c>
      <c r="AC42" s="189">
        <f t="shared" si="8"/>
        <v>199.28096434949649</v>
      </c>
      <c r="AD42" s="193">
        <f t="shared" si="8"/>
        <v>911.59178647943293</v>
      </c>
      <c r="AE42" s="190">
        <f t="shared" si="8"/>
        <v>90.139545108190916</v>
      </c>
      <c r="AF42" s="190">
        <f t="shared" si="8"/>
        <v>145.45203369168263</v>
      </c>
      <c r="AG42" s="190">
        <f t="shared" si="8"/>
        <v>257.84203044168146</v>
      </c>
      <c r="AH42" s="190">
        <f t="shared" si="8"/>
        <v>140.90657606952885</v>
      </c>
      <c r="AI42" s="190">
        <f t="shared" si="8"/>
        <v>112.55029153069903</v>
      </c>
      <c r="AJ42" s="191">
        <f>DamodaranUS!$V42-DamodaranUS!$X42</f>
        <v>0.17552381181341703</v>
      </c>
      <c r="AK42" s="191">
        <f>DamodaranUS!$V42-DamodaranUS!$Y42</f>
        <v>0.13928716183194334</v>
      </c>
    </row>
    <row r="43" spans="1:37">
      <c r="A43" s="180">
        <v>1950</v>
      </c>
      <c r="B43" s="181">
        <f>('[1]S&amp;P 500 &amp; Raw Data'!B26-'[1]S&amp;P 500 &amp; Raw Data'!B25+'[1]S&amp;P 500 &amp; Raw Data'!C26)/'[1]S&amp;P 500 &amp; Raw Data'!B25</f>
        <v>0.30805539011316263</v>
      </c>
      <c r="C43" s="181">
        <f>'[1]Small Cap'!B24</f>
        <v>0.52810000000000001</v>
      </c>
      <c r="D43" s="181">
        <f>'[1]T. Bill rates'!C28</f>
        <v>1.2033333333333333E-2</v>
      </c>
      <c r="E43" s="181">
        <f>'[1]S&amp;P 500 &amp; Raw Data'!F26</f>
        <v>4.2959574171096103E-3</v>
      </c>
      <c r="F43" s="181">
        <f>'[1]S&amp;P 500 &amp; Raw Data'!J26</f>
        <v>4.2388173056720914E-2</v>
      </c>
      <c r="G43" s="181">
        <f>'[1]Home Prices'!B26/'[1]Home Prices'!B25-1</f>
        <v>3.6403925292814332E-2</v>
      </c>
      <c r="H43" s="181">
        <f>'[1]Gold Prices'!B25/'[1]Gold Prices'!B24-1</f>
        <v>9.5613758283370043E-2</v>
      </c>
      <c r="I43" s="182">
        <f t="shared" si="7"/>
        <v>355.59682354110947</v>
      </c>
      <c r="J43" s="183">
        <f t="shared" si="7"/>
        <v>1874.0310034689408</v>
      </c>
      <c r="K43" s="183">
        <f t="shared" si="7"/>
        <v>124.4446129035306</v>
      </c>
      <c r="L43" s="183">
        <f t="shared" si="7"/>
        <v>199.2725298476397</v>
      </c>
      <c r="M43" s="183">
        <f t="shared" si="7"/>
        <v>366.64782215329734</v>
      </c>
      <c r="N43" s="183">
        <f t="shared" si="7"/>
        <v>199.21692538467147</v>
      </c>
      <c r="O43" s="183">
        <f t="shared" si="7"/>
        <v>168.21705426356587</v>
      </c>
      <c r="P43" s="184">
        <f t="shared" si="0"/>
        <v>0.29602205677982929</v>
      </c>
      <c r="Q43" s="184">
        <f t="shared" si="1"/>
        <v>0.30375943269605304</v>
      </c>
      <c r="R43" s="185">
        <f>DamodaranUS!$C43-DamodaranUS!$B43</f>
        <v>0.22004460988683738</v>
      </c>
      <c r="S43" s="185">
        <f t="shared" si="2"/>
        <v>0.2656672170564417</v>
      </c>
      <c r="T43" s="186"/>
      <c r="U43" s="187">
        <f>'[1]Inflation Rate'!C48</f>
        <v>5.9322E-2</v>
      </c>
      <c r="V43" s="191">
        <f t="shared" si="3"/>
        <v>0.23480432778056382</v>
      </c>
      <c r="W43" s="191">
        <f t="shared" si="3"/>
        <v>0.44252644616084624</v>
      </c>
      <c r="X43" s="191">
        <f t="shared" si="3"/>
        <v>-4.4640502761829515E-2</v>
      </c>
      <c r="Y43" s="191">
        <f t="shared" si="3"/>
        <v>-5.1944585860475456E-2</v>
      </c>
      <c r="Z43" s="191">
        <f t="shared" si="3"/>
        <v>-1.5985533145992714E-2</v>
      </c>
      <c r="AA43" s="191">
        <f t="shared" si="3"/>
        <v>-2.163466321589258E-2</v>
      </c>
      <c r="AB43" s="191">
        <f t="shared" si="3"/>
        <v>3.4259420915802696E-2</v>
      </c>
      <c r="AC43" s="189">
        <f t="shared" si="8"/>
        <v>246.07299722304251</v>
      </c>
      <c r="AD43" s="193">
        <f t="shared" si="8"/>
        <v>1314.9952600995935</v>
      </c>
      <c r="AE43" s="190">
        <f t="shared" si="8"/>
        <v>86.115670495838657</v>
      </c>
      <c r="AF43" s="190">
        <f t="shared" si="8"/>
        <v>137.89658803900426</v>
      </c>
      <c r="AG43" s="190">
        <f t="shared" si="8"/>
        <v>253.7202881176259</v>
      </c>
      <c r="AH43" s="190">
        <f t="shared" si="8"/>
        <v>137.85810975136005</v>
      </c>
      <c r="AI43" s="190">
        <f t="shared" si="8"/>
        <v>116.40619934244555</v>
      </c>
      <c r="AJ43" s="191">
        <f>DamodaranUS!$V43-DamodaranUS!$X43</f>
        <v>0.27944483054239333</v>
      </c>
      <c r="AK43" s="191">
        <f>DamodaranUS!$V43-DamodaranUS!$Y43</f>
        <v>0.28674891364103927</v>
      </c>
    </row>
    <row r="44" spans="1:37">
      <c r="A44" s="180">
        <v>1951</v>
      </c>
      <c r="B44" s="181">
        <f>('[1]S&amp;P 500 &amp; Raw Data'!B27-'[1]S&amp;P 500 &amp; Raw Data'!B26+'[1]S&amp;P 500 &amp; Raw Data'!C27)/'[1]S&amp;P 500 &amp; Raw Data'!B26</f>
        <v>0.23678463044542339</v>
      </c>
      <c r="C44" s="181">
        <f>'[1]Small Cap'!B25</f>
        <v>3.8699999999999998E-2</v>
      </c>
      <c r="D44" s="181">
        <f>'[1]T. Bill rates'!C29</f>
        <v>1.5175000000000001E-2</v>
      </c>
      <c r="E44" s="181">
        <f>'[1]S&amp;P 500 &amp; Raw Data'!F27</f>
        <v>-2.9531392208319886E-3</v>
      </c>
      <c r="F44" s="181">
        <f>'[1]S&amp;P 500 &amp; Raw Data'!J27</f>
        <v>-1.9098091301369691E-3</v>
      </c>
      <c r="G44" s="181">
        <f>'[1]Home Prices'!B27/'[1]Home Prices'!B26-1</f>
        <v>6.0476481368356705E-2</v>
      </c>
      <c r="H44" s="181">
        <f>'[1]Gold Prices'!B26/'[1]Gold Prices'!B25-1</f>
        <v>0</v>
      </c>
      <c r="I44" s="182">
        <f t="shared" si="7"/>
        <v>439.7966859908575</v>
      </c>
      <c r="J44" s="183">
        <f t="shared" si="7"/>
        <v>1946.5560033031886</v>
      </c>
      <c r="K44" s="183">
        <f t="shared" si="7"/>
        <v>126.33305990434167</v>
      </c>
      <c r="L44" s="183">
        <f t="shared" si="7"/>
        <v>198.68405032411223</v>
      </c>
      <c r="M44" s="183">
        <f t="shared" si="7"/>
        <v>365.94759479500414</v>
      </c>
      <c r="N44" s="183">
        <f t="shared" si="7"/>
        <v>211.26486406095887</v>
      </c>
      <c r="O44" s="183">
        <f t="shared" si="7"/>
        <v>168.21705426356587</v>
      </c>
      <c r="P44" s="184">
        <f t="shared" si="0"/>
        <v>0.22160963044542339</v>
      </c>
      <c r="Q44" s="184">
        <f t="shared" si="1"/>
        <v>0.23973776966625537</v>
      </c>
      <c r="R44" s="185">
        <f>DamodaranUS!$C44-DamodaranUS!$B44</f>
        <v>-0.1980846304454234</v>
      </c>
      <c r="S44" s="185">
        <f t="shared" si="2"/>
        <v>0.23869443957556036</v>
      </c>
      <c r="T44" s="186"/>
      <c r="U44" s="187">
        <f>'[1]Inflation Rate'!C49</f>
        <v>0.06</v>
      </c>
      <c r="V44" s="191">
        <f t="shared" si="3"/>
        <v>0.16677795325039924</v>
      </c>
      <c r="W44" s="191">
        <f t="shared" si="3"/>
        <v>-2.0094339622641622E-2</v>
      </c>
      <c r="X44" s="191">
        <f t="shared" si="3"/>
        <v>-4.2287735849056762E-2</v>
      </c>
      <c r="Y44" s="191">
        <f t="shared" si="3"/>
        <v>-5.9389753981917037E-2</v>
      </c>
      <c r="Z44" s="191">
        <f t="shared" si="3"/>
        <v>-5.8405480311449987E-2</v>
      </c>
      <c r="AA44" s="191">
        <f t="shared" si="3"/>
        <v>4.4951072486476562E-4</v>
      </c>
      <c r="AB44" s="191">
        <f t="shared" si="3"/>
        <v>-5.6603773584905759E-2</v>
      </c>
      <c r="AC44" s="189">
        <f t="shared" si="8"/>
        <v>287.1125480500927</v>
      </c>
      <c r="AD44" s="193">
        <f t="shared" si="8"/>
        <v>1288.5712987409884</v>
      </c>
      <c r="AE44" s="190">
        <f t="shared" si="8"/>
        <v>82.474033769446223</v>
      </c>
      <c r="AF44" s="190">
        <f t="shared" si="8"/>
        <v>129.70694360042202</v>
      </c>
      <c r="AG44" s="190">
        <f t="shared" si="8"/>
        <v>238.90163282535647</v>
      </c>
      <c r="AH44" s="190">
        <f t="shared" si="8"/>
        <v>137.92007845020288</v>
      </c>
      <c r="AI44" s="190">
        <f t="shared" si="8"/>
        <v>109.81716919098635</v>
      </c>
      <c r="AJ44" s="191">
        <f>DamodaranUS!$V44-DamodaranUS!$X44</f>
        <v>0.209065689099456</v>
      </c>
      <c r="AK44" s="191">
        <f>DamodaranUS!$V44-DamodaranUS!$Y44</f>
        <v>0.22616770723231627</v>
      </c>
    </row>
    <row r="45" spans="1:37">
      <c r="A45" s="180">
        <v>1952</v>
      </c>
      <c r="B45" s="181">
        <f>('[1]S&amp;P 500 &amp; Raw Data'!B28-'[1]S&amp;P 500 &amp; Raw Data'!B27+'[1]S&amp;P 500 &amp; Raw Data'!C28)/'[1]S&amp;P 500 &amp; Raw Data'!B27</f>
        <v>0.18150988641144306</v>
      </c>
      <c r="C45" s="181">
        <f>'[1]Small Cap'!B26</f>
        <v>1.0200000000000001E-2</v>
      </c>
      <c r="D45" s="181">
        <f>'[1]T. Bill rates'!C30</f>
        <v>1.7225000000000001E-2</v>
      </c>
      <c r="E45" s="181">
        <f>'[1]S&amp;P 500 &amp; Raw Data'!F28</f>
        <v>2.2679961918305656E-2</v>
      </c>
      <c r="F45" s="181">
        <f>'[1]S&amp;P 500 &amp; Raw Data'!J28</f>
        <v>4.4412415047400768E-2</v>
      </c>
      <c r="G45" s="181">
        <f>'[1]Home Prices'!B28/'[1]Home Prices'!B27-1</f>
        <v>4.4066820276497776E-2</v>
      </c>
      <c r="H45" s="181">
        <f>'[1]Gold Prices'!B27/'[1]Gold Prices'!B26-1</f>
        <v>-3.4562211981565838E-3</v>
      </c>
      <c r="I45" s="182">
        <f t="shared" si="7"/>
        <v>519.62413250918712</v>
      </c>
      <c r="J45" s="183">
        <f t="shared" si="7"/>
        <v>1966.410874536881</v>
      </c>
      <c r="K45" s="183">
        <f t="shared" si="7"/>
        <v>128.50914686119395</v>
      </c>
      <c r="L45" s="183">
        <f t="shared" si="7"/>
        <v>203.19019701923781</v>
      </c>
      <c r="M45" s="183">
        <f t="shared" si="7"/>
        <v>382.2002112606379</v>
      </c>
      <c r="N45" s="183">
        <f t="shared" si="7"/>
        <v>220.57463485627187</v>
      </c>
      <c r="O45" s="183">
        <f t="shared" si="7"/>
        <v>167.63565891472868</v>
      </c>
      <c r="P45" s="184">
        <f t="shared" si="0"/>
        <v>0.16428488641144307</v>
      </c>
      <c r="Q45" s="184">
        <f t="shared" si="1"/>
        <v>0.1588299244931374</v>
      </c>
      <c r="R45" s="185">
        <f>DamodaranUS!$C45-DamodaranUS!$B45</f>
        <v>-0.17130988641144307</v>
      </c>
      <c r="S45" s="185">
        <f t="shared" si="2"/>
        <v>0.13709747136404229</v>
      </c>
      <c r="T45" s="186"/>
      <c r="U45" s="187">
        <f>'[1]Inflation Rate'!C50</f>
        <v>7.5471999999999996E-3</v>
      </c>
      <c r="V45" s="191">
        <f t="shared" si="3"/>
        <v>0.17265958995414099</v>
      </c>
      <c r="W45" s="191">
        <f t="shared" si="3"/>
        <v>2.6329287600619367E-3</v>
      </c>
      <c r="X45" s="191">
        <f t="shared" si="3"/>
        <v>9.6053068283052934E-3</v>
      </c>
      <c r="Y45" s="191">
        <f t="shared" si="3"/>
        <v>1.5019407446425825E-2</v>
      </c>
      <c r="Z45" s="191">
        <f t="shared" si="3"/>
        <v>3.6589070018159697E-2</v>
      </c>
      <c r="AA45" s="191">
        <f t="shared" si="3"/>
        <v>3.6246063982409593E-2</v>
      </c>
      <c r="AB45" s="191">
        <f t="shared" si="3"/>
        <v>-1.0920998240237956E-2</v>
      </c>
      <c r="AC45" s="189">
        <f t="shared" si="8"/>
        <v>336.68528286711029</v>
      </c>
      <c r="AD45" s="193">
        <f t="shared" si="8"/>
        <v>1291.9640151728338</v>
      </c>
      <c r="AE45" s="190">
        <f t="shared" si="8"/>
        <v>83.266222169169765</v>
      </c>
      <c r="AF45" s="190">
        <f t="shared" si="8"/>
        <v>131.65506503498733</v>
      </c>
      <c r="AG45" s="190">
        <f t="shared" si="8"/>
        <v>247.64282139625612</v>
      </c>
      <c r="AH45" s="190">
        <f t="shared" si="8"/>
        <v>142.91913843816789</v>
      </c>
      <c r="AI45" s="190">
        <f t="shared" si="8"/>
        <v>108.61785607950367</v>
      </c>
      <c r="AJ45" s="191">
        <f>DamodaranUS!$V45-DamodaranUS!$X45</f>
        <v>0.1630542831258357</v>
      </c>
      <c r="AK45" s="191">
        <f>DamodaranUS!$V45-DamodaranUS!$Y45</f>
        <v>0.15764018250771517</v>
      </c>
    </row>
    <row r="46" spans="1:37">
      <c r="A46" s="180">
        <v>1953</v>
      </c>
      <c r="B46" s="181">
        <f>('[1]S&amp;P 500 &amp; Raw Data'!B29-'[1]S&amp;P 500 &amp; Raw Data'!B28+'[1]S&amp;P 500 &amp; Raw Data'!C29)/'[1]S&amp;P 500 &amp; Raw Data'!B28</f>
        <v>-1.2082047421904465E-2</v>
      </c>
      <c r="C46" s="181">
        <f>'[1]Small Cap'!B27</f>
        <v>-5.9699999999999996E-2</v>
      </c>
      <c r="D46" s="181">
        <f>'[1]T. Bill rates'!C31</f>
        <v>1.8908333333333333E-2</v>
      </c>
      <c r="E46" s="181">
        <f>'[1]S&amp;P 500 &amp; Raw Data'!F29</f>
        <v>4.1438402589088513E-2</v>
      </c>
      <c r="F46" s="181">
        <f>'[1]S&amp;P 500 &amp; Raw Data'!J29</f>
        <v>1.6201123818443276E-2</v>
      </c>
      <c r="G46" s="181">
        <f>'[1]Home Prices'!B29/'[1]Home Prices'!B28-1</f>
        <v>0.11516568544995809</v>
      </c>
      <c r="H46" s="181">
        <f>'[1]Gold Prices'!B28/'[1]Gold Prices'!B27-1</f>
        <v>6.9364161849712058E-3</v>
      </c>
      <c r="I46" s="182">
        <f t="shared" si="7"/>
        <v>513.34600909864514</v>
      </c>
      <c r="J46" s="183">
        <f t="shared" si="7"/>
        <v>1849.0161453270293</v>
      </c>
      <c r="K46" s="183">
        <f t="shared" si="7"/>
        <v>130.93904064642769</v>
      </c>
      <c r="L46" s="183">
        <f t="shared" si="7"/>
        <v>211.61007420547722</v>
      </c>
      <c r="M46" s="183">
        <f t="shared" si="7"/>
        <v>388.39228420670662</v>
      </c>
      <c r="N46" s="183">
        <f t="shared" si="7"/>
        <v>245.97726387236864</v>
      </c>
      <c r="O46" s="183">
        <f t="shared" si="7"/>
        <v>168.79844961240312</v>
      </c>
      <c r="P46" s="184">
        <f t="shared" si="0"/>
        <v>-3.0990380755237797E-2</v>
      </c>
      <c r="Q46" s="184">
        <f t="shared" si="1"/>
        <v>-5.3520450010992981E-2</v>
      </c>
      <c r="R46" s="185">
        <f>DamodaranUS!$C46-DamodaranUS!$B46</f>
        <v>-4.7617952578095535E-2</v>
      </c>
      <c r="S46" s="185">
        <f t="shared" si="2"/>
        <v>-2.8283171240347741E-2</v>
      </c>
      <c r="T46" s="186"/>
      <c r="U46" s="187">
        <f>'[1]Inflation Rate'!C51</f>
        <v>7.4905999999999992E-3</v>
      </c>
      <c r="V46" s="191">
        <f t="shared" si="3"/>
        <v>-1.942712658748813E-2</v>
      </c>
      <c r="W46" s="191">
        <f t="shared" si="3"/>
        <v>-6.6691044065324112E-2</v>
      </c>
      <c r="X46" s="191">
        <f t="shared" si="3"/>
        <v>1.1332843535545978E-2</v>
      </c>
      <c r="Y46" s="191">
        <f t="shared" si="3"/>
        <v>3.3695403797403767E-2</v>
      </c>
      <c r="Z46" s="191">
        <f t="shared" si="3"/>
        <v>8.6457618745459097E-3</v>
      </c>
      <c r="AA46" s="191">
        <f t="shared" si="3"/>
        <v>0.10687453108739486</v>
      </c>
      <c r="AB46" s="191">
        <f t="shared" si="3"/>
        <v>-5.5006350930586478E-4</v>
      </c>
      <c r="AC46" s="189">
        <f t="shared" si="8"/>
        <v>330.14445525670669</v>
      </c>
      <c r="AD46" s="193">
        <f t="shared" si="8"/>
        <v>1205.8015861061292</v>
      </c>
      <c r="AE46" s="190">
        <f t="shared" si="8"/>
        <v>84.20986523680898</v>
      </c>
      <c r="AF46" s="190">
        <f t="shared" si="8"/>
        <v>136.09123561331469</v>
      </c>
      <c r="AG46" s="190">
        <f t="shared" si="8"/>
        <v>249.78388225998887</v>
      </c>
      <c r="AH46" s="190">
        <f t="shared" si="8"/>
        <v>158.19355434216155</v>
      </c>
      <c r="AI46" s="190">
        <f t="shared" si="8"/>
        <v>108.5581093604153</v>
      </c>
      <c r="AJ46" s="191">
        <f>DamodaranUS!$V46-DamodaranUS!$X46</f>
        <v>-3.0759970123034108E-2</v>
      </c>
      <c r="AK46" s="191">
        <f>DamodaranUS!$V46-DamodaranUS!$Y46</f>
        <v>-5.3122530384891897E-2</v>
      </c>
    </row>
    <row r="47" spans="1:37">
      <c r="A47" s="180">
        <v>1954</v>
      </c>
      <c r="B47" s="181">
        <f>('[1]S&amp;P 500 &amp; Raw Data'!B30-'[1]S&amp;P 500 &amp; Raw Data'!B29+'[1]S&amp;P 500 &amp; Raw Data'!C30)/'[1]S&amp;P 500 &amp; Raw Data'!B29</f>
        <v>0.52563321241434902</v>
      </c>
      <c r="C47" s="181">
        <f>'[1]Small Cap'!B28</f>
        <v>0.64969999999999994</v>
      </c>
      <c r="D47" s="181">
        <f>'[1]T. Bill rates'!C32</f>
        <v>9.3752000000000002E-3</v>
      </c>
      <c r="E47" s="181">
        <f>'[1]S&amp;P 500 &amp; Raw Data'!F30</f>
        <v>3.2898034558095555E-2</v>
      </c>
      <c r="F47" s="181">
        <f>'[1]S&amp;P 500 &amp; Raw Data'!J30</f>
        <v>6.1579051817707856E-2</v>
      </c>
      <c r="G47" s="181">
        <f>'[1]Home Prices'!B30/'[1]Home Prices'!B29-1</f>
        <v>9.2272202998846531E-3</v>
      </c>
      <c r="H47" s="181">
        <f>'[1]Gold Prices'!B29/'[1]Gold Prices'!B28-1</f>
        <v>5.7405281285876075E-3</v>
      </c>
      <c r="I47" s="182">
        <f t="shared" si="7"/>
        <v>783.17772094125166</v>
      </c>
      <c r="J47" s="183">
        <f t="shared" si="7"/>
        <v>3050.3219349460001</v>
      </c>
      <c r="K47" s="183">
        <f t="shared" si="7"/>
        <v>132.16662034029608</v>
      </c>
      <c r="L47" s="183">
        <f t="shared" si="7"/>
        <v>218.57162973953018</v>
      </c>
      <c r="M47" s="183">
        <f t="shared" si="7"/>
        <v>412.30911280146938</v>
      </c>
      <c r="N47" s="183">
        <f t="shared" si="7"/>
        <v>248.24695027488184</v>
      </c>
      <c r="O47" s="183">
        <f t="shared" si="7"/>
        <v>169.76744186046508</v>
      </c>
      <c r="P47" s="184">
        <f t="shared" si="0"/>
        <v>0.51625801241434899</v>
      </c>
      <c r="Q47" s="184">
        <f t="shared" si="1"/>
        <v>0.49273517785625348</v>
      </c>
      <c r="R47" s="185">
        <f>DamodaranUS!$C47-DamodaranUS!$B47</f>
        <v>0.12406678758565093</v>
      </c>
      <c r="S47" s="185">
        <f t="shared" si="2"/>
        <v>0.46405416059664117</v>
      </c>
      <c r="T47" s="186"/>
      <c r="U47" s="187">
        <f>'[1]Inflation Rate'!C52</f>
        <v>-7.4348999999999995E-3</v>
      </c>
      <c r="V47" s="191">
        <f t="shared" si="3"/>
        <v>0.53706110804656437</v>
      </c>
      <c r="W47" s="191">
        <f t="shared" si="3"/>
        <v>0.66205722929407851</v>
      </c>
      <c r="X47" s="191">
        <f t="shared" si="3"/>
        <v>1.6936017597233732E-2</v>
      </c>
      <c r="Y47" s="191">
        <f t="shared" si="3"/>
        <v>4.063505210700602E-2</v>
      </c>
      <c r="Z47" s="191">
        <f t="shared" si="3"/>
        <v>6.9530907159347066E-2</v>
      </c>
      <c r="AA47" s="191">
        <f t="shared" si="3"/>
        <v>1.6786929441589882E-2</v>
      </c>
      <c r="AB47" s="191">
        <f t="shared" si="3"/>
        <v>1.3274119882501934E-2</v>
      </c>
      <c r="AC47" s="189">
        <f t="shared" si="8"/>
        <v>507.45220221230301</v>
      </c>
      <c r="AD47" s="193">
        <f t="shared" si="8"/>
        <v>2004.1112432819584</v>
      </c>
      <c r="AE47" s="190">
        <f t="shared" si="8"/>
        <v>85.636044996320251</v>
      </c>
      <c r="AF47" s="190">
        <f t="shared" si="8"/>
        <v>141.62131006376856</v>
      </c>
      <c r="AG47" s="190">
        <f t="shared" si="8"/>
        <v>267.15158218730943</v>
      </c>
      <c r="AH47" s="190">
        <f t="shared" si="8"/>
        <v>160.84913837701774</v>
      </c>
      <c r="AI47" s="190">
        <f t="shared" si="8"/>
        <v>109.9991227182832</v>
      </c>
      <c r="AJ47" s="191">
        <f>DamodaranUS!$V47-DamodaranUS!$X47</f>
        <v>0.52012509044933064</v>
      </c>
      <c r="AK47" s="191">
        <f>DamodaranUS!$V47-DamodaranUS!$Y47</f>
        <v>0.49642605593955835</v>
      </c>
    </row>
    <row r="48" spans="1:37">
      <c r="A48" s="180">
        <v>1955</v>
      </c>
      <c r="B48" s="181">
        <f>('[1]S&amp;P 500 &amp; Raw Data'!B31-'[1]S&amp;P 500 &amp; Raw Data'!B30+'[1]S&amp;P 500 &amp; Raw Data'!C31)/'[1]S&amp;P 500 &amp; Raw Data'!B30</f>
        <v>0.32597331851028349</v>
      </c>
      <c r="C48" s="181">
        <f>'[1]Small Cap'!B29</f>
        <v>0.26719999999999999</v>
      </c>
      <c r="D48" s="181">
        <f>'[1]T. Bill rates'!C33</f>
        <v>1.7243426294820716E-2</v>
      </c>
      <c r="E48" s="181">
        <f>'[1]S&amp;P 500 &amp; Raw Data'!F31</f>
        <v>-1.3364391288618781E-2</v>
      </c>
      <c r="F48" s="181">
        <f>'[1]S&amp;P 500 &amp; Raw Data'!J31</f>
        <v>2.044690004344954E-2</v>
      </c>
      <c r="G48" s="181">
        <f>'[1]Home Prices'!B31/'[1]Home Prices'!B30-1</f>
        <v>0</v>
      </c>
      <c r="H48" s="181">
        <f>'[1]Gold Prices'!B30/'[1]Gold Prices'!B29-1</f>
        <v>-2.8538812785383616E-4</v>
      </c>
      <c r="I48" s="182">
        <f t="shared" si="7"/>
        <v>1038.4727616197922</v>
      </c>
      <c r="J48" s="183">
        <f t="shared" si="7"/>
        <v>3865.3679559635707</v>
      </c>
      <c r="K48" s="183">
        <f t="shared" si="7"/>
        <v>134.44562571676951</v>
      </c>
      <c r="L48" s="183">
        <f t="shared" si="7"/>
        <v>215.65055295509998</v>
      </c>
      <c r="M48" s="183">
        <f t="shared" si="7"/>
        <v>420.73955601792437</v>
      </c>
      <c r="N48" s="183">
        <f t="shared" si="7"/>
        <v>248.24695027488184</v>
      </c>
      <c r="O48" s="183">
        <f t="shared" si="7"/>
        <v>169.71899224806199</v>
      </c>
      <c r="P48" s="184">
        <f t="shared" si="0"/>
        <v>0.30872989221546276</v>
      </c>
      <c r="Q48" s="184">
        <f t="shared" si="1"/>
        <v>0.33933770979890227</v>
      </c>
      <c r="R48" s="185">
        <f>DamodaranUS!$C48-DamodaranUS!$B48</f>
        <v>-5.8773318510283501E-2</v>
      </c>
      <c r="S48" s="185">
        <f t="shared" si="2"/>
        <v>0.30552641846683393</v>
      </c>
      <c r="T48" s="186"/>
      <c r="U48" s="187">
        <f>'[1]Inflation Rate'!C53</f>
        <v>3.7452999999999996E-3</v>
      </c>
      <c r="V48" s="191">
        <f t="shared" si="3"/>
        <v>0.32102568102713258</v>
      </c>
      <c r="W48" s="191">
        <f t="shared" si="3"/>
        <v>0.262471664873549</v>
      </c>
      <c r="X48" s="191">
        <f t="shared" si="3"/>
        <v>1.344776039780271E-2</v>
      </c>
      <c r="Y48" s="191">
        <f t="shared" si="3"/>
        <v>-1.7045849468604102E-2</v>
      </c>
      <c r="Z48" s="191">
        <f t="shared" si="3"/>
        <v>1.6639280944527934E-2</v>
      </c>
      <c r="AA48" s="191">
        <f t="shared" si="3"/>
        <v>-3.7313250682220467E-3</v>
      </c>
      <c r="AB48" s="191">
        <f t="shared" si="3"/>
        <v>-4.0156483202002935E-3</v>
      </c>
      <c r="AC48" s="189">
        <f t="shared" si="8"/>
        <v>670.35739101622573</v>
      </c>
      <c r="AD48" s="193">
        <f t="shared" si="8"/>
        <v>2530.1336578979722</v>
      </c>
      <c r="AE48" s="190">
        <f t="shared" si="8"/>
        <v>86.787658010846215</v>
      </c>
      <c r="AF48" s="190">
        <f t="shared" si="8"/>
        <v>139.20725453087505</v>
      </c>
      <c r="AG48" s="190">
        <f t="shared" si="8"/>
        <v>271.5967924180992</v>
      </c>
      <c r="AH48" s="190">
        <f t="shared" si="8"/>
        <v>160.24895795478966</v>
      </c>
      <c r="AI48" s="190">
        <f t="shared" si="8"/>
        <v>109.55740492591602</v>
      </c>
      <c r="AJ48" s="191">
        <f>DamodaranUS!$V48-DamodaranUS!$X48</f>
        <v>0.30757792062932987</v>
      </c>
      <c r="AK48" s="191">
        <f>DamodaranUS!$V48-DamodaranUS!$Y48</f>
        <v>0.33807153049573668</v>
      </c>
    </row>
    <row r="49" spans="1:37">
      <c r="A49" s="180">
        <v>1956</v>
      </c>
      <c r="B49" s="181">
        <f>('[1]S&amp;P 500 &amp; Raw Data'!B32-'[1]S&amp;P 500 &amp; Raw Data'!B31+'[1]S&amp;P 500 &amp; Raw Data'!C32)/'[1]S&amp;P 500 &amp; Raw Data'!B31</f>
        <v>7.4395118733509347E-2</v>
      </c>
      <c r="C49" s="181">
        <f>'[1]Small Cap'!B30</f>
        <v>-8.8999999999999999E-3</v>
      </c>
      <c r="D49" s="181">
        <f>'[1]T. Bill rates'!C34</f>
        <v>2.6213888888888887E-2</v>
      </c>
      <c r="E49" s="181">
        <f>'[1]S&amp;P 500 &amp; Raw Data'!F32</f>
        <v>-2.2557738173154165E-2</v>
      </c>
      <c r="F49" s="181">
        <f>'[1]S&amp;P 500 &amp; Raw Data'!J32</f>
        <v>-2.3526541979620903E-2</v>
      </c>
      <c r="G49" s="181">
        <f>'[1]Home Prices'!B32/'[1]Home Prices'!B31-1</f>
        <v>9.1428571428571193E-3</v>
      </c>
      <c r="H49" s="181">
        <f>'[1]Gold Prices'!B31/'[1]Gold Prices'!B30-1</f>
        <v>-1.1418783899515006E-3</v>
      </c>
      <c r="I49" s="182">
        <f t="shared" si="7"/>
        <v>1115.7300660220119</v>
      </c>
      <c r="J49" s="183">
        <f t="shared" si="7"/>
        <v>3830.9661811554947</v>
      </c>
      <c r="K49" s="183">
        <f t="shared" si="7"/>
        <v>137.96996841090606</v>
      </c>
      <c r="L49" s="183">
        <f t="shared" si="7"/>
        <v>210.78596424464291</v>
      </c>
      <c r="M49" s="183">
        <f t="shared" si="7"/>
        <v>410.84100919078162</v>
      </c>
      <c r="N49" s="183">
        <f t="shared" si="7"/>
        <v>250.51663667739504</v>
      </c>
      <c r="O49" s="183">
        <f t="shared" si="7"/>
        <v>169.52519379844958</v>
      </c>
      <c r="P49" s="184">
        <f t="shared" si="0"/>
        <v>4.8181229844620463E-2</v>
      </c>
      <c r="Q49" s="184">
        <f t="shared" si="1"/>
        <v>9.6952856906663512E-2</v>
      </c>
      <c r="R49" s="185">
        <f>DamodaranUS!$C49-DamodaranUS!$B49</f>
        <v>-8.3295118733509352E-2</v>
      </c>
      <c r="S49" s="185">
        <f t="shared" si="2"/>
        <v>9.7921660713130243E-2</v>
      </c>
      <c r="T49" s="186"/>
      <c r="U49" s="187">
        <f>'[1]Inflation Rate'!C54</f>
        <v>2.9850699999999997E-2</v>
      </c>
      <c r="V49" s="191">
        <f t="shared" si="3"/>
        <v>4.3253278104786741E-2</v>
      </c>
      <c r="W49" s="191">
        <f t="shared" si="3"/>
        <v>-3.7627492994858347E-2</v>
      </c>
      <c r="X49" s="191">
        <f t="shared" si="3"/>
        <v>-3.5313964549530397E-3</v>
      </c>
      <c r="Y49" s="191">
        <f t="shared" si="3"/>
        <v>-5.0889355295048233E-2</v>
      </c>
      <c r="Z49" s="191">
        <f t="shared" si="3"/>
        <v>-5.1830077874026603E-2</v>
      </c>
      <c r="AA49" s="191">
        <f t="shared" si="3"/>
        <v>-2.0107616431335851E-2</v>
      </c>
      <c r="AB49" s="191">
        <f t="shared" si="3"/>
        <v>-3.0094244136505854E-2</v>
      </c>
      <c r="AC49" s="189">
        <f t="shared" si="8"/>
        <v>699.3525456794498</v>
      </c>
      <c r="AD49" s="193">
        <f t="shared" si="8"/>
        <v>2434.9310714093608</v>
      </c>
      <c r="AE49" s="190">
        <f t="shared" si="8"/>
        <v>86.481176383013036</v>
      </c>
      <c r="AF49" s="190">
        <f t="shared" si="8"/>
        <v>132.12308709540514</v>
      </c>
      <c r="AG49" s="190">
        <f t="shared" si="8"/>
        <v>257.51990951673326</v>
      </c>
      <c r="AH49" s="190">
        <f t="shared" si="8"/>
        <v>157.02673337471347</v>
      </c>
      <c r="AI49" s="190">
        <f t="shared" si="8"/>
        <v>106.26035763511346</v>
      </c>
      <c r="AJ49" s="191">
        <f>DamodaranUS!$V49-DamodaranUS!$X49</f>
        <v>4.6784674559739781E-2</v>
      </c>
      <c r="AK49" s="191">
        <f>DamodaranUS!$V49-DamodaranUS!$Y49</f>
        <v>9.4142633399834974E-2</v>
      </c>
    </row>
    <row r="50" spans="1:37">
      <c r="A50" s="180">
        <v>1957</v>
      </c>
      <c r="B50" s="181">
        <f>('[1]S&amp;P 500 &amp; Raw Data'!B33-'[1]S&amp;P 500 &amp; Raw Data'!B32+'[1]S&amp;P 500 &amp; Raw Data'!C33)/'[1]S&amp;P 500 &amp; Raw Data'!B32</f>
        <v>-0.1045736018855796</v>
      </c>
      <c r="C50" s="181">
        <f>'[1]Small Cap'!B31</f>
        <v>-0.15190000000000001</v>
      </c>
      <c r="D50" s="181">
        <f>'[1]T. Bill rates'!C35</f>
        <v>3.2245669291338583E-2</v>
      </c>
      <c r="E50" s="181">
        <f>'[1]S&amp;P 500 &amp; Raw Data'!F33</f>
        <v>6.7970128466249904E-2</v>
      </c>
      <c r="F50" s="181">
        <f>'[1]S&amp;P 500 &amp; Raw Data'!J33</f>
        <v>-7.1892844025423647E-3</v>
      </c>
      <c r="G50" s="181">
        <f>'[1]Home Prices'!B33/'[1]Home Prices'!B32-1</f>
        <v>2.7180067950169917E-2</v>
      </c>
      <c r="H50" s="181">
        <f>'[1]Gold Prices'!B32/'[1]Gold Prices'!B31-1</f>
        <v>-1.1431837667904565E-3</v>
      </c>
      <c r="I50" s="182">
        <f t="shared" si="7"/>
        <v>999.05415428605454</v>
      </c>
      <c r="J50" s="183">
        <f t="shared" si="7"/>
        <v>3249.0424182379747</v>
      </c>
      <c r="K50" s="183">
        <f t="shared" si="7"/>
        <v>142.41890238442059</v>
      </c>
      <c r="L50" s="183">
        <f t="shared" si="7"/>
        <v>225.11311331323367</v>
      </c>
      <c r="M50" s="183">
        <f t="shared" si="7"/>
        <v>407.88735633148156</v>
      </c>
      <c r="N50" s="183">
        <f t="shared" si="7"/>
        <v>257.32569588493465</v>
      </c>
      <c r="O50" s="183">
        <f t="shared" si="7"/>
        <v>169.33139534883719</v>
      </c>
      <c r="P50" s="184">
        <f t="shared" si="0"/>
        <v>-0.13681927117691817</v>
      </c>
      <c r="Q50" s="184">
        <f t="shared" si="1"/>
        <v>-0.17254373035182952</v>
      </c>
      <c r="R50" s="185">
        <f>DamodaranUS!$C50-DamodaranUS!$B50</f>
        <v>-4.7326398114420409E-2</v>
      </c>
      <c r="S50" s="185">
        <f t="shared" si="2"/>
        <v>-9.7384317483037233E-2</v>
      </c>
      <c r="T50" s="186"/>
      <c r="U50" s="187">
        <f>'[1]Inflation Rate'!C55</f>
        <v>2.8985500000000001E-2</v>
      </c>
      <c r="V50" s="191">
        <f t="shared" si="3"/>
        <v>-0.12979687457751321</v>
      </c>
      <c r="W50" s="191">
        <f t="shared" si="3"/>
        <v>-0.17579013504077567</v>
      </c>
      <c r="X50" s="191">
        <f t="shared" si="3"/>
        <v>3.1683335589651751E-3</v>
      </c>
      <c r="Y50" s="191">
        <f t="shared" si="3"/>
        <v>3.7886470184710808E-2</v>
      </c>
      <c r="Z50" s="191">
        <f t="shared" si="3"/>
        <v>-3.5155776638779224E-2</v>
      </c>
      <c r="AA50" s="191">
        <f t="shared" si="3"/>
        <v>-1.754574821346111E-3</v>
      </c>
      <c r="AB50" s="191">
        <f t="shared" si="3"/>
        <v>-2.927998865561332E-2</v>
      </c>
      <c r="AC50" s="189">
        <f t="shared" si="8"/>
        <v>608.57877102242969</v>
      </c>
      <c r="AD50" s="193">
        <f t="shared" si="8"/>
        <v>2006.8942095513287</v>
      </c>
      <c r="AE50" s="190">
        <f t="shared" si="8"/>
        <v>86.755177596366124</v>
      </c>
      <c r="AF50" s="190">
        <f t="shared" si="8"/>
        <v>137.12876449535716</v>
      </c>
      <c r="AG50" s="190">
        <f t="shared" si="8"/>
        <v>248.46659709772436</v>
      </c>
      <c r="AH50" s="190">
        <f t="shared" si="8"/>
        <v>156.75121822205597</v>
      </c>
      <c r="AI50" s="190">
        <f t="shared" si="8"/>
        <v>103.14905556901593</v>
      </c>
      <c r="AJ50" s="191">
        <f>DamodaranUS!$V50-DamodaranUS!$X50</f>
        <v>-0.13296520813647839</v>
      </c>
      <c r="AK50" s="191">
        <f>DamodaranUS!$V50-DamodaranUS!$Y50</f>
        <v>-0.16768334476222402</v>
      </c>
    </row>
    <row r="51" spans="1:37">
      <c r="A51" s="180">
        <v>1958</v>
      </c>
      <c r="B51" s="181">
        <f>('[1]S&amp;P 500 &amp; Raw Data'!B34-'[1]S&amp;P 500 &amp; Raw Data'!B33+'[1]S&amp;P 500 &amp; Raw Data'!C34)/'[1]S&amp;P 500 &amp; Raw Data'!B33</f>
        <v>0.43719954988747184</v>
      </c>
      <c r="C51" s="181">
        <f>'[1]Small Cap'!B32</f>
        <v>0.68799999999999994</v>
      </c>
      <c r="D51" s="181">
        <f>'[1]T. Bill rates'!C36</f>
        <v>1.7665461847389558E-2</v>
      </c>
      <c r="E51" s="181">
        <f>'[1]S&amp;P 500 &amp; Raw Data'!F34</f>
        <v>-2.0990181755274694E-2</v>
      </c>
      <c r="F51" s="181">
        <f>'[1]S&amp;P 500 &amp; Raw Data'!J34</f>
        <v>6.4300928973360261E-2</v>
      </c>
      <c r="G51" s="181">
        <f>'[1]Home Prices'!B34/'[1]Home Prices'!B33-1</f>
        <v>6.6152149944873617E-3</v>
      </c>
      <c r="H51" s="181">
        <f>'[1]Gold Prices'!B33/'[1]Gold Prices'!B32-1</f>
        <v>4.2918454935620964E-3</v>
      </c>
      <c r="I51" s="182">
        <f t="shared" si="7"/>
        <v>1435.8401808531264</v>
      </c>
      <c r="J51" s="183">
        <f t="shared" si="7"/>
        <v>5484.3836019857008</v>
      </c>
      <c r="K51" s="183">
        <f t="shared" si="7"/>
        <v>144.93479807083966</v>
      </c>
      <c r="L51" s="183">
        <f t="shared" si="7"/>
        <v>220.38794814929315</v>
      </c>
      <c r="M51" s="183">
        <f t="shared" si="7"/>
        <v>434.11489226008382</v>
      </c>
      <c r="N51" s="183">
        <f t="shared" si="7"/>
        <v>259.02796068681954</v>
      </c>
      <c r="O51" s="183">
        <f t="shared" si="7"/>
        <v>170.05813953488368</v>
      </c>
      <c r="P51" s="184">
        <f t="shared" si="0"/>
        <v>0.4195340880400823</v>
      </c>
      <c r="Q51" s="184">
        <f t="shared" si="1"/>
        <v>0.45818973164274651</v>
      </c>
      <c r="R51" s="185">
        <f>DamodaranUS!$C51-DamodaranUS!$B51</f>
        <v>0.25080045011252811</v>
      </c>
      <c r="S51" s="185">
        <f t="shared" si="2"/>
        <v>0.37289862091411158</v>
      </c>
      <c r="T51" s="186"/>
      <c r="U51" s="187">
        <f>'[1]Inflation Rate'!C56</f>
        <v>1.7605599999999999E-2</v>
      </c>
      <c r="V51" s="191">
        <f t="shared" si="3"/>
        <v>0.41233455268669106</v>
      </c>
      <c r="W51" s="191">
        <f t="shared" si="3"/>
        <v>0.65879590285273593</v>
      </c>
      <c r="X51" s="191">
        <f t="shared" si="3"/>
        <v>5.8826177243398448E-5</v>
      </c>
      <c r="Y51" s="191">
        <f t="shared" si="3"/>
        <v>-3.7928035925976267E-2</v>
      </c>
      <c r="Z51" s="191">
        <f t="shared" si="3"/>
        <v>4.5887452833750286E-2</v>
      </c>
      <c r="AA51" s="191">
        <f t="shared" si="3"/>
        <v>-1.0800240294975394E-2</v>
      </c>
      <c r="AB51" s="191">
        <f t="shared" si="3"/>
        <v>-1.3083413167574887E-2</v>
      </c>
      <c r="AC51" s="189">
        <f t="shared" si="8"/>
        <v>859.51682634657936</v>
      </c>
      <c r="AD51" s="193">
        <f t="shared" si="8"/>
        <v>3329.0278922626239</v>
      </c>
      <c r="AE51" s="190">
        <f t="shared" si="8"/>
        <v>86.760281071820188</v>
      </c>
      <c r="AF51" s="190">
        <f t="shared" si="8"/>
        <v>131.92773978909253</v>
      </c>
      <c r="AG51" s="190">
        <f t="shared" si="8"/>
        <v>259.86809635280861</v>
      </c>
      <c r="AH51" s="190">
        <f t="shared" si="8"/>
        <v>155.05826739872765</v>
      </c>
      <c r="AI51" s="190">
        <f t="shared" si="8"/>
        <v>101.79951385716136</v>
      </c>
      <c r="AJ51" s="191">
        <f>DamodaranUS!$V51-DamodaranUS!$X51</f>
        <v>0.41227572650944766</v>
      </c>
      <c r="AK51" s="191">
        <f>DamodaranUS!$V51-DamodaranUS!$Y51</f>
        <v>0.45026258861266732</v>
      </c>
    </row>
    <row r="52" spans="1:37">
      <c r="A52" s="180">
        <v>1959</v>
      </c>
      <c r="B52" s="181">
        <f>('[1]S&amp;P 500 &amp; Raw Data'!B35-'[1]S&amp;P 500 &amp; Raw Data'!B34+'[1]S&amp;P 500 &amp; Raw Data'!C35)/'[1]S&amp;P 500 &amp; Raw Data'!B34</f>
        <v>0.12056457163557326</v>
      </c>
      <c r="C52" s="181">
        <f>'[1]Small Cap'!B33</f>
        <v>0.127</v>
      </c>
      <c r="D52" s="181">
        <f>'[1]T. Bill rates'!C37</f>
        <v>3.3860159362549803E-2</v>
      </c>
      <c r="E52" s="181">
        <f>'[1]S&amp;P 500 &amp; Raw Data'!F35</f>
        <v>-2.6466312591385065E-2</v>
      </c>
      <c r="F52" s="181">
        <f>'[1]S&amp;P 500 &amp; Raw Data'!J35</f>
        <v>1.5743430895022732E-2</v>
      </c>
      <c r="G52" s="181">
        <f>'[1]Home Prices'!B35/'[1]Home Prices'!B34-1</f>
        <v>1.0952902519167917E-3</v>
      </c>
      <c r="H52" s="181">
        <f>'[1]Gold Prices'!B34/'[1]Gold Prices'!B33-1</f>
        <v>0</v>
      </c>
      <c r="I52" s="182">
        <f t="shared" si="7"/>
        <v>1608.9516371948275</v>
      </c>
      <c r="J52" s="183">
        <f t="shared" si="7"/>
        <v>6180.9003194378847</v>
      </c>
      <c r="K52" s="183">
        <f t="shared" si="7"/>
        <v>149.84231343069726</v>
      </c>
      <c r="L52" s="183">
        <f t="shared" si="7"/>
        <v>214.55509182219998</v>
      </c>
      <c r="M52" s="183">
        <f t="shared" si="7"/>
        <v>440.94935006688075</v>
      </c>
      <c r="N52" s="183">
        <f t="shared" si="7"/>
        <v>259.31167148713371</v>
      </c>
      <c r="O52" s="183">
        <f t="shared" si="7"/>
        <v>170.05813953488368</v>
      </c>
      <c r="P52" s="184">
        <f t="shared" si="0"/>
        <v>8.6704412273023446E-2</v>
      </c>
      <c r="Q52" s="184">
        <f t="shared" si="1"/>
        <v>0.14703088422695831</v>
      </c>
      <c r="R52" s="185">
        <f>DamodaranUS!$C52-DamodaranUS!$B52</f>
        <v>6.4354283644267457E-3</v>
      </c>
      <c r="S52" s="185">
        <f t="shared" si="2"/>
        <v>0.10482114074055052</v>
      </c>
      <c r="T52" s="186"/>
      <c r="U52" s="187">
        <f>'[1]Inflation Rate'!C57</f>
        <v>1.7301E-2</v>
      </c>
      <c r="V52" s="191">
        <f t="shared" si="3"/>
        <v>0.1015073922423877</v>
      </c>
      <c r="W52" s="191">
        <f t="shared" si="3"/>
        <v>0.10783337478288146</v>
      </c>
      <c r="X52" s="191">
        <f t="shared" si="3"/>
        <v>1.6277541615067559E-2</v>
      </c>
      <c r="Y52" s="191">
        <f t="shared" si="3"/>
        <v>-4.3022972150214223E-2</v>
      </c>
      <c r="Z52" s="191">
        <f t="shared" si="3"/>
        <v>-1.5310798917697044E-3</v>
      </c>
      <c r="AA52" s="191">
        <f t="shared" si="3"/>
        <v>-1.5930103035466603E-2</v>
      </c>
      <c r="AB52" s="191">
        <f t="shared" si="3"/>
        <v>-1.7006765942430002E-2</v>
      </c>
      <c r="AC52" s="189">
        <f t="shared" si="8"/>
        <v>946.76413797747387</v>
      </c>
      <c r="AD52" s="193">
        <f t="shared" si="8"/>
        <v>3688.0082046316452</v>
      </c>
      <c r="AE52" s="190">
        <f t="shared" si="8"/>
        <v>88.172525157501696</v>
      </c>
      <c r="AF52" s="190">
        <f t="shared" si="8"/>
        <v>126.25181631430569</v>
      </c>
      <c r="AG52" s="190">
        <f t="shared" si="8"/>
        <v>259.47021753597033</v>
      </c>
      <c r="AH52" s="190">
        <f t="shared" si="8"/>
        <v>152.58817322256499</v>
      </c>
      <c r="AI52" s="190">
        <f t="shared" si="8"/>
        <v>100.06823335193945</v>
      </c>
      <c r="AJ52" s="191">
        <f>DamodaranUS!$V52-DamodaranUS!$X52</f>
        <v>8.5229850627320136E-2</v>
      </c>
      <c r="AK52" s="191">
        <f>DamodaranUS!$V52-DamodaranUS!$Y52</f>
        <v>0.14453036439260192</v>
      </c>
    </row>
    <row r="53" spans="1:37">
      <c r="A53" s="180">
        <v>1960</v>
      </c>
      <c r="B53" s="181">
        <f>('[1]S&amp;P 500 &amp; Raw Data'!B36-'[1]S&amp;P 500 &amp; Raw Data'!B35+'[1]S&amp;P 500 &amp; Raw Data'!C36)/'[1]S&amp;P 500 &amp; Raw Data'!B35</f>
        <v>3.36535314743695E-3</v>
      </c>
      <c r="C53" s="181">
        <f>'[1]Small Cap'!B34</f>
        <v>-3.5699999999999996E-2</v>
      </c>
      <c r="D53" s="181">
        <f>'[1]T. Bill rates'!C38</f>
        <v>2.8729718875502006E-2</v>
      </c>
      <c r="E53" s="181">
        <f>'[1]S&amp;P 500 &amp; Raw Data'!F36</f>
        <v>0.11639503690963365</v>
      </c>
      <c r="F53" s="181">
        <f>'[1]S&amp;P 500 &amp; Raw Data'!J36</f>
        <v>6.6631871633034342E-2</v>
      </c>
      <c r="G53" s="181">
        <f>'[1]Home Prices'!B36/'[1]Home Prices'!B35-1</f>
        <v>7.6586433260392717E-3</v>
      </c>
      <c r="H53" s="181">
        <f>'[1]Gold Prices'!B35/'[1]Gold Prices'!B34-1</f>
        <v>4.8433048433049741E-3</v>
      </c>
      <c r="I53" s="182">
        <f t="shared" si="7"/>
        <v>1614.366327651135</v>
      </c>
      <c r="J53" s="183">
        <f t="shared" si="7"/>
        <v>5960.2421780339528</v>
      </c>
      <c r="K53" s="183">
        <f t="shared" si="7"/>
        <v>154.14724097121606</v>
      </c>
      <c r="L53" s="183">
        <f t="shared" si="7"/>
        <v>239.52823965399477</v>
      </c>
      <c r="M53" s="183">
        <f t="shared" si="7"/>
        <v>470.33063055720703</v>
      </c>
      <c r="N53" s="183">
        <f t="shared" si="7"/>
        <v>261.29764708933271</v>
      </c>
      <c r="O53" s="183">
        <f t="shared" si="7"/>
        <v>170.8817829457364</v>
      </c>
      <c r="P53" s="184">
        <f t="shared" si="0"/>
        <v>-2.5364365728065056E-2</v>
      </c>
      <c r="Q53" s="184">
        <f t="shared" si="1"/>
        <v>-0.1130296837621967</v>
      </c>
      <c r="R53" s="185">
        <f>DamodaranUS!$C53-DamodaranUS!$B53</f>
        <v>-3.9065353147436949E-2</v>
      </c>
      <c r="S53" s="185">
        <f t="shared" si="2"/>
        <v>-6.3266518485597389E-2</v>
      </c>
      <c r="T53" s="185">
        <f t="shared" ref="T53:T114" si="9">((I53/100)^(1/(A53-$A$21+1)))-((L53/100)^(1/(A53-$A$21+1)))</f>
        <v>6.1119788031217315E-2</v>
      </c>
      <c r="U53" s="187">
        <f>'[1]Inflation Rate'!C58</f>
        <v>1.36054E-2</v>
      </c>
      <c r="V53" s="191">
        <f t="shared" ref="V53:AB84" si="10">(1+B53)/(1+$U53)-1</f>
        <v>-1.0102596979616685E-2</v>
      </c>
      <c r="W53" s="191">
        <f t="shared" si="10"/>
        <v>-4.8643584574431076E-2</v>
      </c>
      <c r="X53" s="191">
        <f t="shared" si="10"/>
        <v>1.4921308504771025E-2</v>
      </c>
      <c r="Y53" s="191">
        <f t="shared" si="10"/>
        <v>0.10140991445944691</v>
      </c>
      <c r="Z53" s="191">
        <f t="shared" si="10"/>
        <v>5.231470908998137E-2</v>
      </c>
      <c r="AA53" s="191">
        <f t="shared" si="10"/>
        <v>-5.8669346808539746E-3</v>
      </c>
      <c r="AB53" s="191">
        <f t="shared" si="10"/>
        <v>-8.6444835008723242E-3</v>
      </c>
      <c r="AC53" s="189">
        <f t="shared" si="8"/>
        <v>937.1993614567333</v>
      </c>
      <c r="AD53" s="193">
        <f t="shared" si="8"/>
        <v>3508.6102656184498</v>
      </c>
      <c r="AE53" s="190">
        <f t="shared" si="8"/>
        <v>89.488174607021463</v>
      </c>
      <c r="AF53" s="190">
        <f t="shared" si="8"/>
        <v>139.05500220708922</v>
      </c>
      <c r="AG53" s="190">
        <f t="shared" si="8"/>
        <v>273.04432648387882</v>
      </c>
      <c r="AH53" s="190">
        <f t="shared" si="8"/>
        <v>151.69294837719738</v>
      </c>
      <c r="AI53" s="190">
        <f t="shared" si="8"/>
        <v>99.203195159767176</v>
      </c>
      <c r="AJ53" s="191">
        <f>DamodaranUS!$V53-DamodaranUS!$X53</f>
        <v>-2.502390548438771E-2</v>
      </c>
      <c r="AK53" s="191">
        <f>DamodaranUS!$V53-DamodaranUS!$Y53</f>
        <v>-0.1115125114390636</v>
      </c>
    </row>
    <row r="54" spans="1:37">
      <c r="A54" s="180">
        <v>1961</v>
      </c>
      <c r="B54" s="181">
        <f>('[1]S&amp;P 500 &amp; Raw Data'!B37-'[1]S&amp;P 500 &amp; Raw Data'!B36+'[1]S&amp;P 500 &amp; Raw Data'!C37)/'[1]S&amp;P 500 &amp; Raw Data'!B36</f>
        <v>0.26637712958182752</v>
      </c>
      <c r="C54" s="181">
        <f>'[1]Small Cap'!B35</f>
        <v>0.29449999999999998</v>
      </c>
      <c r="D54" s="181">
        <f>'[1]T. Bill rates'!C39</f>
        <v>2.3524899598393576E-2</v>
      </c>
      <c r="E54" s="181">
        <f>'[1]S&amp;P 500 &amp; Raw Data'!F37</f>
        <v>2.0609208076323167E-2</v>
      </c>
      <c r="F54" s="181">
        <f>'[1]S&amp;P 500 &amp; Raw Data'!J37</f>
        <v>5.0999999999999997E-2</v>
      </c>
      <c r="G54" s="181">
        <f>'[1]Home Prices'!B37/'[1]Home Prices'!B36-1</f>
        <v>9.7719869706840434E-3</v>
      </c>
      <c r="H54" s="181">
        <f>'[1]Gold Prices'!B36/'[1]Gold Prices'!B35-1</f>
        <v>-5.6705415367175327E-4</v>
      </c>
      <c r="I54" s="182">
        <f t="shared" ref="I54:O69" si="11">I53*(1+B54)</f>
        <v>2044.3965961044005</v>
      </c>
      <c r="J54" s="183">
        <f t="shared" si="11"/>
        <v>7715.533499464952</v>
      </c>
      <c r="K54" s="183">
        <f t="shared" si="11"/>
        <v>157.77353933843332</v>
      </c>
      <c r="L54" s="183">
        <f t="shared" si="11"/>
        <v>244.46472698517934</v>
      </c>
      <c r="M54" s="183">
        <f t="shared" si="11"/>
        <v>494.31749271562455</v>
      </c>
      <c r="N54" s="183">
        <f t="shared" si="11"/>
        <v>263.85104429216005</v>
      </c>
      <c r="O54" s="183">
        <f t="shared" si="11"/>
        <v>170.7848837209302</v>
      </c>
      <c r="P54" s="184">
        <f t="shared" si="0"/>
        <v>0.24285222998343395</v>
      </c>
      <c r="Q54" s="184">
        <f t="shared" si="1"/>
        <v>0.24576792150550436</v>
      </c>
      <c r="R54" s="185">
        <f>DamodaranUS!$C54-DamodaranUS!$B54</f>
        <v>2.8122870418172463E-2</v>
      </c>
      <c r="S54" s="185">
        <f t="shared" si="2"/>
        <v>0.21537712958182753</v>
      </c>
      <c r="T54" s="185">
        <f t="shared" si="9"/>
        <v>6.6173591829972622E-2</v>
      </c>
      <c r="U54" s="187">
        <f>'[1]Inflation Rate'!C59</f>
        <v>6.7113999999999993E-3</v>
      </c>
      <c r="V54" s="191">
        <f t="shared" si="10"/>
        <v>0.25793462712533866</v>
      </c>
      <c r="W54" s="191">
        <f t="shared" si="10"/>
        <v>0.28587001200145346</v>
      </c>
      <c r="X54" s="191">
        <f t="shared" si="10"/>
        <v>1.6701409756950891E-2</v>
      </c>
      <c r="Y54" s="191">
        <f t="shared" si="10"/>
        <v>1.3805156151329268E-2</v>
      </c>
      <c r="Z54" s="191">
        <f t="shared" si="10"/>
        <v>4.3993343077271208E-2</v>
      </c>
      <c r="AA54" s="191">
        <f t="shared" si="10"/>
        <v>3.0401830859212442E-3</v>
      </c>
      <c r="AB54" s="191">
        <f t="shared" si="10"/>
        <v>-7.2299311934599375E-3</v>
      </c>
      <c r="AC54" s="189">
        <f t="shared" ref="AC54:AI69" si="12">AC53*(1+V54)</f>
        <v>1178.9355292961814</v>
      </c>
      <c r="AD54" s="193">
        <f t="shared" si="12"/>
        <v>4511.616724359219</v>
      </c>
      <c r="AE54" s="190">
        <f t="shared" si="12"/>
        <v>90.98275327953489</v>
      </c>
      <c r="AF54" s="190">
        <f t="shared" si="12"/>
        <v>140.97467822618151</v>
      </c>
      <c r="AG54" s="190">
        <f t="shared" si="12"/>
        <v>285.05645921418653</v>
      </c>
      <c r="AH54" s="190">
        <f t="shared" si="12"/>
        <v>152.15412271310726</v>
      </c>
      <c r="AI54" s="190">
        <f t="shared" si="12"/>
        <v>98.485962884590677</v>
      </c>
      <c r="AJ54" s="191">
        <f>DamodaranUS!$V54-DamodaranUS!$X54</f>
        <v>0.24123321736838776</v>
      </c>
      <c r="AK54" s="191">
        <f>DamodaranUS!$V54-DamodaranUS!$Y54</f>
        <v>0.24412947097400939</v>
      </c>
    </row>
    <row r="55" spans="1:37">
      <c r="A55" s="180">
        <v>1962</v>
      </c>
      <c r="B55" s="181">
        <f>('[1]S&amp;P 500 &amp; Raw Data'!B38-'[1]S&amp;P 500 &amp; Raw Data'!B37+'[1]S&amp;P 500 &amp; Raw Data'!C38)/'[1]S&amp;P 500 &amp; Raw Data'!B37</f>
        <v>-8.8114605171208879E-2</v>
      </c>
      <c r="C55" s="181">
        <f>'[1]Small Cap'!B36</f>
        <v>-9.7799999999999998E-2</v>
      </c>
      <c r="D55" s="181">
        <f>'[1]T. Bill rates'!C40</f>
        <v>2.7723694779116466E-2</v>
      </c>
      <c r="E55" s="181">
        <f>'[1]S&amp;P 500 &amp; Raw Data'!F38</f>
        <v>5.693544054008462E-2</v>
      </c>
      <c r="F55" s="181">
        <f>'[1]S&amp;P 500 &amp; Raw Data'!J38</f>
        <v>6.4953279936065755E-2</v>
      </c>
      <c r="G55" s="181">
        <f>'[1]Home Prices'!B38/'[1]Home Prices'!B37-1</f>
        <v>3.2258064516126339E-3</v>
      </c>
      <c r="H55" s="181">
        <f>'[1]Gold Prices'!B37/'[1]Gold Prices'!B36-1</f>
        <v>-5.6737588652489013E-4</v>
      </c>
      <c r="I55" s="182">
        <f t="shared" si="11"/>
        <v>1864.2553972252979</v>
      </c>
      <c r="J55" s="183">
        <f t="shared" si="11"/>
        <v>6960.95432321728</v>
      </c>
      <c r="K55" s="183">
        <f t="shared" si="11"/>
        <v>162.14760478727297</v>
      </c>
      <c r="L55" s="183">
        <f t="shared" si="11"/>
        <v>258.38343391259201</v>
      </c>
      <c r="M55" s="183">
        <f t="shared" si="11"/>
        <v>526.42503519727666</v>
      </c>
      <c r="N55" s="183">
        <f t="shared" si="11"/>
        <v>264.70217669310244</v>
      </c>
      <c r="O55" s="183">
        <f t="shared" si="11"/>
        <v>170.68798449612399</v>
      </c>
      <c r="P55" s="184">
        <f t="shared" si="0"/>
        <v>-0.11583829995032535</v>
      </c>
      <c r="Q55" s="184">
        <f t="shared" si="1"/>
        <v>-0.14505004571129348</v>
      </c>
      <c r="R55" s="185">
        <f>DamodaranUS!$C55-DamodaranUS!$B55</f>
        <v>-9.685394828791119E-3</v>
      </c>
      <c r="S55" s="185">
        <f t="shared" si="2"/>
        <v>-0.15306788510727465</v>
      </c>
      <c r="T55" s="185">
        <f t="shared" si="9"/>
        <v>5.9683465378989942E-2</v>
      </c>
      <c r="U55" s="187">
        <f>'[1]Inflation Rate'!C60</f>
        <v>1.3333299999999999E-2</v>
      </c>
      <c r="V55" s="191">
        <f t="shared" si="10"/>
        <v>-0.10011306760688599</v>
      </c>
      <c r="W55" s="191">
        <f t="shared" si="10"/>
        <v>-0.10967102334444156</v>
      </c>
      <c r="X55" s="191">
        <f t="shared" si="10"/>
        <v>1.4201047946530876E-2</v>
      </c>
      <c r="Y55" s="191">
        <f t="shared" si="10"/>
        <v>4.302842957996611E-2</v>
      </c>
      <c r="Z55" s="191">
        <f t="shared" si="10"/>
        <v>5.0940771349432312E-2</v>
      </c>
      <c r="AA55" s="191">
        <f t="shared" si="10"/>
        <v>-9.9745005403328868E-3</v>
      </c>
      <c r="AB55" s="191">
        <f t="shared" si="10"/>
        <v>-1.3717772707681597E-2</v>
      </c>
      <c r="AC55" s="189">
        <f t="shared" si="12"/>
        <v>1060.9086769475928</v>
      </c>
      <c r="AD55" s="193">
        <f t="shared" si="12"/>
        <v>4016.8231012608462</v>
      </c>
      <c r="AE55" s="190">
        <f t="shared" si="12"/>
        <v>92.274803721164957</v>
      </c>
      <c r="AF55" s="190">
        <f t="shared" si="12"/>
        <v>147.04059724079514</v>
      </c>
      <c r="AG55" s="190">
        <f t="shared" si="12"/>
        <v>299.57745512469518</v>
      </c>
      <c r="AH55" s="190">
        <f t="shared" si="12"/>
        <v>150.6364613338915</v>
      </c>
      <c r="AI55" s="190">
        <f t="shared" si="12"/>
        <v>97.134954830842702</v>
      </c>
      <c r="AJ55" s="191">
        <f>DamodaranUS!$V55-DamodaranUS!$X55</f>
        <v>-0.11431411555341686</v>
      </c>
      <c r="AK55" s="191">
        <f>DamodaranUS!$V55-DamodaranUS!$Y55</f>
        <v>-0.1431414971868521</v>
      </c>
    </row>
    <row r="56" spans="1:37">
      <c r="A56" s="180">
        <v>1963</v>
      </c>
      <c r="B56" s="181">
        <f>('[1]S&amp;P 500 &amp; Raw Data'!B39-'[1]S&amp;P 500 &amp; Raw Data'!B38+'[1]S&amp;P 500 &amp; Raw Data'!C39)/'[1]S&amp;P 500 &amp; Raw Data'!B38</f>
        <v>0.22611927099841514</v>
      </c>
      <c r="C56" s="181">
        <f>'[1]Small Cap'!B37</f>
        <v>0.19649999999999998</v>
      </c>
      <c r="D56" s="181">
        <f>'[1]T. Bill rates'!C41</f>
        <v>3.1560240963855422E-2</v>
      </c>
      <c r="E56" s="181">
        <f>'[1]S&amp;P 500 &amp; Raw Data'!F39</f>
        <v>1.6841620739546127E-2</v>
      </c>
      <c r="F56" s="181">
        <f>'[1]S&amp;P 500 &amp; Raw Data'!J39</f>
        <v>5.4644805711862345E-2</v>
      </c>
      <c r="G56" s="181">
        <f>'[1]Home Prices'!B39/'[1]Home Prices'!B38-1</f>
        <v>2.143622722400873E-2</v>
      </c>
      <c r="H56" s="181">
        <f>'[1]Gold Prices'!B38/'[1]Gold Prices'!B37-1</f>
        <v>-3.9738858927048648E-3</v>
      </c>
      <c r="I56" s="182">
        <f t="shared" si="11"/>
        <v>2285.7994686007432</v>
      </c>
      <c r="J56" s="183">
        <f t="shared" si="11"/>
        <v>8328.781847729475</v>
      </c>
      <c r="K56" s="183">
        <f t="shared" si="11"/>
        <v>167.2650222660713</v>
      </c>
      <c r="L56" s="183">
        <f t="shared" si="11"/>
        <v>262.73502971192949</v>
      </c>
      <c r="M56" s="183">
        <f t="shared" si="11"/>
        <v>555.19142896749213</v>
      </c>
      <c r="N56" s="183">
        <f t="shared" si="11"/>
        <v>270.37639269938552</v>
      </c>
      <c r="O56" s="183">
        <f t="shared" si="11"/>
        <v>170.00968992248062</v>
      </c>
      <c r="P56" s="184">
        <f t="shared" si="0"/>
        <v>0.19455903003455971</v>
      </c>
      <c r="Q56" s="184">
        <f t="shared" si="1"/>
        <v>0.20927765025886902</v>
      </c>
      <c r="R56" s="185">
        <f>DamodaranUS!$C56-DamodaranUS!$B56</f>
        <v>-2.9619270998415159E-2</v>
      </c>
      <c r="S56" s="185">
        <f t="shared" si="2"/>
        <v>0.1714744652865528</v>
      </c>
      <c r="T56" s="185">
        <f t="shared" si="9"/>
        <v>6.3618993911514821E-2</v>
      </c>
      <c r="U56" s="187">
        <f>'[1]Inflation Rate'!C61</f>
        <v>1.6447400000000001E-2</v>
      </c>
      <c r="V56" s="191">
        <f t="shared" si="10"/>
        <v>0.20627911586808634</v>
      </c>
      <c r="W56" s="191">
        <f t="shared" si="10"/>
        <v>0.17713912200473891</v>
      </c>
      <c r="X56" s="191">
        <f t="shared" si="10"/>
        <v>1.4868296149761706E-2</v>
      </c>
      <c r="Y56" s="191">
        <f t="shared" si="10"/>
        <v>3.8784175112849262E-4</v>
      </c>
      <c r="Z56" s="191">
        <f t="shared" si="10"/>
        <v>3.7579323545775312E-2</v>
      </c>
      <c r="AA56" s="191">
        <f t="shared" si="10"/>
        <v>4.9081017119121384E-3</v>
      </c>
      <c r="AB56" s="191">
        <f t="shared" si="10"/>
        <v>-2.0090843749223986E-2</v>
      </c>
      <c r="AC56" s="189">
        <f t="shared" si="12"/>
        <v>1279.7519808451234</v>
      </c>
      <c r="AD56" s="193">
        <f t="shared" si="12"/>
        <v>4728.3596186665454</v>
      </c>
      <c r="AE56" s="190">
        <f t="shared" si="12"/>
        <v>93.64677283005237</v>
      </c>
      <c r="AF56" s="190">
        <f t="shared" si="12"/>
        <v>147.09762572351599</v>
      </c>
      <c r="AG56" s="190">
        <f t="shared" si="12"/>
        <v>310.83537323784606</v>
      </c>
      <c r="AH56" s="190">
        <f t="shared" si="12"/>
        <v>151.37580040764075</v>
      </c>
      <c r="AI56" s="190">
        <f t="shared" si="12"/>
        <v>95.183431630748316</v>
      </c>
      <c r="AJ56" s="191">
        <f>DamodaranUS!$V56-DamodaranUS!$X56</f>
        <v>0.19141081971832463</v>
      </c>
      <c r="AK56" s="191">
        <f>DamodaranUS!$V56-DamodaranUS!$Y56</f>
        <v>0.20589127411695785</v>
      </c>
    </row>
    <row r="57" spans="1:37">
      <c r="A57" s="180">
        <v>1964</v>
      </c>
      <c r="B57" s="181">
        <f>('[1]S&amp;P 500 &amp; Raw Data'!B40-'[1]S&amp;P 500 &amp; Raw Data'!B39+'[1]S&amp;P 500 &amp; Raw Data'!C40)/'[1]S&amp;P 500 &amp; Raw Data'!B39</f>
        <v>0.16415455878432425</v>
      </c>
      <c r="C57" s="181">
        <f>'[1]Small Cap'!B38</f>
        <v>0.23250000000000001</v>
      </c>
      <c r="D57" s="181">
        <f>'[1]T. Bill rates'!C42</f>
        <v>3.5457370517928286E-2</v>
      </c>
      <c r="E57" s="181">
        <f>'[1]S&amp;P 500 &amp; Raw Data'!F40</f>
        <v>3.7280648911540815E-2</v>
      </c>
      <c r="F57" s="181">
        <f>'[1]S&amp;P 500 &amp; Raw Data'!J40</f>
        <v>5.1617392722850271E-2</v>
      </c>
      <c r="G57" s="181">
        <f>'[1]Home Prices'!B40/'[1]Home Prices'!B39-1</f>
        <v>1.2591815320041944E-2</v>
      </c>
      <c r="H57" s="181">
        <f>'[1]Gold Prices'!B39/'[1]Gold Prices'!B38-1</f>
        <v>2.8498147620403813E-4</v>
      </c>
      <c r="I57" s="182">
        <f t="shared" si="11"/>
        <v>2661.0238718383412</v>
      </c>
      <c r="J57" s="183">
        <f t="shared" si="11"/>
        <v>10265.223627326577</v>
      </c>
      <c r="K57" s="183">
        <f t="shared" si="11"/>
        <v>173.1958001352489</v>
      </c>
      <c r="L57" s="183">
        <f t="shared" si="11"/>
        <v>272.52996211138321</v>
      </c>
      <c r="M57" s="183">
        <f t="shared" si="11"/>
        <v>583.84896299286754</v>
      </c>
      <c r="N57" s="183">
        <f t="shared" si="11"/>
        <v>273.78092230315531</v>
      </c>
      <c r="O57" s="183">
        <f t="shared" si="11"/>
        <v>170.05813953488371</v>
      </c>
      <c r="P57" s="184">
        <f t="shared" si="0"/>
        <v>0.12869718826639598</v>
      </c>
      <c r="Q57" s="184">
        <f t="shared" si="1"/>
        <v>0.12687390987278344</v>
      </c>
      <c r="R57" s="185">
        <f>DamodaranUS!$C57-DamodaranUS!$B57</f>
        <v>6.8345441215675762E-2</v>
      </c>
      <c r="S57" s="185">
        <f t="shared" si="2"/>
        <v>0.11253716606147399</v>
      </c>
      <c r="T57" s="185">
        <f t="shared" si="9"/>
        <v>6.5267777442658215E-2</v>
      </c>
      <c r="U57" s="187">
        <f>'[1]Inflation Rate'!C62</f>
        <v>9.7087000000000007E-3</v>
      </c>
      <c r="V57" s="191">
        <f t="shared" si="10"/>
        <v>0.15296080818588997</v>
      </c>
      <c r="W57" s="191">
        <f t="shared" si="10"/>
        <v>0.22064908423587903</v>
      </c>
      <c r="X57" s="191">
        <f t="shared" si="10"/>
        <v>2.5501088103854208E-2</v>
      </c>
      <c r="Y57" s="191">
        <f t="shared" si="10"/>
        <v>2.7306835042167021E-2</v>
      </c>
      <c r="Z57" s="191">
        <f t="shared" si="10"/>
        <v>4.1505726080056871E-2</v>
      </c>
      <c r="AA57" s="191">
        <f t="shared" si="10"/>
        <v>2.8553931644264008E-3</v>
      </c>
      <c r="AB57" s="191">
        <f t="shared" si="10"/>
        <v>-9.333106195674068E-3</v>
      </c>
      <c r="AC57" s="189">
        <f t="shared" si="12"/>
        <v>1475.5038781126871</v>
      </c>
      <c r="AD57" s="193">
        <f t="shared" si="12"/>
        <v>5771.6678384632287</v>
      </c>
      <c r="AE57" s="190">
        <f t="shared" si="12"/>
        <v>96.034867434633156</v>
      </c>
      <c r="AF57" s="190">
        <f t="shared" si="12"/>
        <v>151.11439632424248</v>
      </c>
      <c r="AG57" s="190">
        <f t="shared" si="12"/>
        <v>323.73682109544836</v>
      </c>
      <c r="AH57" s="190">
        <f t="shared" si="12"/>
        <v>151.8080378333843</v>
      </c>
      <c r="AI57" s="190">
        <f t="shared" si="12"/>
        <v>94.295074555269863</v>
      </c>
      <c r="AJ57" s="191">
        <f>DamodaranUS!$V57-DamodaranUS!$X57</f>
        <v>0.12745972008203577</v>
      </c>
      <c r="AK57" s="191">
        <f>DamodaranUS!$V57-DamodaranUS!$Y57</f>
        <v>0.12565397314372295</v>
      </c>
    </row>
    <row r="58" spans="1:37">
      <c r="A58" s="180">
        <v>1965</v>
      </c>
      <c r="B58" s="181">
        <f>('[1]S&amp;P 500 &amp; Raw Data'!B41-'[1]S&amp;P 500 &amp; Raw Data'!B40+'[1]S&amp;P 500 &amp; Raw Data'!C41)/'[1]S&amp;P 500 &amp; Raw Data'!B40</f>
        <v>0.12399242477876114</v>
      </c>
      <c r="C58" s="181">
        <f>'[1]Small Cap'!B39</f>
        <v>0.45240000000000002</v>
      </c>
      <c r="D58" s="181">
        <f>'[1]T. Bill rates'!C43</f>
        <v>3.9490763052208833E-2</v>
      </c>
      <c r="E58" s="181">
        <f>'[1]S&amp;P 500 &amp; Raw Data'!F41</f>
        <v>7.1885509359262342E-3</v>
      </c>
      <c r="F58" s="181">
        <f>'[1]S&amp;P 500 &amp; Raw Data'!J41</f>
        <v>3.1900094622538809E-2</v>
      </c>
      <c r="G58" s="181">
        <f>'[1]Home Prices'!B41/'[1]Home Prices'!B40-1</f>
        <v>1.6580310880829119E-2</v>
      </c>
      <c r="H58" s="181">
        <f>'[1]Gold Prices'!B40/'[1]Gold Prices'!B39-1</f>
        <v>5.6980056980049376E-4</v>
      </c>
      <c r="I58" s="182">
        <f t="shared" si="11"/>
        <v>2990.9706741017444</v>
      </c>
      <c r="J58" s="183">
        <f t="shared" si="11"/>
        <v>14909.21079632912</v>
      </c>
      <c r="K58" s="183">
        <f t="shared" si="11"/>
        <v>180.03543444002773</v>
      </c>
      <c r="L58" s="183">
        <f t="shared" si="11"/>
        <v>274.48905762558695</v>
      </c>
      <c r="M58" s="183">
        <f t="shared" si="11"/>
        <v>602.47380015761109</v>
      </c>
      <c r="N58" s="183">
        <f t="shared" si="11"/>
        <v>278.32029510818177</v>
      </c>
      <c r="O58" s="183">
        <f t="shared" si="11"/>
        <v>170.15503875968989</v>
      </c>
      <c r="P58" s="184">
        <f t="shared" si="0"/>
        <v>8.450166172655231E-2</v>
      </c>
      <c r="Q58" s="184">
        <f t="shared" si="1"/>
        <v>0.11680387384283492</v>
      </c>
      <c r="R58" s="185">
        <f>DamodaranUS!$C58-DamodaranUS!$B58</f>
        <v>0.32840757522123887</v>
      </c>
      <c r="S58" s="185">
        <f t="shared" si="2"/>
        <v>9.2092330156222341E-2</v>
      </c>
      <c r="T58" s="185">
        <f t="shared" si="9"/>
        <v>6.6617941689874449E-2</v>
      </c>
      <c r="U58" s="187">
        <f>'[1]Inflation Rate'!C63</f>
        <v>1.9230799999999999E-2</v>
      </c>
      <c r="V58" s="191">
        <f t="shared" si="10"/>
        <v>0.10278498724603002</v>
      </c>
      <c r="W58" s="191">
        <f t="shared" si="10"/>
        <v>0.42499618339634138</v>
      </c>
      <c r="X58" s="191">
        <f t="shared" si="10"/>
        <v>1.9877698998312043E-2</v>
      </c>
      <c r="Y58" s="191">
        <f t="shared" si="10"/>
        <v>-1.1815036460901651E-2</v>
      </c>
      <c r="Z58" s="191">
        <f t="shared" si="10"/>
        <v>1.2430250952520927E-2</v>
      </c>
      <c r="AA58" s="191">
        <f t="shared" si="10"/>
        <v>-2.6004798120022876E-3</v>
      </c>
      <c r="AB58" s="191">
        <f t="shared" si="10"/>
        <v>-1.8308904548606231E-2</v>
      </c>
      <c r="AC58" s="189">
        <f t="shared" si="12"/>
        <v>1627.1635254059674</v>
      </c>
      <c r="AD58" s="193">
        <f t="shared" si="12"/>
        <v>8224.604641641512</v>
      </c>
      <c r="AE58" s="190">
        <f t="shared" si="12"/>
        <v>97.943819622841588</v>
      </c>
      <c r="AF58" s="190">
        <f t="shared" si="12"/>
        <v>149.32897422190442</v>
      </c>
      <c r="AG58" s="190">
        <f t="shared" si="12"/>
        <v>327.76095102423614</v>
      </c>
      <c r="AH58" s="190">
        <f t="shared" si="12"/>
        <v>151.41326409569891</v>
      </c>
      <c r="AI58" s="190">
        <f t="shared" si="12"/>
        <v>92.568635035833722</v>
      </c>
      <c r="AJ58" s="191">
        <f>DamodaranUS!$V58-DamodaranUS!$X58</f>
        <v>8.2907288247717981E-2</v>
      </c>
      <c r="AK58" s="191">
        <f>DamodaranUS!$V58-DamodaranUS!$Y58</f>
        <v>0.11460002370693168</v>
      </c>
    </row>
    <row r="59" spans="1:37">
      <c r="A59" s="180">
        <v>1966</v>
      </c>
      <c r="B59" s="181">
        <f>('[1]S&amp;P 500 &amp; Raw Data'!B42-'[1]S&amp;P 500 &amp; Raw Data'!B41+'[1]S&amp;P 500 &amp; Raw Data'!C42)/'[1]S&amp;P 500 &amp; Raw Data'!B41</f>
        <v>-9.9709542356377898E-2</v>
      </c>
      <c r="C59" s="181">
        <f>'[1]Small Cap'!B40</f>
        <v>-9.4700000000000006E-2</v>
      </c>
      <c r="D59" s="181">
        <f>'[1]T. Bill rates'!C44</f>
        <v>4.8557199999999995E-2</v>
      </c>
      <c r="E59" s="181">
        <f>'[1]S&amp;P 500 &amp; Raw Data'!F42</f>
        <v>2.9079409324299622E-2</v>
      </c>
      <c r="F59" s="181">
        <f>'[1]S&amp;P 500 &amp; Raw Data'!J42</f>
        <v>-3.4453615975776369E-2</v>
      </c>
      <c r="G59" s="181">
        <f>'[1]Home Prices'!B42/'[1]Home Prices'!B41-1</f>
        <v>1.2232415902140525E-2</v>
      </c>
      <c r="H59" s="181">
        <f>'[1]Gold Prices'!B41/'[1]Gold Prices'!B40-1</f>
        <v>2.8473804100248579E-4</v>
      </c>
      <c r="I59" s="182">
        <f t="shared" si="11"/>
        <v>2692.7423569857124</v>
      </c>
      <c r="J59" s="183">
        <f t="shared" si="11"/>
        <v>13497.308533916752</v>
      </c>
      <c r="K59" s="183">
        <f t="shared" si="11"/>
        <v>188.77745103721907</v>
      </c>
      <c r="L59" s="183">
        <f t="shared" si="11"/>
        <v>282.47103728732264</v>
      </c>
      <c r="M59" s="183">
        <f t="shared" si="11"/>
        <v>581.71639921151416</v>
      </c>
      <c r="N59" s="183">
        <f t="shared" si="11"/>
        <v>281.72482471195156</v>
      </c>
      <c r="O59" s="183">
        <f t="shared" si="11"/>
        <v>170.20348837209303</v>
      </c>
      <c r="P59" s="184">
        <f t="shared" si="0"/>
        <v>-0.14826674235637788</v>
      </c>
      <c r="Q59" s="184">
        <f t="shared" si="1"/>
        <v>-0.12878895168067753</v>
      </c>
      <c r="R59" s="185">
        <f>DamodaranUS!$C59-DamodaranUS!$B59</f>
        <v>5.0095423563778912E-3</v>
      </c>
      <c r="S59" s="185">
        <f t="shared" si="2"/>
        <v>-6.5255926380601528E-2</v>
      </c>
      <c r="T59" s="185">
        <f t="shared" si="9"/>
        <v>6.1123719679815336E-2</v>
      </c>
      <c r="U59" s="187">
        <f>'[1]Inflation Rate'!C64</f>
        <v>3.4591200000000003E-2</v>
      </c>
      <c r="V59" s="191">
        <f t="shared" si="10"/>
        <v>-0.12981044334842384</v>
      </c>
      <c r="W59" s="191">
        <f t="shared" si="10"/>
        <v>-0.12496839331322351</v>
      </c>
      <c r="X59" s="191">
        <f t="shared" si="10"/>
        <v>1.3499051606083778E-2</v>
      </c>
      <c r="Y59" s="191">
        <f t="shared" si="10"/>
        <v>-5.3275058551631727E-3</v>
      </c>
      <c r="Z59" s="191">
        <f t="shared" si="10"/>
        <v>-6.6736326363278864E-2</v>
      </c>
      <c r="AA59" s="191">
        <f t="shared" si="10"/>
        <v>-2.1611225861827732E-2</v>
      </c>
      <c r="AB59" s="191">
        <f t="shared" si="10"/>
        <v>-3.3159437233757139E-2</v>
      </c>
      <c r="AC59" s="189">
        <f t="shared" si="12"/>
        <v>1415.9407067726345</v>
      </c>
      <c r="AD59" s="193">
        <f t="shared" si="12"/>
        <v>7196.789013939092</v>
      </c>
      <c r="AE59" s="190">
        <f t="shared" si="12"/>
        <v>99.265968298427282</v>
      </c>
      <c r="AF59" s="190">
        <f t="shared" si="12"/>
        <v>148.5334232373917</v>
      </c>
      <c r="AG59" s="190">
        <f t="shared" si="12"/>
        <v>305.88738922754408</v>
      </c>
      <c r="AH59" s="190">
        <f t="shared" si="12"/>
        <v>148.1410378468502</v>
      </c>
      <c r="AI59" s="190">
        <f t="shared" si="12"/>
        <v>89.499111192548426</v>
      </c>
      <c r="AJ59" s="191">
        <f>DamodaranUS!$V59-DamodaranUS!$X59</f>
        <v>-0.14330949495450762</v>
      </c>
      <c r="AK59" s="191">
        <f>DamodaranUS!$V59-DamodaranUS!$Y59</f>
        <v>-0.12448293749326067</v>
      </c>
    </row>
    <row r="60" spans="1:37">
      <c r="A60" s="180">
        <v>1967</v>
      </c>
      <c r="B60" s="181">
        <f>('[1]S&amp;P 500 &amp; Raw Data'!B43-'[1]S&amp;P 500 &amp; Raw Data'!B42+'[1]S&amp;P 500 &amp; Raw Data'!C43)/'[1]S&amp;P 500 &amp; Raw Data'!B42</f>
        <v>0.23802966513133328</v>
      </c>
      <c r="C60" s="181">
        <f>'[1]Small Cap'!B41</f>
        <v>1.1587000000000001</v>
      </c>
      <c r="D60" s="181">
        <f>'[1]T. Bill rates'!C45</f>
        <v>4.2934538152610439E-2</v>
      </c>
      <c r="E60" s="181">
        <f>'[1]S&amp;P 500 &amp; Raw Data'!F43</f>
        <v>-1.5806209932824666E-2</v>
      </c>
      <c r="F60" s="181">
        <f>'[1]S&amp;P 500 &amp; Raw Data'!J43</f>
        <v>8.9522661484468247E-3</v>
      </c>
      <c r="G60" s="181">
        <f>'[1]Home Prices'!B43/'[1]Home Prices'!B42-1</f>
        <v>2.3162134944612278E-2</v>
      </c>
      <c r="H60" s="181">
        <f>'[1]Gold Prices'!B42/'[1]Gold Prices'!B41-1</f>
        <v>-5.1238257899230977E-3</v>
      </c>
      <c r="I60" s="182">
        <f t="shared" si="11"/>
        <v>3333.6949185039784</v>
      </c>
      <c r="J60" s="183">
        <f t="shared" si="11"/>
        <v>29136.639932166094</v>
      </c>
      <c r="K60" s="183">
        <f t="shared" si="11"/>
        <v>196.8825237111291</v>
      </c>
      <c r="L60" s="183">
        <f t="shared" si="11"/>
        <v>278.0062407720165</v>
      </c>
      <c r="M60" s="183">
        <f t="shared" si="11"/>
        <v>586.92407924017186</v>
      </c>
      <c r="N60" s="183">
        <f t="shared" si="11"/>
        <v>288.25017311917702</v>
      </c>
      <c r="O60" s="183">
        <f t="shared" si="11"/>
        <v>169.33139534883722</v>
      </c>
      <c r="P60" s="184">
        <f t="shared" si="0"/>
        <v>0.19509512697872283</v>
      </c>
      <c r="Q60" s="184">
        <f t="shared" si="1"/>
        <v>0.25383587506415795</v>
      </c>
      <c r="R60" s="185">
        <f>DamodaranUS!$C60-DamodaranUS!$B60</f>
        <v>0.92067033486866678</v>
      </c>
      <c r="S60" s="185">
        <f t="shared" si="2"/>
        <v>0.22907739898288645</v>
      </c>
      <c r="T60" s="185">
        <f t="shared" si="9"/>
        <v>6.5732838776739522E-2</v>
      </c>
      <c r="U60" s="187">
        <f>'[1]Inflation Rate'!C65</f>
        <v>3.0395099999999998E-2</v>
      </c>
      <c r="V60" s="191">
        <f t="shared" si="10"/>
        <v>0.20150965889815775</v>
      </c>
      <c r="W60" s="191">
        <f t="shared" si="10"/>
        <v>1.0950216087013613</v>
      </c>
      <c r="X60" s="191">
        <f t="shared" si="10"/>
        <v>1.2169543656225246E-2</v>
      </c>
      <c r="Y60" s="191">
        <f t="shared" si="10"/>
        <v>-4.4838441033759446E-2</v>
      </c>
      <c r="Z60" s="191">
        <f t="shared" si="10"/>
        <v>-2.0810302622317534E-2</v>
      </c>
      <c r="AA60" s="191">
        <f t="shared" si="10"/>
        <v>-7.0196035048960548E-3</v>
      </c>
      <c r="AB60" s="191">
        <f t="shared" si="10"/>
        <v>-3.4471171097303466E-2</v>
      </c>
      <c r="AC60" s="189">
        <f t="shared" si="12"/>
        <v>1701.2664356144044</v>
      </c>
      <c r="AD60" s="193">
        <f t="shared" si="12"/>
        <v>15077.428497466961</v>
      </c>
      <c r="AE60" s="190">
        <f t="shared" si="12"/>
        <v>100.47398983321247</v>
      </c>
      <c r="AF60" s="190">
        <f t="shared" si="12"/>
        <v>141.87341609801948</v>
      </c>
      <c r="AG60" s="190">
        <f t="shared" si="12"/>
        <v>299.52178008936824</v>
      </c>
      <c r="AH60" s="190">
        <f t="shared" si="12"/>
        <v>147.10114649836152</v>
      </c>
      <c r="AI60" s="190">
        <f t="shared" si="12"/>
        <v>86.413972017573499</v>
      </c>
      <c r="AJ60" s="191">
        <f>DamodaranUS!$V60-DamodaranUS!$X60</f>
        <v>0.18934011524193251</v>
      </c>
      <c r="AK60" s="191">
        <f>DamodaranUS!$V60-DamodaranUS!$Y60</f>
        <v>0.2463480999319172</v>
      </c>
    </row>
    <row r="61" spans="1:37">
      <c r="A61" s="180">
        <v>1968</v>
      </c>
      <c r="B61" s="181">
        <f>('[1]S&amp;P 500 &amp; Raw Data'!B44-'[1]S&amp;P 500 &amp; Raw Data'!B43+'[1]S&amp;P 500 &amp; Raw Data'!C44)/'[1]S&amp;P 500 &amp; Raw Data'!B43</f>
        <v>0.10814862651601535</v>
      </c>
      <c r="C61" s="181">
        <f>'[1]Small Cap'!B42</f>
        <v>0.6069</v>
      </c>
      <c r="D61" s="181">
        <f>'[1]T. Bill rates'!C46</f>
        <v>5.3376E-2</v>
      </c>
      <c r="E61" s="181">
        <f>'[1]S&amp;P 500 &amp; Raw Data'!F44</f>
        <v>3.2746196950768365E-2</v>
      </c>
      <c r="F61" s="181">
        <f>'[1]S&amp;P 500 &amp; Raw Data'!J44</f>
        <v>4.845146224309746E-2</v>
      </c>
      <c r="G61" s="181">
        <f>'[1]Home Prices'!B44/'[1]Home Prices'!B43-1</f>
        <v>4.1338582677165281E-2</v>
      </c>
      <c r="H61" s="181">
        <f>'[1]Gold Prices'!B43/'[1]Gold Prices'!B42-1</f>
        <v>0.12474964234620889</v>
      </c>
      <c r="I61" s="182">
        <f t="shared" si="11"/>
        <v>3694.2294451636035</v>
      </c>
      <c r="J61" s="183">
        <f>J60*(1+C61)</f>
        <v>46819.666706997697</v>
      </c>
      <c r="K61" s="183">
        <f t="shared" si="11"/>
        <v>207.39132529673435</v>
      </c>
      <c r="L61" s="183">
        <f t="shared" si="11"/>
        <v>287.10988788587969</v>
      </c>
      <c r="M61" s="183">
        <f t="shared" si="11"/>
        <v>615.36140910504173</v>
      </c>
      <c r="N61" s="183">
        <f t="shared" si="11"/>
        <v>300.16602673237134</v>
      </c>
      <c r="O61" s="183">
        <f t="shared" si="11"/>
        <v>190.45542635658916</v>
      </c>
      <c r="P61" s="184">
        <f t="shared" si="0"/>
        <v>5.4772626516015353E-2</v>
      </c>
      <c r="Q61" s="184">
        <f t="shared" si="1"/>
        <v>7.5402429565246981E-2</v>
      </c>
      <c r="R61" s="185">
        <f>DamodaranUS!$C61-DamodaranUS!$B61</f>
        <v>0.49875137348398463</v>
      </c>
      <c r="S61" s="185">
        <f t="shared" si="2"/>
        <v>5.9697164272917894E-2</v>
      </c>
      <c r="T61" s="185">
        <f t="shared" si="9"/>
        <v>6.596627828748769E-2</v>
      </c>
      <c r="U61" s="187">
        <f>'[1]Inflation Rate'!C66</f>
        <v>4.7197599999999999E-2</v>
      </c>
      <c r="V61" s="191">
        <f t="shared" si="10"/>
        <v>5.8203940226768447E-2</v>
      </c>
      <c r="W61" s="191">
        <f t="shared" si="10"/>
        <v>0.53447639681374359</v>
      </c>
      <c r="X61" s="191">
        <f t="shared" si="10"/>
        <v>5.8999371274341961E-3</v>
      </c>
      <c r="Y61" s="191">
        <f t="shared" si="10"/>
        <v>-1.3800072736255053E-2</v>
      </c>
      <c r="Z61" s="191">
        <f t="shared" si="10"/>
        <v>1.1973501878703718E-3</v>
      </c>
      <c r="AA61" s="191">
        <f t="shared" si="10"/>
        <v>-5.5949491507951699E-3</v>
      </c>
      <c r="AB61" s="191">
        <f t="shared" si="10"/>
        <v>7.4056741866299847E-2</v>
      </c>
      <c r="AC61" s="189">
        <f t="shared" si="12"/>
        <v>1800.2868455427126</v>
      </c>
      <c r="AD61" s="193">
        <f t="shared" si="12"/>
        <v>23135.958154009957</v>
      </c>
      <c r="AE61" s="190">
        <f t="shared" si="12"/>
        <v>101.06678005617088</v>
      </c>
      <c r="AF61" s="190">
        <f t="shared" si="12"/>
        <v>139.91555263652583</v>
      </c>
      <c r="AG61" s="190">
        <f t="shared" si="12"/>
        <v>299.88041254902953</v>
      </c>
      <c r="AH61" s="190">
        <f t="shared" si="12"/>
        <v>146.27812306367952</v>
      </c>
      <c r="AI61" s="190">
        <f t="shared" si="12"/>
        <v>92.813509236920595</v>
      </c>
      <c r="AJ61" s="191">
        <f>DamodaranUS!$V61-DamodaranUS!$X61</f>
        <v>5.2304003099334251E-2</v>
      </c>
      <c r="AK61" s="191">
        <f>DamodaranUS!$V61-DamodaranUS!$Y61</f>
        <v>7.20040129630235E-2</v>
      </c>
    </row>
    <row r="62" spans="1:37">
      <c r="A62" s="180">
        <v>1969</v>
      </c>
      <c r="B62" s="181">
        <f>('[1]S&amp;P 500 &amp; Raw Data'!B45-'[1]S&amp;P 500 &amp; Raw Data'!B44+'[1]S&amp;P 500 &amp; Raw Data'!C45)/'[1]S&amp;P 500 &amp; Raw Data'!B44</f>
        <v>-8.2413710764490639E-2</v>
      </c>
      <c r="C62" s="181">
        <f>'[1]Small Cap'!B43</f>
        <v>-0.32950000000000002</v>
      </c>
      <c r="D62" s="181">
        <f>'[1]T. Bill rates'!C47</f>
        <v>6.668467741935484E-2</v>
      </c>
      <c r="E62" s="181">
        <f>'[1]S&amp;P 500 &amp; Raw Data'!F45</f>
        <v>-5.0140493209926106E-2</v>
      </c>
      <c r="F62" s="181">
        <f>'[1]S&amp;P 500 &amp; Raw Data'!J45</f>
        <v>-2.0251642507921469E-2</v>
      </c>
      <c r="G62" s="181">
        <f>'[1]Home Prices'!B45/'[1]Home Prices'!B44-1</f>
        <v>6.9943289224952743E-2</v>
      </c>
      <c r="H62" s="181">
        <f>'[1]Gold Prices'!B44/'[1]Gold Prices'!B43-1</f>
        <v>5.0114474688374377E-2</v>
      </c>
      <c r="I62" s="182">
        <f t="shared" si="11"/>
        <v>3389.7742881722256</v>
      </c>
      <c r="J62" s="183">
        <f t="shared" si="11"/>
        <v>31392.586527041956</v>
      </c>
      <c r="K62" s="183">
        <f t="shared" si="11"/>
        <v>221.22114892371957</v>
      </c>
      <c r="L62" s="183">
        <f t="shared" si="11"/>
        <v>272.7140565018351</v>
      </c>
      <c r="M62" s="183">
        <f t="shared" si="11"/>
        <v>602.89932983467565</v>
      </c>
      <c r="N62" s="183">
        <f t="shared" si="11"/>
        <v>321.16062595561846</v>
      </c>
      <c r="O62" s="183">
        <f t="shared" si="11"/>
        <v>200</v>
      </c>
      <c r="P62" s="184">
        <f t="shared" si="0"/>
        <v>-0.14909838818384546</v>
      </c>
      <c r="Q62" s="184">
        <f t="shared" si="1"/>
        <v>-3.2273217554564533E-2</v>
      </c>
      <c r="R62" s="185">
        <f>DamodaranUS!$C62-DamodaranUS!$B62</f>
        <v>-0.24708628923550938</v>
      </c>
      <c r="S62" s="185">
        <f t="shared" si="2"/>
        <v>-6.216206825656917E-2</v>
      </c>
      <c r="T62" s="185">
        <f t="shared" si="9"/>
        <v>6.3333872734198771E-2</v>
      </c>
      <c r="U62" s="187">
        <f>'[1]Inflation Rate'!C67</f>
        <v>6.19718E-2</v>
      </c>
      <c r="V62" s="191">
        <f t="shared" si="10"/>
        <v>-0.13595983505822917</v>
      </c>
      <c r="W62" s="191">
        <f t="shared" si="10"/>
        <v>-0.36862730253289211</v>
      </c>
      <c r="X62" s="191">
        <f t="shared" si="10"/>
        <v>4.4378555243695939E-3</v>
      </c>
      <c r="Y62" s="191">
        <f t="shared" si="10"/>
        <v>-0.10556993435223616</v>
      </c>
      <c r="Z62" s="191">
        <f t="shared" si="10"/>
        <v>-7.7425259793076906E-2</v>
      </c>
      <c r="AA62" s="191">
        <f t="shared" si="10"/>
        <v>7.5063097013994273E-3</v>
      </c>
      <c r="AB62" s="191">
        <f t="shared" si="10"/>
        <v>-1.1165386229300633E-2</v>
      </c>
      <c r="AC62" s="189">
        <f t="shared" si="12"/>
        <v>1555.5201429652257</v>
      </c>
      <c r="AD62" s="193">
        <f t="shared" si="12"/>
        <v>14607.412308183397</v>
      </c>
      <c r="AE62" s="190">
        <f t="shared" si="12"/>
        <v>101.51529982437341</v>
      </c>
      <c r="AF62" s="190">
        <f t="shared" si="12"/>
        <v>125.14467692983095</v>
      </c>
      <c r="AG62" s="190">
        <f t="shared" si="12"/>
        <v>276.66209370056583</v>
      </c>
      <c r="AH62" s="190">
        <f t="shared" si="12"/>
        <v>147.37613195793492</v>
      </c>
      <c r="AI62" s="190">
        <f t="shared" si="12"/>
        <v>91.777210558993616</v>
      </c>
      <c r="AJ62" s="191">
        <f>DamodaranUS!$V62-DamodaranUS!$X62</f>
        <v>-0.14039769058259877</v>
      </c>
      <c r="AK62" s="191">
        <f>DamodaranUS!$V62-DamodaranUS!$Y62</f>
        <v>-3.0389900705993012E-2</v>
      </c>
    </row>
    <row r="63" spans="1:37">
      <c r="A63" s="180">
        <v>1970</v>
      </c>
      <c r="B63" s="181">
        <f>('[1]S&amp;P 500 &amp; Raw Data'!B46-'[1]S&amp;P 500 &amp; Raw Data'!B45+'[1]S&amp;P 500 &amp; Raw Data'!C46)/'[1]S&amp;P 500 &amp; Raw Data'!B45</f>
        <v>3.5611449054964189E-2</v>
      </c>
      <c r="C63" s="181">
        <f>'[1]Small Cap'!B44</f>
        <v>-0.18780000000000002</v>
      </c>
      <c r="D63" s="181">
        <f>'[1]T. Bill rates'!C48</f>
        <v>6.3909999999999995E-2</v>
      </c>
      <c r="E63" s="181">
        <f>'[1]S&amp;P 500 &amp; Raw Data'!F46</f>
        <v>0.16754737183412338</v>
      </c>
      <c r="F63" s="181">
        <f>'[1]S&amp;P 500 &amp; Raw Data'!J46</f>
        <v>5.6495676569888728E-2</v>
      </c>
      <c r="G63" s="181">
        <f>'[1]Home Prices'!B46/'[1]Home Prices'!B45-1</f>
        <v>8.2155477031802038E-2</v>
      </c>
      <c r="H63" s="181">
        <f>'[1]Gold Prices'!B45/'[1]Gold Prices'!B44-1</f>
        <v>-9.4476744186046457E-2</v>
      </c>
      <c r="I63" s="182">
        <f t="shared" si="11"/>
        <v>3510.4890625432981</v>
      </c>
      <c r="J63" s="183">
        <f t="shared" si="11"/>
        <v>25497.058777263479</v>
      </c>
      <c r="K63" s="183">
        <f t="shared" si="11"/>
        <v>235.35939255143447</v>
      </c>
      <c r="L63" s="183">
        <f t="shared" si="11"/>
        <v>318.40657993094021</v>
      </c>
      <c r="M63" s="183">
        <f t="shared" si="11"/>
        <v>636.96053537721821</v>
      </c>
      <c r="N63" s="183">
        <f t="shared" si="11"/>
        <v>347.54573038483443</v>
      </c>
      <c r="O63" s="183">
        <f t="shared" si="11"/>
        <v>181.1046511627907</v>
      </c>
      <c r="P63" s="184">
        <f t="shared" si="0"/>
        <v>-2.8298550945035805E-2</v>
      </c>
      <c r="Q63" s="184">
        <f t="shared" si="1"/>
        <v>-0.13193592277915919</v>
      </c>
      <c r="R63" s="185">
        <f>DamodaranUS!$C63-DamodaranUS!$B63</f>
        <v>-0.22341144905496421</v>
      </c>
      <c r="S63" s="185">
        <f t="shared" si="2"/>
        <v>-2.0884227514924539E-2</v>
      </c>
      <c r="T63" s="185">
        <f t="shared" si="9"/>
        <v>5.8972566666315007E-2</v>
      </c>
      <c r="U63" s="187">
        <f>'[1]Inflation Rate'!C68</f>
        <v>5.57029E-2</v>
      </c>
      <c r="V63" s="191">
        <f t="shared" si="10"/>
        <v>-1.9031349582383283E-2</v>
      </c>
      <c r="W63" s="191">
        <f t="shared" si="10"/>
        <v>-0.23065476091805748</v>
      </c>
      <c r="X63" s="191">
        <f t="shared" si="10"/>
        <v>7.7740621911712715E-3</v>
      </c>
      <c r="Y63" s="191">
        <f t="shared" si="10"/>
        <v>0.10594313213890327</v>
      </c>
      <c r="Z63" s="191">
        <f t="shared" si="10"/>
        <v>7.5094666301356305E-4</v>
      </c>
      <c r="AA63" s="191">
        <f t="shared" si="10"/>
        <v>2.5056838464498021E-2</v>
      </c>
      <c r="AB63" s="191">
        <f t="shared" si="10"/>
        <v>-0.14225559500314577</v>
      </c>
      <c r="AC63" s="189">
        <f t="shared" si="12"/>
        <v>1525.9164953420157</v>
      </c>
      <c r="AD63" s="193">
        <f t="shared" si="12"/>
        <v>11238.143114607865</v>
      </c>
      <c r="AE63" s="190">
        <f t="shared" si="12"/>
        <v>102.30448607856349</v>
      </c>
      <c r="AF63" s="190">
        <f t="shared" si="12"/>
        <v>138.40289597428838</v>
      </c>
      <c r="AG63" s="190">
        <f t="shared" si="12"/>
        <v>276.8698521766126</v>
      </c>
      <c r="AH63" s="190">
        <f t="shared" si="12"/>
        <v>151.06891188992745</v>
      </c>
      <c r="AI63" s="190">
        <f t="shared" si="12"/>
        <v>78.721388863194989</v>
      </c>
      <c r="AJ63" s="191">
        <f>DamodaranUS!$V63-DamodaranUS!$X63</f>
        <v>-2.6805411773554555E-2</v>
      </c>
      <c r="AK63" s="191">
        <f>DamodaranUS!$V63-DamodaranUS!$Y63</f>
        <v>-0.12497448172128656</v>
      </c>
    </row>
    <row r="64" spans="1:37">
      <c r="A64" s="180">
        <v>1971</v>
      </c>
      <c r="B64" s="181">
        <f>('[1]S&amp;P 500 &amp; Raw Data'!B47-'[1]S&amp;P 500 &amp; Raw Data'!B46+'[1]S&amp;P 500 &amp; Raw Data'!C47)/'[1]S&amp;P 500 &amp; Raw Data'!B46</f>
        <v>0.14221150298426474</v>
      </c>
      <c r="C64" s="181">
        <f>'[1]Small Cap'!B45</f>
        <v>0.15960000000000002</v>
      </c>
      <c r="D64" s="181">
        <f>'[1]T. Bill rates'!C49</f>
        <v>4.3342570281124503E-2</v>
      </c>
      <c r="E64" s="181">
        <f>'[1]S&amp;P 500 &amp; Raw Data'!F47</f>
        <v>9.7868966197122972E-2</v>
      </c>
      <c r="F64" s="181">
        <f>'[1]S&amp;P 500 &amp; Raw Data'!J47</f>
        <v>0.1400146617421994</v>
      </c>
      <c r="G64" s="181">
        <f>'[1]Home Prices'!B47/'[1]Home Prices'!B46-1</f>
        <v>4.24489795918368E-2</v>
      </c>
      <c r="H64" s="181">
        <f>'[1]Gold Prices'!B46/'[1]Gold Prices'!B45-1</f>
        <v>0.16693418940609939</v>
      </c>
      <c r="I64" s="182">
        <f t="shared" si="11"/>
        <v>4009.720988337403</v>
      </c>
      <c r="J64" s="183">
        <f>J63*(1+C64)</f>
        <v>29566.389358114728</v>
      </c>
      <c r="K64" s="183">
        <f t="shared" si="11"/>
        <v>245.5604735644178</v>
      </c>
      <c r="L64" s="183">
        <f t="shared" si="11"/>
        <v>349.56870273914296</v>
      </c>
      <c r="M64" s="183">
        <f t="shared" si="11"/>
        <v>726.14434928118965</v>
      </c>
      <c r="N64" s="183">
        <f t="shared" si="11"/>
        <v>362.29869200117025</v>
      </c>
      <c r="O64" s="183">
        <f t="shared" si="11"/>
        <v>211.33720930232556</v>
      </c>
      <c r="P64" s="184">
        <f t="shared" si="0"/>
        <v>9.8868932703140233E-2</v>
      </c>
      <c r="Q64" s="184">
        <f t="shared" si="1"/>
        <v>4.434253678714177E-2</v>
      </c>
      <c r="R64" s="185">
        <f>DamodaranUS!$C64-DamodaranUS!$B64</f>
        <v>1.7388497015735277E-2</v>
      </c>
      <c r="S64" s="185">
        <f t="shared" si="2"/>
        <v>2.1968412420653449E-3</v>
      </c>
      <c r="T64" s="185">
        <f t="shared" si="9"/>
        <v>5.8660636809878541E-2</v>
      </c>
      <c r="U64" s="187">
        <f>'[1]Inflation Rate'!C69</f>
        <v>3.2663299999999999E-2</v>
      </c>
      <c r="V64" s="191">
        <f t="shared" si="10"/>
        <v>0.10608317636955311</v>
      </c>
      <c r="W64" s="191">
        <f t="shared" si="10"/>
        <v>0.12292167253353536</v>
      </c>
      <c r="X64" s="191">
        <f t="shared" si="10"/>
        <v>1.0341483309346255E-2</v>
      </c>
      <c r="Y64" s="191">
        <f t="shared" si="10"/>
        <v>6.3143200883698514E-2</v>
      </c>
      <c r="Z64" s="191">
        <f t="shared" si="10"/>
        <v>0.10395582155597016</v>
      </c>
      <c r="AA64" s="191">
        <f t="shared" si="10"/>
        <v>9.4761570318580013E-3</v>
      </c>
      <c r="AB64" s="191">
        <f t="shared" si="10"/>
        <v>0.13002388039363777</v>
      </c>
      <c r="AC64" s="189">
        <f t="shared" si="12"/>
        <v>1687.7905640425931</v>
      </c>
      <c r="AD64" s="193">
        <f t="shared" si="12"/>
        <v>12619.554462426699</v>
      </c>
      <c r="AE64" s="190">
        <f t="shared" si="12"/>
        <v>103.36246621381619</v>
      </c>
      <c r="AF64" s="190">
        <f t="shared" si="12"/>
        <v>147.14209783767851</v>
      </c>
      <c r="AG64" s="190">
        <f t="shared" si="12"/>
        <v>305.65208512371237</v>
      </c>
      <c r="AH64" s="190">
        <f t="shared" si="12"/>
        <v>152.50046462162831</v>
      </c>
      <c r="AI64" s="190">
        <f t="shared" si="12"/>
        <v>88.957049313164106</v>
      </c>
      <c r="AJ64" s="191">
        <f>DamodaranUS!$V64-DamodaranUS!$X64</f>
        <v>9.5741693060206856E-2</v>
      </c>
      <c r="AK64" s="191">
        <f>DamodaranUS!$V64-DamodaranUS!$Y64</f>
        <v>4.2939975485854598E-2</v>
      </c>
    </row>
    <row r="65" spans="1:37">
      <c r="A65" s="180">
        <v>1972</v>
      </c>
      <c r="B65" s="181">
        <f>('[1]S&amp;P 500 &amp; Raw Data'!B48-'[1]S&amp;P 500 &amp; Raw Data'!B47+'[1]S&amp;P 500 &amp; Raw Data'!C48)/'[1]S&amp;P 500 &amp; Raw Data'!B47</f>
        <v>0.18755362915074925</v>
      </c>
      <c r="C65" s="181">
        <f>'[1]Small Cap'!B46</f>
        <v>1.6000000000000001E-3</v>
      </c>
      <c r="D65" s="181">
        <f>'[1]T. Bill rates'!C50</f>
        <v>4.0618399999999999E-2</v>
      </c>
      <c r="E65" s="181">
        <f>'[1]S&amp;P 500 &amp; Raw Data'!F48</f>
        <v>2.818449050444969E-2</v>
      </c>
      <c r="F65" s="181">
        <f>'[1]S&amp;P 500 &amp; Raw Data'!J48</f>
        <v>0.11409093579389698</v>
      </c>
      <c r="G65" s="181">
        <f>'[1]Home Prices'!B48/'[1]Home Prices'!B47-1</f>
        <v>2.9757243539545897E-2</v>
      </c>
      <c r="H65" s="181">
        <f>'[1]Gold Prices'!B47/'[1]Gold Prices'!B46-1</f>
        <v>0.48784961027051832</v>
      </c>
      <c r="I65" s="182">
        <f t="shared" si="11"/>
        <v>4761.7587115820115</v>
      </c>
      <c r="J65" s="183">
        <f t="shared" si="11"/>
        <v>29613.695581087712</v>
      </c>
      <c r="K65" s="183">
        <f t="shared" si="11"/>
        <v>255.53474710384677</v>
      </c>
      <c r="L65" s="183">
        <f t="shared" si="11"/>
        <v>359.42111852214714</v>
      </c>
      <c r="M65" s="183">
        <f t="shared" si="11"/>
        <v>808.99083761213103</v>
      </c>
      <c r="N65" s="183">
        <f t="shared" si="11"/>
        <v>373.07970241310801</v>
      </c>
      <c r="O65" s="183">
        <f t="shared" si="11"/>
        <v>314.43798449612405</v>
      </c>
      <c r="P65" s="184">
        <f t="shared" si="0"/>
        <v>0.14693522915074925</v>
      </c>
      <c r="Q65" s="184">
        <f t="shared" si="1"/>
        <v>0.15936913864629956</v>
      </c>
      <c r="R65" s="185">
        <f>DamodaranUS!$C65-DamodaranUS!$B65</f>
        <v>-0.18595362915074926</v>
      </c>
      <c r="S65" s="185">
        <f t="shared" si="2"/>
        <v>7.3462693356852266E-2</v>
      </c>
      <c r="T65" s="185">
        <f t="shared" si="9"/>
        <v>6.0804303728189568E-2</v>
      </c>
      <c r="U65" s="187">
        <f>'[1]Inflation Rate'!C70</f>
        <v>3.4063299999999998E-2</v>
      </c>
      <c r="V65" s="191">
        <f t="shared" si="10"/>
        <v>0.14843417143877868</v>
      </c>
      <c r="W65" s="191">
        <f t="shared" si="10"/>
        <v>-3.1393919501833123E-2</v>
      </c>
      <c r="X65" s="191">
        <f t="shared" si="10"/>
        <v>6.3391670509920228E-3</v>
      </c>
      <c r="Y65" s="191">
        <f t="shared" si="10"/>
        <v>-5.6851543764778745E-3</v>
      </c>
      <c r="Z65" s="191">
        <f t="shared" si="10"/>
        <v>7.739142835249746E-2</v>
      </c>
      <c r="AA65" s="191">
        <f t="shared" si="10"/>
        <v>-4.1642097349882112E-3</v>
      </c>
      <c r="AB65" s="191">
        <f t="shared" si="10"/>
        <v>0.43883803851323067</v>
      </c>
      <c r="AC65" s="189">
        <f t="shared" si="12"/>
        <v>1938.3163579784443</v>
      </c>
      <c r="AD65" s="193">
        <f t="shared" si="12"/>
        <v>12223.377185484276</v>
      </c>
      <c r="AE65" s="190">
        <f t="shared" si="12"/>
        <v>104.01769815394809</v>
      </c>
      <c r="AF65" s="190">
        <f t="shared" si="12"/>
        <v>146.30557229619248</v>
      </c>
      <c r="AG65" s="190">
        <f t="shared" si="12"/>
        <v>329.30693657035562</v>
      </c>
      <c r="AH65" s="190">
        <f t="shared" si="12"/>
        <v>151.86542070226071</v>
      </c>
      <c r="AI65" s="190">
        <f t="shared" si="12"/>
        <v>127.99478634567778</v>
      </c>
      <c r="AJ65" s="191">
        <f>DamodaranUS!$V65-DamodaranUS!$X65</f>
        <v>0.14209500438778666</v>
      </c>
      <c r="AK65" s="191">
        <f>DamodaranUS!$V65-DamodaranUS!$Y65</f>
        <v>0.15411932581525656</v>
      </c>
    </row>
    <row r="66" spans="1:37">
      <c r="A66" s="180">
        <v>1973</v>
      </c>
      <c r="B66" s="181">
        <f>('[1]S&amp;P 500 &amp; Raw Data'!B49-'[1]S&amp;P 500 &amp; Raw Data'!B48+'[1]S&amp;P 500 &amp; Raw Data'!C49)/'[1]S&amp;P 500 &amp; Raw Data'!B48</f>
        <v>-0.14308047437526472</v>
      </c>
      <c r="C66" s="181">
        <f>'[1]Small Cap'!B47</f>
        <v>-0.38799999999999996</v>
      </c>
      <c r="D66" s="181">
        <f>'[1]T. Bill rates'!C51</f>
        <v>7.0354435483870964E-2</v>
      </c>
      <c r="E66" s="181">
        <f>'[1]S&amp;P 500 &amp; Raw Data'!F49</f>
        <v>3.6586646024150085E-2</v>
      </c>
      <c r="F66" s="181">
        <f>'[1]S&amp;P 500 &amp; Raw Data'!J49</f>
        <v>4.3180404854323576E-2</v>
      </c>
      <c r="G66" s="181">
        <f>'[1]Home Prices'!B49/'[1]Home Prices'!B48-1</f>
        <v>3.4220532319391594E-2</v>
      </c>
      <c r="H66" s="181">
        <f>'[1]Gold Prices'!B48/'[1]Gold Prices'!B47-1</f>
        <v>0.72958397534668706</v>
      </c>
      <c r="I66" s="182">
        <f t="shared" si="11"/>
        <v>4080.4440162683081</v>
      </c>
      <c r="J66" s="183">
        <f t="shared" si="11"/>
        <v>18123.581695625682</v>
      </c>
      <c r="K66" s="183">
        <f t="shared" si="11"/>
        <v>273.51274998285163</v>
      </c>
      <c r="L66" s="183">
        <f t="shared" si="11"/>
        <v>372.57113175912104</v>
      </c>
      <c r="M66" s="183">
        <f t="shared" si="11"/>
        <v>843.92338950366127</v>
      </c>
      <c r="N66" s="183">
        <f t="shared" si="11"/>
        <v>385.84668842724477</v>
      </c>
      <c r="O66" s="183">
        <f t="shared" si="11"/>
        <v>543.84689922480618</v>
      </c>
      <c r="P66" s="184">
        <f t="shared" si="0"/>
        <v>-0.21343490985913569</v>
      </c>
      <c r="Q66" s="184">
        <f t="shared" si="1"/>
        <v>-0.17966712039941479</v>
      </c>
      <c r="R66" s="185">
        <f>DamodaranUS!$C66-DamodaranUS!$B66</f>
        <v>-0.24491952562473523</v>
      </c>
      <c r="S66" s="185">
        <f t="shared" si="2"/>
        <v>-0.18626087922958828</v>
      </c>
      <c r="T66" s="185">
        <f t="shared" si="9"/>
        <v>5.4960045718843054E-2</v>
      </c>
      <c r="U66" s="187">
        <f>'[1]Inflation Rate'!C71</f>
        <v>8.7058800000000006E-2</v>
      </c>
      <c r="V66" s="191">
        <f t="shared" si="10"/>
        <v>-0.21170821152937158</v>
      </c>
      <c r="W66" s="191">
        <f t="shared" si="10"/>
        <v>-0.43701297482712065</v>
      </c>
      <c r="X66" s="191">
        <f t="shared" si="10"/>
        <v>-1.5366569422122445E-2</v>
      </c>
      <c r="Y66" s="191">
        <f t="shared" si="10"/>
        <v>-4.6430012779299479E-2</v>
      </c>
      <c r="Z66" s="191">
        <f t="shared" si="10"/>
        <v>-4.0364325412458379E-2</v>
      </c>
      <c r="AA66" s="191">
        <f t="shared" si="10"/>
        <v>-4.8606632576460918E-2</v>
      </c>
      <c r="AB66" s="191">
        <f t="shared" si="10"/>
        <v>0.59106754422731034</v>
      </c>
      <c r="AC66" s="189">
        <f t="shared" si="12"/>
        <v>1527.9588684527027</v>
      </c>
      <c r="AD66" s="193">
        <f t="shared" si="12"/>
        <v>6881.6027592218352</v>
      </c>
      <c r="AE66" s="190">
        <f t="shared" si="12"/>
        <v>102.41930297413607</v>
      </c>
      <c r="AF66" s="190">
        <f t="shared" si="12"/>
        <v>139.51260270479753</v>
      </c>
      <c r="AG66" s="190">
        <f t="shared" si="12"/>
        <v>316.01468422204999</v>
      </c>
      <c r="AH66" s="190">
        <f t="shared" si="12"/>
        <v>144.48375399711625</v>
      </c>
      <c r="AI66" s="190">
        <f t="shared" si="12"/>
        <v>203.64835038491682</v>
      </c>
      <c r="AJ66" s="191">
        <f>DamodaranUS!$V66-DamodaranUS!$X66</f>
        <v>-0.19634164210724914</v>
      </c>
      <c r="AK66" s="191">
        <f>DamodaranUS!$V66-DamodaranUS!$Y66</f>
        <v>-0.1652781987500721</v>
      </c>
    </row>
    <row r="67" spans="1:37">
      <c r="A67" s="180">
        <v>1974</v>
      </c>
      <c r="B67" s="181">
        <f>('[1]S&amp;P 500 &amp; Raw Data'!B50-'[1]S&amp;P 500 &amp; Raw Data'!B49+'[1]S&amp;P 500 &amp; Raw Data'!C50)/'[1]S&amp;P 500 &amp; Raw Data'!B49</f>
        <v>-0.25901785750896972</v>
      </c>
      <c r="C67" s="181">
        <f>'[1]Small Cap'!B48</f>
        <v>-0.26899999999999996</v>
      </c>
      <c r="D67" s="181">
        <f>'[1]T. Bill rates'!C52</f>
        <v>7.8457831325301208E-2</v>
      </c>
      <c r="E67" s="181">
        <f>'[1]S&amp;P 500 &amp; Raw Data'!F50</f>
        <v>1.9886086932378574E-2</v>
      </c>
      <c r="F67" s="181">
        <f>'[1]S&amp;P 500 &amp; Raw Data'!J50</f>
        <v>-4.3807197977191667E-2</v>
      </c>
      <c r="G67" s="181">
        <f>'[1]Home Prices'!B50/'[1]Home Prices'!B49-1</f>
        <v>0.10073529411764692</v>
      </c>
      <c r="H67" s="181">
        <f>'[1]Gold Prices'!B49/'[1]Gold Prices'!B48-1</f>
        <v>0.66146993318485525</v>
      </c>
      <c r="I67" s="182">
        <f t="shared" si="11"/>
        <v>3023.5361494891954</v>
      </c>
      <c r="J67" s="183">
        <f>J66*(1+C67)</f>
        <v>13248.338219502375</v>
      </c>
      <c r="K67" s="183">
        <f t="shared" si="11"/>
        <v>294.97196718632551</v>
      </c>
      <c r="L67" s="183">
        <f t="shared" si="11"/>
        <v>379.98011367377757</v>
      </c>
      <c r="M67" s="183">
        <f t="shared" si="11"/>
        <v>806.9534705020917</v>
      </c>
      <c r="N67" s="183">
        <f t="shared" si="11"/>
        <v>424.71506807028334</v>
      </c>
      <c r="O67" s="183">
        <f t="shared" si="11"/>
        <v>903.58527131782944</v>
      </c>
      <c r="P67" s="184">
        <f t="shared" si="0"/>
        <v>-0.33747568883427093</v>
      </c>
      <c r="Q67" s="184">
        <f t="shared" si="1"/>
        <v>-0.27890394444134831</v>
      </c>
      <c r="R67" s="185">
        <f>DamodaranUS!$C67-DamodaranUS!$B67</f>
        <v>-9.9821424910302436E-3</v>
      </c>
      <c r="S67" s="185">
        <f t="shared" si="2"/>
        <v>-0.21521065953177804</v>
      </c>
      <c r="T67" s="185">
        <f t="shared" si="9"/>
        <v>4.6417018581159875E-2</v>
      </c>
      <c r="U67" s="187">
        <f>'[1]Inflation Rate'!C72</f>
        <v>0.1233766</v>
      </c>
      <c r="V67" s="191">
        <f t="shared" si="10"/>
        <v>-0.34039738544399956</v>
      </c>
      <c r="W67" s="191">
        <f t="shared" si="10"/>
        <v>-0.34928322345329244</v>
      </c>
      <c r="X67" s="191">
        <f t="shared" si="10"/>
        <v>-3.9985494334401128E-2</v>
      </c>
      <c r="Y67" s="191">
        <f t="shared" si="10"/>
        <v>-9.2124504878970725E-2</v>
      </c>
      <c r="Z67" s="191">
        <f t="shared" si="10"/>
        <v>-0.1488225747066404</v>
      </c>
      <c r="AA67" s="191">
        <f t="shared" si="10"/>
        <v>-2.0154688892712547E-2</v>
      </c>
      <c r="AB67" s="191">
        <f t="shared" si="10"/>
        <v>0.47899638748470919</v>
      </c>
      <c r="AC67" s="189">
        <f t="shared" si="12"/>
        <v>1007.8456645654306</v>
      </c>
      <c r="AD67" s="193">
        <f t="shared" si="12"/>
        <v>4477.9743649557613</v>
      </c>
      <c r="AE67" s="190">
        <f t="shared" si="12"/>
        <v>98.324016515330442</v>
      </c>
      <c r="AF67" s="190">
        <f t="shared" si="12"/>
        <v>126.6600732562415</v>
      </c>
      <c r="AG67" s="190">
        <f t="shared" si="12"/>
        <v>268.9845652710186</v>
      </c>
      <c r="AH67" s="190">
        <f t="shared" si="12"/>
        <v>141.57172888525315</v>
      </c>
      <c r="AI67" s="190">
        <f t="shared" si="12"/>
        <v>301.19517453651224</v>
      </c>
      <c r="AJ67" s="191">
        <f>DamodaranUS!$V67-DamodaranUS!$X67</f>
        <v>-0.30041189110959843</v>
      </c>
      <c r="AK67" s="191">
        <f>DamodaranUS!$V67-DamodaranUS!$Y67</f>
        <v>-0.24827288056502883</v>
      </c>
    </row>
    <row r="68" spans="1:37">
      <c r="A68" s="180">
        <v>1975</v>
      </c>
      <c r="B68" s="181">
        <f>('[1]S&amp;P 500 &amp; Raw Data'!B51-'[1]S&amp;P 500 &amp; Raw Data'!B50+'[1]S&amp;P 500 &amp; Raw Data'!C51)/'[1]S&amp;P 500 &amp; Raw Data'!B50</f>
        <v>0.36995137106184356</v>
      </c>
      <c r="C68" s="181">
        <f>'[1]Small Cap'!B49</f>
        <v>0.5968</v>
      </c>
      <c r="D68" s="181">
        <f>'[1]T. Bill rates'!C53</f>
        <v>5.7863855421686747E-2</v>
      </c>
      <c r="E68" s="181">
        <f>'[1]S&amp;P 500 &amp; Raw Data'!F51</f>
        <v>3.6052536026033838E-2</v>
      </c>
      <c r="F68" s="181">
        <f>'[1]S&amp;P 500 &amp; Raw Data'!J51</f>
        <v>0.11049964074144952</v>
      </c>
      <c r="G68" s="181">
        <f>'[1]Home Prices'!B51/'[1]Home Prices'!B50-1</f>
        <v>6.7737093749264288E-2</v>
      </c>
      <c r="H68" s="181">
        <f>'[1]Gold Prices'!B50/'[1]Gold Prices'!B49-1</f>
        <v>-0.24798927613941024</v>
      </c>
      <c r="I68" s="182">
        <f t="shared" si="11"/>
        <v>4142.0974934477708</v>
      </c>
      <c r="J68" s="183">
        <f t="shared" si="11"/>
        <v>21154.946468901391</v>
      </c>
      <c r="K68" s="183">
        <f t="shared" si="11"/>
        <v>312.04018244904557</v>
      </c>
      <c r="L68" s="183">
        <f t="shared" si="11"/>
        <v>393.67936041117781</v>
      </c>
      <c r="M68" s="183">
        <f t="shared" si="11"/>
        <v>896.12153908763878</v>
      </c>
      <c r="N68" s="183">
        <f t="shared" si="11"/>
        <v>453.48403245288529</v>
      </c>
      <c r="O68" s="183">
        <f t="shared" si="11"/>
        <v>679.50581395348831</v>
      </c>
      <c r="P68" s="184">
        <f t="shared" si="0"/>
        <v>0.3120875156401568</v>
      </c>
      <c r="Q68" s="184">
        <f t="shared" si="1"/>
        <v>0.33389883503580975</v>
      </c>
      <c r="R68" s="185">
        <f>DamodaranUS!$C68-DamodaranUS!$B68</f>
        <v>0.22684862893815644</v>
      </c>
      <c r="S68" s="185">
        <f t="shared" si="2"/>
        <v>0.25945173032039404</v>
      </c>
      <c r="T68" s="185">
        <f t="shared" si="9"/>
        <v>5.1706756781676244E-2</v>
      </c>
      <c r="U68" s="187">
        <f>'[1]Inflation Rate'!C73</f>
        <v>6.9364200000000001E-2</v>
      </c>
      <c r="V68" s="191">
        <f t="shared" si="10"/>
        <v>0.28108961480274308</v>
      </c>
      <c r="W68" s="191">
        <f t="shared" si="10"/>
        <v>0.49322373051201818</v>
      </c>
      <c r="X68" s="191">
        <f t="shared" si="10"/>
        <v>-1.0754375897672031E-2</v>
      </c>
      <c r="Y68" s="191">
        <f t="shared" si="10"/>
        <v>-3.1150906280541624E-2</v>
      </c>
      <c r="Z68" s="191">
        <f t="shared" si="10"/>
        <v>3.8467194564255625E-2</v>
      </c>
      <c r="AA68" s="191">
        <f t="shared" si="10"/>
        <v>-1.5215641693782089E-3</v>
      </c>
      <c r="AB68" s="191">
        <f t="shared" si="10"/>
        <v>-0.29676837520782007</v>
      </c>
      <c r="AC68" s="189">
        <f t="shared" si="12"/>
        <v>1291.1406141987422</v>
      </c>
      <c r="AD68" s="193">
        <f t="shared" si="12"/>
        <v>6686.6175863764274</v>
      </c>
      <c r="AE68" s="190">
        <f t="shared" si="12"/>
        <v>97.266603081955665</v>
      </c>
      <c r="AF68" s="190">
        <f t="shared" si="12"/>
        <v>122.71449718474979</v>
      </c>
      <c r="AG68" s="190">
        <f t="shared" si="12"/>
        <v>279.33164687808056</v>
      </c>
      <c r="AH68" s="190">
        <f t="shared" si="12"/>
        <v>141.35631841518443</v>
      </c>
      <c r="AI68" s="190">
        <f t="shared" si="12"/>
        <v>211.80997196887571</v>
      </c>
      <c r="AJ68" s="191">
        <f>DamodaranUS!$V68-DamodaranUS!$X68</f>
        <v>0.29184399070041511</v>
      </c>
      <c r="AK68" s="191">
        <f>DamodaranUS!$V68-DamodaranUS!$Y68</f>
        <v>0.31224052108328471</v>
      </c>
    </row>
    <row r="69" spans="1:37">
      <c r="A69" s="180">
        <v>1976</v>
      </c>
      <c r="B69" s="181">
        <f>('[1]S&amp;P 500 &amp; Raw Data'!B52-'[1]S&amp;P 500 &amp; Raw Data'!B51+'[1]S&amp;P 500 &amp; Raw Data'!C52)/'[1]S&amp;P 500 &amp; Raw Data'!B51</f>
        <v>0.23830999002106662</v>
      </c>
      <c r="C69" s="181">
        <f>'[1]Small Cap'!B50</f>
        <v>0.48619999999999997</v>
      </c>
      <c r="D69" s="181">
        <f>'[1]T. Bill rates'!C54</f>
        <v>4.9766000000000005E-2</v>
      </c>
      <c r="E69" s="181">
        <f>'[1]S&amp;P 500 &amp; Raw Data'!F52</f>
        <v>0.1598456074290921</v>
      </c>
      <c r="F69" s="181">
        <f>'[1]S&amp;P 500 &amp; Raw Data'!J52</f>
        <v>0.19752813987098014</v>
      </c>
      <c r="G69" s="181">
        <f>'[1]Home Prices'!B52/'[1]Home Prices'!B51-1</f>
        <v>8.1778348568406711E-2</v>
      </c>
      <c r="H69" s="181">
        <f>'[1]Gold Prices'!B51/'[1]Gold Prices'!B50-1</f>
        <v>-4.099821746880572E-2</v>
      </c>
      <c r="I69" s="182">
        <f t="shared" si="11"/>
        <v>5129.2007057775936</v>
      </c>
      <c r="J69" s="183">
        <f t="shared" si="11"/>
        <v>31440.481442081247</v>
      </c>
      <c r="K69" s="183">
        <f t="shared" si="11"/>
        <v>327.56917416880475</v>
      </c>
      <c r="L69" s="183">
        <f t="shared" si="11"/>
        <v>456.607276908399</v>
      </c>
      <c r="M69" s="183">
        <f t="shared" si="11"/>
        <v>1073.1307598019398</v>
      </c>
      <c r="N69" s="183">
        <f t="shared" si="11"/>
        <v>490.56920772902401</v>
      </c>
      <c r="O69" s="183">
        <f t="shared" si="11"/>
        <v>651.64728682170539</v>
      </c>
      <c r="P69" s="184">
        <f t="shared" si="0"/>
        <v>0.18854399002106662</v>
      </c>
      <c r="Q69" s="184">
        <f t="shared" si="1"/>
        <v>7.8464382591974524E-2</v>
      </c>
      <c r="R69" s="185">
        <f>DamodaranUS!$C69-DamodaranUS!$B69</f>
        <v>0.24789000997893335</v>
      </c>
      <c r="S69" s="185">
        <f t="shared" si="2"/>
        <v>4.0781850150086479E-2</v>
      </c>
      <c r="T69" s="185">
        <f t="shared" si="9"/>
        <v>5.2196588038950109E-2</v>
      </c>
      <c r="U69" s="187">
        <f>'[1]Inflation Rate'!C74</f>
        <v>4.86486E-2</v>
      </c>
      <c r="V69" s="191">
        <f t="shared" si="10"/>
        <v>0.18086267413227519</v>
      </c>
      <c r="W69" s="191">
        <f t="shared" si="10"/>
        <v>0.41725264306842158</v>
      </c>
      <c r="X69" s="191">
        <f t="shared" si="10"/>
        <v>1.0655619051034293E-3</v>
      </c>
      <c r="Y69" s="191">
        <f t="shared" si="10"/>
        <v>0.10603838829241008</v>
      </c>
      <c r="Z69" s="191">
        <f t="shared" si="10"/>
        <v>0.14197276367982581</v>
      </c>
      <c r="AA69" s="191">
        <f t="shared" si="10"/>
        <v>3.1592802935517916E-2</v>
      </c>
      <c r="AB69" s="191">
        <f t="shared" si="10"/>
        <v>-8.5487948459384455E-2</v>
      </c>
      <c r="AC69" s="189">
        <f t="shared" si="12"/>
        <v>1524.659758363515</v>
      </c>
      <c r="AD69" s="193">
        <f t="shared" si="12"/>
        <v>9476.6264474797808</v>
      </c>
      <c r="AE69" s="190">
        <f t="shared" si="12"/>
        <v>97.370246668838618</v>
      </c>
      <c r="AF69" s="190">
        <f t="shared" si="12"/>
        <v>135.72694468633415</v>
      </c>
      <c r="AG69" s="190">
        <f t="shared" si="12"/>
        <v>318.98913276859884</v>
      </c>
      <c r="AH69" s="190">
        <f t="shared" si="12"/>
        <v>145.82216072656567</v>
      </c>
      <c r="AI69" s="190">
        <f t="shared" si="12"/>
        <v>193.70277200201681</v>
      </c>
      <c r="AJ69" s="191">
        <f>DamodaranUS!$V69-DamodaranUS!$X69</f>
        <v>0.17979711222717176</v>
      </c>
      <c r="AK69" s="191">
        <f>DamodaranUS!$V69-DamodaranUS!$Y69</f>
        <v>7.4824285839865112E-2</v>
      </c>
    </row>
    <row r="70" spans="1:37">
      <c r="A70" s="180">
        <v>1977</v>
      </c>
      <c r="B70" s="181">
        <f>('[1]S&amp;P 500 &amp; Raw Data'!B53-'[1]S&amp;P 500 &amp; Raw Data'!B52+'[1]S&amp;P 500 &amp; Raw Data'!C53)/'[1]S&amp;P 500 &amp; Raw Data'!B52</f>
        <v>-6.9797040759352322E-2</v>
      </c>
      <c r="C70" s="181">
        <f>'[1]Small Cap'!B51</f>
        <v>0.3029</v>
      </c>
      <c r="D70" s="181">
        <f>'[1]T. Bill rates'!C55</f>
        <v>5.2609638554216867E-2</v>
      </c>
      <c r="E70" s="181">
        <f>'[1]S&amp;P 500 &amp; Raw Data'!F53</f>
        <v>1.2899606071070449E-2</v>
      </c>
      <c r="F70" s="181">
        <f>'[1]S&amp;P 500 &amp; Raw Data'!J53</f>
        <v>9.9546628520906386E-2</v>
      </c>
      <c r="G70" s="181">
        <f>'[1]Home Prices'!B53/'[1]Home Prices'!B52-1</f>
        <v>0.14654841300324728</v>
      </c>
      <c r="H70" s="181">
        <f>'[1]Gold Prices'!B52/'[1]Gold Prices'!B51-1</f>
        <v>0.2263940520446095</v>
      </c>
      <c r="I70" s="182">
        <f t="shared" ref="I70:O85" si="13">I69*(1+B70)</f>
        <v>4771.1976750535359</v>
      </c>
      <c r="J70" s="183">
        <f t="shared" si="13"/>
        <v>40963.803270887656</v>
      </c>
      <c r="K70" s="183">
        <f t="shared" si="13"/>
        <v>344.80247002332891</v>
      </c>
      <c r="L70" s="183">
        <f t="shared" si="13"/>
        <v>462.49733090970153</v>
      </c>
      <c r="M70" s="183">
        <f t="shared" si="13"/>
        <v>1179.9573089023015</v>
      </c>
      <c r="N70" s="183">
        <f t="shared" si="13"/>
        <v>562.46134658997278</v>
      </c>
      <c r="O70" s="183">
        <f t="shared" si="13"/>
        <v>799.17635658914719</v>
      </c>
      <c r="P70" s="184">
        <f t="shared" si="0"/>
        <v>-0.12240667931356919</v>
      </c>
      <c r="Q70" s="184">
        <f t="shared" si="1"/>
        <v>-8.2696646830422771E-2</v>
      </c>
      <c r="R70" s="185">
        <f>DamodaranUS!$C70-DamodaranUS!$B70</f>
        <v>0.37269704075935234</v>
      </c>
      <c r="S70" s="185">
        <f t="shared" si="2"/>
        <v>-0.16934366928025871</v>
      </c>
      <c r="T70" s="185">
        <f t="shared" si="9"/>
        <v>4.9266761357046551E-2</v>
      </c>
      <c r="U70" s="187">
        <f>'[1]Inflation Rate'!C75</f>
        <v>6.7010300000000009E-2</v>
      </c>
      <c r="V70" s="191">
        <f t="shared" si="10"/>
        <v>-0.12821557651257187</v>
      </c>
      <c r="W70" s="191">
        <f t="shared" si="10"/>
        <v>0.22107537293688728</v>
      </c>
      <c r="X70" s="191">
        <f t="shared" si="10"/>
        <v>-1.3496272196981574E-2</v>
      </c>
      <c r="Y70" s="191">
        <f t="shared" si="10"/>
        <v>-5.0712438229443046E-2</v>
      </c>
      <c r="Z70" s="191">
        <f t="shared" si="10"/>
        <v>3.0492984482817453E-2</v>
      </c>
      <c r="AA70" s="191">
        <f t="shared" si="10"/>
        <v>7.4542966458006399E-2</v>
      </c>
      <c r="AB70" s="191">
        <f t="shared" si="10"/>
        <v>0.1493741457271871</v>
      </c>
      <c r="AC70" s="189">
        <f t="shared" ref="AC70:AI85" si="14">AC69*(1+V70)</f>
        <v>1329.1746284594185</v>
      </c>
      <c r="AD70" s="193">
        <f t="shared" si="14"/>
        <v>11571.675173539943</v>
      </c>
      <c r="AE70" s="190">
        <f t="shared" si="14"/>
        <v>96.056111315908737</v>
      </c>
      <c r="AF70" s="190">
        <f t="shared" si="14"/>
        <v>128.84390038785739</v>
      </c>
      <c r="AG70" s="190">
        <f t="shared" si="14"/>
        <v>328.7160634442991</v>
      </c>
      <c r="AH70" s="190">
        <f t="shared" si="14"/>
        <v>156.69217716244006</v>
      </c>
      <c r="AI70" s="190">
        <f t="shared" si="14"/>
        <v>222.63695809480618</v>
      </c>
      <c r="AJ70" s="191">
        <f>DamodaranUS!$V70-DamodaranUS!$X70</f>
        <v>-0.1147193043155903</v>
      </c>
      <c r="AK70" s="191">
        <f>DamodaranUS!$V70-DamodaranUS!$Y70</f>
        <v>-7.7503138283128825E-2</v>
      </c>
    </row>
    <row r="71" spans="1:37">
      <c r="A71" s="180">
        <v>1978</v>
      </c>
      <c r="B71" s="181">
        <f>('[1]S&amp;P 500 &amp; Raw Data'!B54-'[1]S&amp;P 500 &amp; Raw Data'!B53+'[1]S&amp;P 500 &amp; Raw Data'!C54)/'[1]S&amp;P 500 &amp; Raw Data'!B53</f>
        <v>6.50928391167193E-2</v>
      </c>
      <c r="C71" s="181">
        <f>'[1]Small Cap'!B52</f>
        <v>0.28889999999999999</v>
      </c>
      <c r="D71" s="181">
        <f>'[1]T. Bill rates'!C56</f>
        <v>7.1783064516129036E-2</v>
      </c>
      <c r="E71" s="181">
        <f>'[1]S&amp;P 500 &amp; Raw Data'!F54</f>
        <v>-7.7758069075086478E-3</v>
      </c>
      <c r="F71" s="181">
        <f>'[1]S&amp;P 500 &amp; Raw Data'!J54</f>
        <v>3.1375849771690861E-2</v>
      </c>
      <c r="G71" s="181">
        <f>'[1]Home Prices'!B54/'[1]Home Prices'!B53-1</f>
        <v>0.15723596053112443</v>
      </c>
      <c r="H71" s="181">
        <f>'[1]Gold Prices'!B53/'[1]Gold Prices'!B52-1</f>
        <v>0.37011215519854512</v>
      </c>
      <c r="I71" s="182">
        <f t="shared" si="13"/>
        <v>5081.7684777098611</v>
      </c>
      <c r="J71" s="183">
        <f t="shared" si="13"/>
        <v>52798.2460358471</v>
      </c>
      <c r="K71" s="183">
        <f t="shared" si="13"/>
        <v>369.55344797433418</v>
      </c>
      <c r="L71" s="183">
        <f t="shared" si="13"/>
        <v>458.90104096930958</v>
      </c>
      <c r="M71" s="183">
        <f t="shared" si="13"/>
        <v>1216.9794721634289</v>
      </c>
      <c r="N71" s="183">
        <f t="shared" si="13"/>
        <v>650.90049668267682</v>
      </c>
      <c r="O71" s="183">
        <f t="shared" si="13"/>
        <v>1094.9612403100775</v>
      </c>
      <c r="P71" s="184">
        <f t="shared" si="0"/>
        <v>-6.6902253994097355E-3</v>
      </c>
      <c r="Q71" s="184">
        <f t="shared" si="1"/>
        <v>7.2868646024227948E-2</v>
      </c>
      <c r="R71" s="185">
        <f>DamodaranUS!$C71-DamodaranUS!$B71</f>
        <v>0.22380716088328068</v>
      </c>
      <c r="S71" s="185">
        <f t="shared" si="2"/>
        <v>3.3716989345028439E-2</v>
      </c>
      <c r="T71" s="185">
        <f t="shared" si="9"/>
        <v>4.9741898913203242E-2</v>
      </c>
      <c r="U71" s="187">
        <f>'[1]Inflation Rate'!C76</f>
        <v>9.0177099999999996E-2</v>
      </c>
      <c r="V71" s="191">
        <f t="shared" si="10"/>
        <v>-2.3009344888349492E-2</v>
      </c>
      <c r="W71" s="191">
        <f t="shared" si="10"/>
        <v>0.18228497002918154</v>
      </c>
      <c r="X71" s="191">
        <f t="shared" si="10"/>
        <v>-1.6872520514209066E-2</v>
      </c>
      <c r="Y71" s="191">
        <f t="shared" si="10"/>
        <v>-8.9850453570808564E-2</v>
      </c>
      <c r="Z71" s="191">
        <f t="shared" si="10"/>
        <v>-5.3937337546632658E-2</v>
      </c>
      <c r="AA71" s="191">
        <f t="shared" si="10"/>
        <v>6.1511896123230381E-2</v>
      </c>
      <c r="AB71" s="191">
        <f t="shared" si="10"/>
        <v>0.25677943079023136</v>
      </c>
      <c r="AC71" s="189">
        <f t="shared" si="14"/>
        <v>1298.591191016352</v>
      </c>
      <c r="AD71" s="193">
        <f t="shared" si="14"/>
        <v>13681.017635736096</v>
      </c>
      <c r="AE71" s="190">
        <f t="shared" si="14"/>
        <v>94.43540260721592</v>
      </c>
      <c r="AF71" s="190">
        <f t="shared" si="14"/>
        <v>117.26721749817632</v>
      </c>
      <c r="AG71" s="190">
        <f t="shared" si="14"/>
        <v>310.9859941733036</v>
      </c>
      <c r="AH71" s="190">
        <f t="shared" si="14"/>
        <v>166.33061008737889</v>
      </c>
      <c r="AI71" s="190">
        <f t="shared" si="14"/>
        <v>279.80554946725908</v>
      </c>
      <c r="AJ71" s="191">
        <f>DamodaranUS!$V71-DamodaranUS!$X71</f>
        <v>-6.136824374140426E-3</v>
      </c>
      <c r="AK71" s="191">
        <f>DamodaranUS!$V71-DamodaranUS!$Y71</f>
        <v>6.6841108682459072E-2</v>
      </c>
    </row>
    <row r="72" spans="1:37">
      <c r="A72" s="180">
        <v>1979</v>
      </c>
      <c r="B72" s="181">
        <f>('[1]S&amp;P 500 &amp; Raw Data'!B55-'[1]S&amp;P 500 &amp; Raw Data'!B54+'[1]S&amp;P 500 &amp; Raw Data'!C55)/'[1]S&amp;P 500 &amp; Raw Data'!B54</f>
        <v>0.18519490167516386</v>
      </c>
      <c r="C72" s="181">
        <f>'[1]Small Cap'!B53</f>
        <v>0.41689999999999999</v>
      </c>
      <c r="D72" s="181">
        <f>'[1]T. Bill rates'!C57</f>
        <v>0.10054274193548388</v>
      </c>
      <c r="E72" s="181">
        <f>'[1]S&amp;P 500 &amp; Raw Data'!F55</f>
        <v>6.7072031247235459E-3</v>
      </c>
      <c r="F72" s="181">
        <f>'[1]S&amp;P 500 &amp; Raw Data'!J55</f>
        <v>-2.0091101436615355E-2</v>
      </c>
      <c r="G72" s="181">
        <f>'[1]Home Prices'!B55/'[1]Home Prices'!B54-1</f>
        <v>0.13742466907023854</v>
      </c>
      <c r="H72" s="181">
        <f>'[1]Gold Prices'!B54/'[1]Gold Prices'!B53-1</f>
        <v>1.2654867256637168</v>
      </c>
      <c r="I72" s="182">
        <f t="shared" si="13"/>
        <v>6022.8860912752862</v>
      </c>
      <c r="J72" s="183">
        <f t="shared" si="13"/>
        <v>74809.834808191765</v>
      </c>
      <c r="K72" s="183">
        <f t="shared" si="13"/>
        <v>406.7093649253859</v>
      </c>
      <c r="L72" s="183">
        <f t="shared" si="13"/>
        <v>461.97898346523777</v>
      </c>
      <c r="M72" s="183">
        <f t="shared" si="13"/>
        <v>1192.5290141419148</v>
      </c>
      <c r="N72" s="183">
        <f t="shared" si="13"/>
        <v>740.35028203694753</v>
      </c>
      <c r="O72" s="183">
        <f t="shared" si="13"/>
        <v>2480.6201550387595</v>
      </c>
      <c r="P72" s="184">
        <f t="shared" si="0"/>
        <v>8.4652159739679989E-2</v>
      </c>
      <c r="Q72" s="184">
        <f t="shared" si="1"/>
        <v>0.17848769855044033</v>
      </c>
      <c r="R72" s="185">
        <f>DamodaranUS!$C72-DamodaranUS!$B72</f>
        <v>0.23170509832483613</v>
      </c>
      <c r="S72" s="185">
        <f t="shared" si="2"/>
        <v>0.20528600311177922</v>
      </c>
      <c r="T72" s="185">
        <f t="shared" si="9"/>
        <v>5.2132252828986925E-2</v>
      </c>
      <c r="U72" s="187">
        <f>'[1]Inflation Rate'!C77</f>
        <v>0.13293939999999999</v>
      </c>
      <c r="V72" s="191">
        <f t="shared" si="10"/>
        <v>4.6123827695606634E-2</v>
      </c>
      <c r="W72" s="191">
        <f t="shared" si="10"/>
        <v>0.25064059030871388</v>
      </c>
      <c r="X72" s="191">
        <f t="shared" si="10"/>
        <v>-2.8595225891619669E-2</v>
      </c>
      <c r="Y72" s="191">
        <f t="shared" si="10"/>
        <v>-0.111420078492527</v>
      </c>
      <c r="Z72" s="191">
        <f t="shared" si="10"/>
        <v>-0.13507386311802316</v>
      </c>
      <c r="AA72" s="191">
        <f t="shared" si="10"/>
        <v>3.9589664462535978E-3</v>
      </c>
      <c r="AB72" s="191">
        <f t="shared" si="10"/>
        <v>0.99965393176697437</v>
      </c>
      <c r="AC72" s="189">
        <f t="shared" si="14"/>
        <v>1358.4871873578229</v>
      </c>
      <c r="AD72" s="193">
        <f t="shared" si="14"/>
        <v>17110.035971980917</v>
      </c>
      <c r="AE72" s="190">
        <f t="shared" si="14"/>
        <v>91.735000937496537</v>
      </c>
      <c r="AF72" s="190">
        <f t="shared" si="14"/>
        <v>104.20129491992928</v>
      </c>
      <c r="AG72" s="190">
        <f t="shared" si="14"/>
        <v>268.97991456471641</v>
      </c>
      <c r="AH72" s="190">
        <f t="shared" si="14"/>
        <v>166.98910739169972</v>
      </c>
      <c r="AI72" s="190">
        <f t="shared" si="14"/>
        <v>559.51426712242323</v>
      </c>
      <c r="AJ72" s="191">
        <f>DamodaranUS!$V72-DamodaranUS!$X72</f>
        <v>7.4719053587226303E-2</v>
      </c>
      <c r="AK72" s="191">
        <f>DamodaranUS!$V72-DamodaranUS!$Y72</f>
        <v>0.15754390618813363</v>
      </c>
    </row>
    <row r="73" spans="1:37">
      <c r="A73" s="180">
        <v>1980</v>
      </c>
      <c r="B73" s="181">
        <f>('[1]S&amp;P 500 &amp; Raw Data'!B56-'[1]S&amp;P 500 &amp; Raw Data'!B55+'[1]S&amp;P 500 &amp; Raw Data'!C56)/'[1]S&amp;P 500 &amp; Raw Data'!B55</f>
        <v>0.3173524550676301</v>
      </c>
      <c r="C73" s="181">
        <f>'[1]Small Cap'!B54</f>
        <v>0.41920000000000002</v>
      </c>
      <c r="D73" s="181">
        <f>'[1]T. Bill rates'!C58</f>
        <v>0.1139188</v>
      </c>
      <c r="E73" s="181">
        <f>'[1]S&amp;P 500 &amp; Raw Data'!F56</f>
        <v>-2.989744251999403E-2</v>
      </c>
      <c r="F73" s="181">
        <f>'[1]S&amp;P 500 &amp; Raw Data'!J56</f>
        <v>-3.3156783371910456E-2</v>
      </c>
      <c r="G73" s="181">
        <f>'[1]Home Prices'!B56/'[1]Home Prices'!B55-1</f>
        <v>7.3968672635987165E-2</v>
      </c>
      <c r="H73" s="181">
        <f>'[1]Gold Prices'!B55/'[1]Gold Prices'!B54-1</f>
        <v>0.15185546875</v>
      </c>
      <c r="I73" s="182">
        <f t="shared" si="13"/>
        <v>7934.2637789341807</v>
      </c>
      <c r="J73" s="183">
        <f t="shared" si="13"/>
        <v>106170.11755978575</v>
      </c>
      <c r="K73" s="183">
        <f t="shared" si="13"/>
        <v>453.04120772644796</v>
      </c>
      <c r="L73" s="183">
        <f t="shared" si="13"/>
        <v>448.16699336164055</v>
      </c>
      <c r="M73" s="183">
        <f t="shared" si="13"/>
        <v>1152.9885879552935</v>
      </c>
      <c r="N73" s="183">
        <f t="shared" si="13"/>
        <v>795.11300968489923</v>
      </c>
      <c r="O73" s="183">
        <f t="shared" si="13"/>
        <v>2857.3158914728679</v>
      </c>
      <c r="P73" s="184">
        <f t="shared" si="0"/>
        <v>0.20343365506763011</v>
      </c>
      <c r="Q73" s="184">
        <f t="shared" si="1"/>
        <v>0.34724989758762415</v>
      </c>
      <c r="R73" s="185">
        <f>DamodaranUS!$C73-DamodaranUS!$B73</f>
        <v>0.10184754493236992</v>
      </c>
      <c r="S73" s="185">
        <f t="shared" si="2"/>
        <v>0.35050923843954057</v>
      </c>
      <c r="T73" s="185">
        <f t="shared" si="9"/>
        <v>5.7318705257589642E-2</v>
      </c>
      <c r="U73" s="187">
        <f>'[1]Inflation Rate'!C78</f>
        <v>0.125163</v>
      </c>
      <c r="V73" s="191">
        <f t="shared" si="10"/>
        <v>0.17081032265336682</v>
      </c>
      <c r="W73" s="191">
        <f t="shared" si="10"/>
        <v>0.26132835864670279</v>
      </c>
      <c r="X73" s="191">
        <f t="shared" si="10"/>
        <v>-9.993396512327446E-3</v>
      </c>
      <c r="Y73" s="191">
        <f t="shared" si="10"/>
        <v>-0.13781153710173011</v>
      </c>
      <c r="Z73" s="191">
        <f t="shared" si="10"/>
        <v>-0.14070830926000089</v>
      </c>
      <c r="AA73" s="191">
        <f t="shared" si="10"/>
        <v>-4.5499476399430749E-2</v>
      </c>
      <c r="AB73" s="191">
        <f t="shared" si="10"/>
        <v>2.3723201660559523E-2</v>
      </c>
      <c r="AC73" s="189">
        <f t="shared" si="14"/>
        <v>1590.5308221508774</v>
      </c>
      <c r="AD73" s="193">
        <f t="shared" si="14"/>
        <v>21581.373588924733</v>
      </c>
      <c r="AE73" s="190">
        <f t="shared" si="14"/>
        <v>90.818256699069408</v>
      </c>
      <c r="AF73" s="190">
        <f t="shared" si="14"/>
        <v>89.841154299023131</v>
      </c>
      <c r="AG73" s="190">
        <f t="shared" si="14"/>
        <v>231.13220556141567</v>
      </c>
      <c r="AH73" s="190">
        <f t="shared" si="14"/>
        <v>159.39119044096907</v>
      </c>
      <c r="AI73" s="190">
        <f t="shared" si="14"/>
        <v>572.78773691332867</v>
      </c>
      <c r="AJ73" s="191">
        <f>DamodaranUS!$V73-DamodaranUS!$X73</f>
        <v>0.18080371916569427</v>
      </c>
      <c r="AK73" s="191">
        <f>DamodaranUS!$V73-DamodaranUS!$Y73</f>
        <v>0.30862185975509693</v>
      </c>
    </row>
    <row r="74" spans="1:37">
      <c r="A74" s="180">
        <v>1981</v>
      </c>
      <c r="B74" s="181">
        <f>('[1]S&amp;P 500 &amp; Raw Data'!B57-'[1]S&amp;P 500 &amp; Raw Data'!B56+'[1]S&amp;P 500 &amp; Raw Data'!C57)/'[1]S&amp;P 500 &amp; Raw Data'!B56</f>
        <v>-4.7023902474955762E-2</v>
      </c>
      <c r="C74" s="181">
        <f>'[1]Small Cap'!B55</f>
        <v>-4.2900000000000001E-2</v>
      </c>
      <c r="D74" s="181">
        <f>'[1]T. Bill rates'!C59</f>
        <v>0.14036184738955823</v>
      </c>
      <c r="E74" s="181">
        <f>'[1]S&amp;P 500 &amp; Raw Data'!F57</f>
        <v>8.1992153358923542E-2</v>
      </c>
      <c r="F74" s="181">
        <f>'[1]S&amp;P 500 &amp; Raw Data'!J57</f>
        <v>8.4623994808912056E-2</v>
      </c>
      <c r="G74" s="181">
        <f>'[1]Home Prices'!B57/'[1]Home Prices'!B56-1</f>
        <v>5.0950062475763724E-2</v>
      </c>
      <c r="H74" s="181">
        <f>'[1]Gold Prices'!B56/'[1]Gold Prices'!B55-1</f>
        <v>-0.32598558711318359</v>
      </c>
      <c r="I74" s="182">
        <f t="shared" si="13"/>
        <v>7561.1637327830058</v>
      </c>
      <c r="J74" s="183">
        <f t="shared" si="13"/>
        <v>101615.41951647094</v>
      </c>
      <c r="K74" s="183">
        <f t="shared" si="13"/>
        <v>516.63090858652879</v>
      </c>
      <c r="L74" s="183">
        <f t="shared" si="13"/>
        <v>484.91317021175587</v>
      </c>
      <c r="M74" s="183">
        <f t="shared" si="13"/>
        <v>1250.5590882371571</v>
      </c>
      <c r="N74" s="183">
        <f t="shared" si="13"/>
        <v>835.62406720363742</v>
      </c>
      <c r="O74" s="183">
        <f t="shared" si="13"/>
        <v>1925.8720930232555</v>
      </c>
      <c r="P74" s="184">
        <f t="shared" si="0"/>
        <v>-0.18738574986451401</v>
      </c>
      <c r="Q74" s="184">
        <f t="shared" si="1"/>
        <v>-0.12901605583387932</v>
      </c>
      <c r="R74" s="185">
        <f>DamodaranUS!$C74-DamodaranUS!$B74</f>
        <v>4.123902474955761E-3</v>
      </c>
      <c r="S74" s="185">
        <f t="shared" si="2"/>
        <v>-0.13164789728386783</v>
      </c>
      <c r="T74" s="185">
        <f t="shared" si="9"/>
        <v>5.3730990468644491E-2</v>
      </c>
      <c r="U74" s="187">
        <f>'[1]Inflation Rate'!C79</f>
        <v>8.92236E-2</v>
      </c>
      <c r="V74" s="191">
        <f t="shared" si="10"/>
        <v>-0.12508680722209453</v>
      </c>
      <c r="W74" s="191">
        <f t="shared" si="10"/>
        <v>-0.12130071364594008</v>
      </c>
      <c r="X74" s="191">
        <f t="shared" si="10"/>
        <v>4.694926495308982E-2</v>
      </c>
      <c r="Y74" s="191">
        <f t="shared" si="10"/>
        <v>-6.63908369326216E-3</v>
      </c>
      <c r="Z74" s="191">
        <f t="shared" si="10"/>
        <v>-4.2228291703263476E-3</v>
      </c>
      <c r="AA74" s="191">
        <f t="shared" si="10"/>
        <v>-3.513836601064857E-2</v>
      </c>
      <c r="AB74" s="191">
        <f t="shared" si="10"/>
        <v>-0.38119738418556448</v>
      </c>
      <c r="AC74" s="189">
        <f t="shared" si="14"/>
        <v>1391.576399819691</v>
      </c>
      <c r="AD74" s="193">
        <f t="shared" si="14"/>
        <v>18963.53757112852</v>
      </c>
      <c r="AE74" s="190">
        <f t="shared" si="14"/>
        <v>95.082107095411743</v>
      </c>
      <c r="AF74" s="190">
        <f t="shared" si="14"/>
        <v>89.244691356532641</v>
      </c>
      <c r="AG74" s="190">
        <f t="shared" si="14"/>
        <v>230.15617374156906</v>
      </c>
      <c r="AH74" s="190">
        <f t="shared" si="14"/>
        <v>153.79044445238131</v>
      </c>
      <c r="AI74" s="190">
        <f t="shared" si="14"/>
        <v>354.44254990839846</v>
      </c>
      <c r="AJ74" s="191">
        <f>DamodaranUS!$V74-DamodaranUS!$X74</f>
        <v>-0.17203607217518435</v>
      </c>
      <c r="AK74" s="191">
        <f>DamodaranUS!$V74-DamodaranUS!$Y74</f>
        <v>-0.11844772352883237</v>
      </c>
    </row>
    <row r="75" spans="1:37">
      <c r="A75" s="180">
        <v>1982</v>
      </c>
      <c r="B75" s="181">
        <f>('[1]S&amp;P 500 &amp; Raw Data'!B58-'[1]S&amp;P 500 &amp; Raw Data'!B57+'[1]S&amp;P 500 &amp; Raw Data'!C58)/'[1]S&amp;P 500 &amp; Raw Data'!B57</f>
        <v>0.20419055079559353</v>
      </c>
      <c r="C75" s="181">
        <f>'[1]Small Cap'!B56</f>
        <v>0.26850000000000002</v>
      </c>
      <c r="D75" s="181">
        <f>'[1]T. Bill rates'!C60</f>
        <v>0.1109</v>
      </c>
      <c r="E75" s="181">
        <f>'[1]S&amp;P 500 &amp; Raw Data'!F58</f>
        <v>0.32814549486295586</v>
      </c>
      <c r="F75" s="181">
        <f>'[1]S&amp;P 500 &amp; Raw Data'!J58</f>
        <v>0.2905245565590866</v>
      </c>
      <c r="G75" s="181">
        <f>'[1]Home Prices'!B58/'[1]Home Prices'!B57-1</f>
        <v>5.6372096837011831E-3</v>
      </c>
      <c r="H75" s="181">
        <f>'[1]Gold Prices'!B57/'[1]Gold Prices'!B56-1</f>
        <v>0.15622641509433977</v>
      </c>
      <c r="I75" s="182">
        <f t="shared" si="13"/>
        <v>9105.0819200356327</v>
      </c>
      <c r="J75" s="183">
        <f t="shared" si="13"/>
        <v>128899.15965664339</v>
      </c>
      <c r="K75" s="183">
        <f t="shared" si="13"/>
        <v>573.92527634877479</v>
      </c>
      <c r="L75" s="183">
        <f t="shared" si="13"/>
        <v>644.03524241645721</v>
      </c>
      <c r="M75" s="183">
        <f t="shared" si="13"/>
        <v>1613.8772127981929</v>
      </c>
      <c r="N75" s="183">
        <f t="shared" si="13"/>
        <v>840.33465528721149</v>
      </c>
      <c r="O75" s="183">
        <f t="shared" si="13"/>
        <v>2226.7441860465115</v>
      </c>
      <c r="P75" s="184">
        <f t="shared" si="0"/>
        <v>9.3290550795593535E-2</v>
      </c>
      <c r="Q75" s="184">
        <f t="shared" si="1"/>
        <v>-0.12395494406736232</v>
      </c>
      <c r="R75" s="185">
        <f>DamodaranUS!$C75-DamodaranUS!$B75</f>
        <v>6.4309449204406482E-2</v>
      </c>
      <c r="S75" s="185">
        <f t="shared" si="2"/>
        <v>-8.6334005763493066E-2</v>
      </c>
      <c r="T75" s="185">
        <f t="shared" si="9"/>
        <v>5.1038688692139678E-2</v>
      </c>
      <c r="U75" s="187">
        <f>'[1]Inflation Rate'!C80</f>
        <v>3.8297900000000003E-2</v>
      </c>
      <c r="V75" s="191">
        <f t="shared" si="10"/>
        <v>0.15977365532145771</v>
      </c>
      <c r="W75" s="191">
        <f t="shared" si="10"/>
        <v>0.22171103302818951</v>
      </c>
      <c r="X75" s="191">
        <f t="shared" si="10"/>
        <v>6.9924151825790926E-2</v>
      </c>
      <c r="Y75" s="191">
        <f t="shared" si="10"/>
        <v>0.27915648761589118</v>
      </c>
      <c r="Z75" s="191">
        <f t="shared" si="10"/>
        <v>0.24292320783764132</v>
      </c>
      <c r="AA75" s="191">
        <f t="shared" si="10"/>
        <v>-3.1455991884697942E-2</v>
      </c>
      <c r="AB75" s="191">
        <f t="shared" si="10"/>
        <v>0.11357868979060792</v>
      </c>
      <c r="AC75" s="189">
        <f t="shared" si="14"/>
        <v>1613.9136478779574</v>
      </c>
      <c r="AD75" s="193">
        <f t="shared" si="14"/>
        <v>23167.963075892309</v>
      </c>
      <c r="AE75" s="190">
        <f t="shared" si="14"/>
        <v>101.73064278786742</v>
      </c>
      <c r="AF75" s="190">
        <f t="shared" si="14"/>
        <v>114.15792593398658</v>
      </c>
      <c r="AG75" s="190">
        <f t="shared" si="14"/>
        <v>286.06644977050854</v>
      </c>
      <c r="AH75" s="190">
        <f t="shared" si="14"/>
        <v>148.9528134797431</v>
      </c>
      <c r="AI75" s="190">
        <f t="shared" si="14"/>
        <v>394.69967033303652</v>
      </c>
      <c r="AJ75" s="191">
        <f>DamodaranUS!$V75-DamodaranUS!$X75</f>
        <v>8.9849503495666783E-2</v>
      </c>
      <c r="AK75" s="191">
        <f>DamodaranUS!$V75-DamodaranUS!$Y75</f>
        <v>-0.11938283229443347</v>
      </c>
    </row>
    <row r="76" spans="1:37">
      <c r="A76" s="180">
        <v>1983</v>
      </c>
      <c r="B76" s="181">
        <f>('[1]S&amp;P 500 &amp; Raw Data'!B59-'[1]S&amp;P 500 &amp; Raw Data'!B58+'[1]S&amp;P 500 &amp; Raw Data'!C59)/'[1]S&amp;P 500 &amp; Raw Data'!B58</f>
        <v>0.22337155858930619</v>
      </c>
      <c r="C76" s="181">
        <f>'[1]Small Cap'!B57</f>
        <v>0.34860000000000002</v>
      </c>
      <c r="D76" s="181">
        <f>'[1]T. Bill rates'!C61</f>
        <v>8.9499999999999996E-2</v>
      </c>
      <c r="E76" s="181">
        <f>'[1]S&amp;P 500 &amp; Raw Data'!F59</f>
        <v>3.2002094451429264E-2</v>
      </c>
      <c r="F76" s="181">
        <f>'[1]S&amp;P 500 &amp; Raw Data'!J59</f>
        <v>0.16194289622798344</v>
      </c>
      <c r="G76" s="181">
        <f>'[1]Home Prices'!B59/'[1]Home Prices'!B58-1</f>
        <v>4.7494802071017972E-2</v>
      </c>
      <c r="H76" s="181">
        <f>'[1]Gold Prices'!B58/'[1]Gold Prices'!B57-1</f>
        <v>-0.16797214969538743</v>
      </c>
      <c r="I76" s="182">
        <f t="shared" si="13"/>
        <v>11138.898259597305</v>
      </c>
      <c r="J76" s="183">
        <f t="shared" si="13"/>
        <v>173833.40671294928</v>
      </c>
      <c r="K76" s="183">
        <f t="shared" si="13"/>
        <v>625.29158858199003</v>
      </c>
      <c r="L76" s="183">
        <f t="shared" si="13"/>
        <v>664.64571907431775</v>
      </c>
      <c r="M76" s="183">
        <f t="shared" si="13"/>
        <v>1875.2331627950778</v>
      </c>
      <c r="N76" s="183">
        <f t="shared" si="13"/>
        <v>880.24618341349469</v>
      </c>
      <c r="O76" s="183">
        <f t="shared" si="13"/>
        <v>1852.7131782945733</v>
      </c>
      <c r="P76" s="184">
        <f t="shared" si="0"/>
        <v>0.13387155858930619</v>
      </c>
      <c r="Q76" s="184">
        <f t="shared" si="1"/>
        <v>0.19136946413787692</v>
      </c>
      <c r="R76" s="185">
        <f>DamodaranUS!$C76-DamodaranUS!$B76</f>
        <v>0.12522844141069384</v>
      </c>
      <c r="S76" s="185">
        <f t="shared" si="2"/>
        <v>6.1428662361322744E-2</v>
      </c>
      <c r="T76" s="185">
        <f t="shared" si="9"/>
        <v>5.3402830654563971E-2</v>
      </c>
      <c r="U76" s="187">
        <f>'[1]Inflation Rate'!C81</f>
        <v>3.79098E-2</v>
      </c>
      <c r="V76" s="191">
        <f t="shared" si="10"/>
        <v>0.17868774202662507</v>
      </c>
      <c r="W76" s="191">
        <f t="shared" si="10"/>
        <v>0.29934219717358879</v>
      </c>
      <c r="X76" s="191">
        <f t="shared" si="10"/>
        <v>4.9705860759769127E-2</v>
      </c>
      <c r="Y76" s="191">
        <f t="shared" si="10"/>
        <v>-5.6919257806129497E-3</v>
      </c>
      <c r="Z76" s="191">
        <f t="shared" si="10"/>
        <v>0.11950277011353339</v>
      </c>
      <c r="AA76" s="191">
        <f t="shared" si="10"/>
        <v>9.2349085354217486E-3</v>
      </c>
      <c r="AB76" s="191">
        <f t="shared" si="10"/>
        <v>-0.19836208280853251</v>
      </c>
      <c r="AC76" s="189">
        <f t="shared" si="14"/>
        <v>1902.3002334432233</v>
      </c>
      <c r="AD76" s="193">
        <f t="shared" si="14"/>
        <v>30103.11204706649</v>
      </c>
      <c r="AE76" s="190">
        <f t="shared" si="14"/>
        <v>106.78725195328298</v>
      </c>
      <c r="AF76" s="190">
        <f t="shared" si="14"/>
        <v>113.50814749230162</v>
      </c>
      <c r="AG76" s="190">
        <f t="shared" si="14"/>
        <v>320.25218295462827</v>
      </c>
      <c r="AH76" s="190">
        <f t="shared" si="14"/>
        <v>150.32837908832227</v>
      </c>
      <c r="AI76" s="190">
        <f t="shared" si="14"/>
        <v>316.40622164193422</v>
      </c>
      <c r="AJ76" s="191">
        <f>DamodaranUS!$V76-DamodaranUS!$X76</f>
        <v>0.12898188126685595</v>
      </c>
      <c r="AK76" s="191">
        <f>DamodaranUS!$V76-DamodaranUS!$Y76</f>
        <v>0.18437966780723802</v>
      </c>
    </row>
    <row r="77" spans="1:37">
      <c r="A77" s="180">
        <v>1984</v>
      </c>
      <c r="B77" s="181">
        <f>('[1]S&amp;P 500 &amp; Raw Data'!B60-'[1]S&amp;P 500 &amp; Raw Data'!B59+'[1]S&amp;P 500 &amp; Raw Data'!C60)/'[1]S&amp;P 500 &amp; Raw Data'!B59</f>
        <v>6.14614199963621E-2</v>
      </c>
      <c r="C77" s="181">
        <f>'[1]Small Cap'!B58</f>
        <v>-0.14499999999999999</v>
      </c>
      <c r="D77" s="181">
        <f>'[1]T. Bill rates'!C62</f>
        <v>9.9199999999999997E-2</v>
      </c>
      <c r="E77" s="181">
        <f>'[1]S&amp;P 500 &amp; Raw Data'!F60</f>
        <v>0.13733364344102345</v>
      </c>
      <c r="F77" s="181">
        <f>'[1]S&amp;P 500 &amp; Raw Data'!J60</f>
        <v>0.15619207332454216</v>
      </c>
      <c r="G77" s="181">
        <f>'[1]Home Prices'!B60/'[1]Home Prices'!B59-1</f>
        <v>4.6781349731454869E-2</v>
      </c>
      <c r="H77" s="181">
        <f>'[1]Gold Prices'!B59/'[1]Gold Prices'!B58-1</f>
        <v>-0.193776150627615</v>
      </c>
      <c r="I77" s="182">
        <f t="shared" si="13"/>
        <v>11823.510763827162</v>
      </c>
      <c r="J77" s="183">
        <f t="shared" si="13"/>
        <v>148627.56273957161</v>
      </c>
      <c r="K77" s="183">
        <f t="shared" si="13"/>
        <v>687.32051416932336</v>
      </c>
      <c r="L77" s="183">
        <f t="shared" si="13"/>
        <v>755.92393727227272</v>
      </c>
      <c r="M77" s="183">
        <f t="shared" si="13"/>
        <v>2168.1297184589794</v>
      </c>
      <c r="N77" s="183">
        <f t="shared" si="13"/>
        <v>921.4252879695398</v>
      </c>
      <c r="O77" s="183">
        <f t="shared" si="13"/>
        <v>1493.7015503875966</v>
      </c>
      <c r="P77" s="184">
        <f t="shared" si="0"/>
        <v>-3.7738580003637896E-2</v>
      </c>
      <c r="Q77" s="184">
        <f t="shared" si="1"/>
        <v>-7.5872223444661352E-2</v>
      </c>
      <c r="R77" s="185">
        <f>DamodaranUS!$C77-DamodaranUS!$B77</f>
        <v>-0.20646141999636208</v>
      </c>
      <c r="S77" s="185">
        <f t="shared" si="2"/>
        <v>-9.4730653328180064E-2</v>
      </c>
      <c r="T77" s="185">
        <f t="shared" si="9"/>
        <v>5.1212126318051387E-2</v>
      </c>
      <c r="U77" s="187">
        <f>'[1]Inflation Rate'!C82</f>
        <v>3.94867E-2</v>
      </c>
      <c r="V77" s="191">
        <f t="shared" si="10"/>
        <v>2.1139972253961581E-2</v>
      </c>
      <c r="W77" s="191">
        <f t="shared" si="10"/>
        <v>-0.17747865364703574</v>
      </c>
      <c r="X77" s="191">
        <f t="shared" si="10"/>
        <v>5.7444987030617956E-2</v>
      </c>
      <c r="Y77" s="191">
        <f t="shared" si="10"/>
        <v>9.4130058076763667E-2</v>
      </c>
      <c r="Z77" s="191">
        <f t="shared" si="10"/>
        <v>0.11227211788716684</v>
      </c>
      <c r="AA77" s="191">
        <f t="shared" si="10"/>
        <v>7.0175498459525976E-3</v>
      </c>
      <c r="AB77" s="191">
        <f t="shared" si="10"/>
        <v>-0.22440195783901329</v>
      </c>
      <c r="AC77" s="189">
        <f t="shared" si="14"/>
        <v>1942.5148075969178</v>
      </c>
      <c r="AD77" s="193">
        <f t="shared" si="14"/>
        <v>24760.452250367267</v>
      </c>
      <c r="AE77" s="190">
        <f t="shared" si="14"/>
        <v>112.92164425677464</v>
      </c>
      <c r="AF77" s="190">
        <f t="shared" si="14"/>
        <v>124.19267600793782</v>
      </c>
      <c r="AG77" s="190">
        <f t="shared" si="14"/>
        <v>356.20757379293281</v>
      </c>
      <c r="AH77" s="190">
        <f t="shared" si="14"/>
        <v>151.38331598183584</v>
      </c>
      <c r="AI77" s="190">
        <f t="shared" si="14"/>
        <v>245.40404603303941</v>
      </c>
      <c r="AJ77" s="191">
        <f>DamodaranUS!$V77-DamodaranUS!$X77</f>
        <v>-3.6305014776656375E-2</v>
      </c>
      <c r="AK77" s="191">
        <f>DamodaranUS!$V77-DamodaranUS!$Y77</f>
        <v>-7.2990085822802087E-2</v>
      </c>
    </row>
    <row r="78" spans="1:37">
      <c r="A78" s="180">
        <v>1985</v>
      </c>
      <c r="B78" s="181">
        <f>('[1]S&amp;P 500 &amp; Raw Data'!B61-'[1]S&amp;P 500 &amp; Raw Data'!B60+'[1]S&amp;P 500 &amp; Raw Data'!C61)/'[1]S&amp;P 500 &amp; Raw Data'!B60</f>
        <v>0.31235149485768948</v>
      </c>
      <c r="C78" s="181">
        <f>'[1]Small Cap'!B59</f>
        <v>0.24510000000000001</v>
      </c>
      <c r="D78" s="181">
        <f>'[1]T. Bill rates'!C63</f>
        <v>7.7199999999999991E-2</v>
      </c>
      <c r="E78" s="181">
        <f>'[1]S&amp;P 500 &amp; Raw Data'!F61</f>
        <v>0.2571248821260641</v>
      </c>
      <c r="F78" s="181">
        <f>'[1]S&amp;P 500 &amp; Raw Data'!J61</f>
        <v>0.23862641849916477</v>
      </c>
      <c r="G78" s="181">
        <f>'[1]Home Prices'!B61/'[1]Home Prices'!B60-1</f>
        <v>7.4713712076145189E-2</v>
      </c>
      <c r="H78" s="181">
        <f>'[1]Gold Prices'!B60/'[1]Gold Prices'!B59-1</f>
        <v>6.0006487187804103E-2</v>
      </c>
      <c r="I78" s="182">
        <f t="shared" si="13"/>
        <v>15516.602025374559</v>
      </c>
      <c r="J78" s="183">
        <f t="shared" si="13"/>
        <v>185056.17836704064</v>
      </c>
      <c r="K78" s="183">
        <f t="shared" si="13"/>
        <v>740.38165786319507</v>
      </c>
      <c r="L78" s="183">
        <f t="shared" si="13"/>
        <v>950.2907905396761</v>
      </c>
      <c r="M78" s="183">
        <f t="shared" si="13"/>
        <v>2685.5027480164476</v>
      </c>
      <c r="N78" s="183">
        <f t="shared" si="13"/>
        <v>990.26839163457521</v>
      </c>
      <c r="O78" s="183">
        <f t="shared" si="13"/>
        <v>1583.333333333333</v>
      </c>
      <c r="P78" s="184">
        <f t="shared" si="0"/>
        <v>0.23515149485768949</v>
      </c>
      <c r="Q78" s="184">
        <f t="shared" si="1"/>
        <v>5.522661273162538E-2</v>
      </c>
      <c r="R78" s="185">
        <f>DamodaranUS!$C78-DamodaranUS!$B78</f>
        <v>-6.725149485768947E-2</v>
      </c>
      <c r="S78" s="185">
        <f t="shared" si="2"/>
        <v>7.372507635852471E-2</v>
      </c>
      <c r="T78" s="185">
        <f t="shared" si="9"/>
        <v>5.1284365102581608E-2</v>
      </c>
      <c r="U78" s="187">
        <f>'[1]Inflation Rate'!C83</f>
        <v>3.7986699999999998E-2</v>
      </c>
      <c r="V78" s="191">
        <f t="shared" si="10"/>
        <v>0.26432399842665566</v>
      </c>
      <c r="W78" s="191">
        <f t="shared" si="10"/>
        <v>0.19953367417906231</v>
      </c>
      <c r="X78" s="191">
        <f t="shared" si="10"/>
        <v>3.7778229721055157E-2</v>
      </c>
      <c r="Y78" s="191">
        <f t="shared" si="10"/>
        <v>0.21111848747779138</v>
      </c>
      <c r="Z78" s="191">
        <f t="shared" si="10"/>
        <v>0.19329700322669319</v>
      </c>
      <c r="AA78" s="191">
        <f t="shared" si="10"/>
        <v>3.5382931280473207E-2</v>
      </c>
      <c r="AB78" s="191">
        <f t="shared" si="10"/>
        <v>2.12139396273614E-2</v>
      </c>
      <c r="AC78" s="189">
        <f t="shared" si="14"/>
        <v>2455.9680885439207</v>
      </c>
      <c r="AD78" s="193">
        <f t="shared" si="14"/>
        <v>29700.996262218279</v>
      </c>
      <c r="AE78" s="190">
        <f t="shared" si="14"/>
        <v>117.18762407398634</v>
      </c>
      <c r="AF78" s="190">
        <f t="shared" si="14"/>
        <v>150.41204592255303</v>
      </c>
      <c r="AG78" s="190">
        <f t="shared" si="14"/>
        <v>425.06143033375787</v>
      </c>
      <c r="AH78" s="190">
        <f t="shared" si="14"/>
        <v>156.7397014482313</v>
      </c>
      <c r="AI78" s="190">
        <f t="shared" si="14"/>
        <v>250.61003264989452</v>
      </c>
      <c r="AJ78" s="191">
        <f>DamodaranUS!$V78-DamodaranUS!$X78</f>
        <v>0.2265457687056005</v>
      </c>
      <c r="AK78" s="191">
        <f>DamodaranUS!$V78-DamodaranUS!$Y78</f>
        <v>5.3205510948864276E-2</v>
      </c>
    </row>
    <row r="79" spans="1:37">
      <c r="A79" s="180">
        <v>1986</v>
      </c>
      <c r="B79" s="181">
        <f>('[1]S&amp;P 500 &amp; Raw Data'!B62-'[1]S&amp;P 500 &amp; Raw Data'!B61+'[1]S&amp;P 500 &amp; Raw Data'!C62)/'[1]S&amp;P 500 &amp; Raw Data'!B61</f>
        <v>0.18494578758046187</v>
      </c>
      <c r="C79" s="181">
        <f>'[1]Small Cap'!B60</f>
        <v>2.0899999999999998E-2</v>
      </c>
      <c r="D79" s="181">
        <f>'[1]T. Bill rates'!C64</f>
        <v>6.1500000000000006E-2</v>
      </c>
      <c r="E79" s="181">
        <f>'[1]S&amp;P 500 &amp; Raw Data'!F62</f>
        <v>0.24284215141767618</v>
      </c>
      <c r="F79" s="181">
        <f>'[1]S&amp;P 500 &amp; Raw Data'!J62</f>
        <v>0.2214614600547623</v>
      </c>
      <c r="G79" s="181">
        <f>'[1]Home Prices'!B62/'[1]Home Prices'!B61-1</f>
        <v>9.6123575098164826E-2</v>
      </c>
      <c r="H79" s="181">
        <f>'[1]Gold Prices'!B61/'[1]Gold Prices'!B60-1</f>
        <v>0.18956548347613222</v>
      </c>
      <c r="I79" s="182">
        <f t="shared" si="13"/>
        <v>18386.332207530046</v>
      </c>
      <c r="J79" s="183">
        <f t="shared" si="13"/>
        <v>188923.85249491179</v>
      </c>
      <c r="K79" s="183">
        <f t="shared" si="13"/>
        <v>785.91512982178165</v>
      </c>
      <c r="L79" s="183">
        <f t="shared" si="13"/>
        <v>1181.0614505867354</v>
      </c>
      <c r="M79" s="183">
        <f t="shared" si="13"/>
        <v>3280.2381075732469</v>
      </c>
      <c r="N79" s="183">
        <f t="shared" si="13"/>
        <v>1085.4565297452002</v>
      </c>
      <c r="O79" s="183">
        <f t="shared" si="13"/>
        <v>1883.4786821705422</v>
      </c>
      <c r="P79" s="184">
        <f t="shared" si="0"/>
        <v>0.12344578758046187</v>
      </c>
      <c r="Q79" s="184">
        <f t="shared" si="1"/>
        <v>-5.7896363837214304E-2</v>
      </c>
      <c r="R79" s="185">
        <f>DamodaranUS!$C79-DamodaranUS!$B79</f>
        <v>-0.16404578758046187</v>
      </c>
      <c r="S79" s="185">
        <f t="shared" si="2"/>
        <v>-3.6515672474300431E-2</v>
      </c>
      <c r="T79" s="185">
        <f t="shared" si="9"/>
        <v>4.9663565599739057E-2</v>
      </c>
      <c r="U79" s="187">
        <f>'[1]Inflation Rate'!C84</f>
        <v>1.0979000000000001E-2</v>
      </c>
      <c r="V79" s="191">
        <f t="shared" si="10"/>
        <v>0.17207754817900445</v>
      </c>
      <c r="W79" s="191">
        <f t="shared" si="10"/>
        <v>9.8132602160874161E-3</v>
      </c>
      <c r="X79" s="191">
        <f t="shared" si="10"/>
        <v>4.9972353530587821E-2</v>
      </c>
      <c r="Y79" s="191">
        <f t="shared" si="10"/>
        <v>0.22934517078759908</v>
      </c>
      <c r="Z79" s="191">
        <f t="shared" si="10"/>
        <v>0.20819666882770305</v>
      </c>
      <c r="AA79" s="191">
        <f t="shared" si="10"/>
        <v>8.4219924546568015E-2</v>
      </c>
      <c r="AB79" s="191">
        <f t="shared" si="10"/>
        <v>0.17664707523710388</v>
      </c>
      <c r="AC79" s="189">
        <f t="shared" si="14"/>
        <v>2878.5850556264345</v>
      </c>
      <c r="AD79" s="193">
        <f t="shared" si="14"/>
        <v>29992.459867216468</v>
      </c>
      <c r="AE79" s="190">
        <f t="shared" si="14"/>
        <v>123.04376545362121</v>
      </c>
      <c r="AF79" s="190">
        <f t="shared" si="14"/>
        <v>184.90832228317316</v>
      </c>
      <c r="AG79" s="190">
        <f t="shared" si="14"/>
        <v>513.55780417638505</v>
      </c>
      <c r="AH79" s="190">
        <f t="shared" si="14"/>
        <v>169.94030727765295</v>
      </c>
      <c r="AI79" s="190">
        <f t="shared" si="14"/>
        <v>294.8795619425735</v>
      </c>
      <c r="AJ79" s="191">
        <f>DamodaranUS!$V79-DamodaranUS!$X79</f>
        <v>0.12210519464841663</v>
      </c>
      <c r="AK79" s="191">
        <f>DamodaranUS!$V79-DamodaranUS!$Y79</f>
        <v>-5.7267622608594637E-2</v>
      </c>
    </row>
    <row r="80" spans="1:37">
      <c r="A80" s="180">
        <v>1987</v>
      </c>
      <c r="B80" s="181">
        <f>('[1]S&amp;P 500 &amp; Raw Data'!B63-'[1]S&amp;P 500 &amp; Raw Data'!B62+'[1]S&amp;P 500 &amp; Raw Data'!C63)/'[1]S&amp;P 500 &amp; Raw Data'!B62</f>
        <v>5.8127216418218712E-2</v>
      </c>
      <c r="C80" s="181">
        <f>'[1]Small Cap'!B61</f>
        <v>-0.14000000000000001</v>
      </c>
      <c r="D80" s="181">
        <f>'[1]T. Bill rates'!C65</f>
        <v>5.96E-2</v>
      </c>
      <c r="E80" s="181">
        <f>'[1]S&amp;P 500 &amp; Raw Data'!F63</f>
        <v>-4.9605089379262279E-2</v>
      </c>
      <c r="F80" s="181">
        <f>'[1]S&amp;P 500 &amp; Raw Data'!J63</f>
        <v>1.1171968043818023E-2</v>
      </c>
      <c r="G80" s="181">
        <f>'[1]Home Prices'!B63/'[1]Home Prices'!B62-1</f>
        <v>7.8493877035726189E-2</v>
      </c>
      <c r="H80" s="181">
        <f>'[1]Gold Prices'!B62/'[1]Gold Prices'!B61-1</f>
        <v>0.24527331189710622</v>
      </c>
      <c r="I80" s="182">
        <f t="shared" si="13"/>
        <v>19455.07851889441</v>
      </c>
      <c r="J80" s="183">
        <f t="shared" si="13"/>
        <v>162474.51314562414</v>
      </c>
      <c r="K80" s="183">
        <f t="shared" si="13"/>
        <v>832.75567155915996</v>
      </c>
      <c r="L80" s="183">
        <f t="shared" si="13"/>
        <v>1122.4747917679792</v>
      </c>
      <c r="M80" s="183">
        <f t="shared" si="13"/>
        <v>3316.8848228871693</v>
      </c>
      <c r="N80" s="183">
        <f t="shared" si="13"/>
        <v>1170.658221118646</v>
      </c>
      <c r="O80" s="183">
        <f t="shared" si="13"/>
        <v>2345.4457364341083</v>
      </c>
      <c r="P80" s="184">
        <f t="shared" si="0"/>
        <v>-1.4727835817812882E-3</v>
      </c>
      <c r="Q80" s="184">
        <f t="shared" si="1"/>
        <v>0.107732305797481</v>
      </c>
      <c r="R80" s="185">
        <f>DamodaranUS!$C80-DamodaranUS!$B80</f>
        <v>-0.19812721641821873</v>
      </c>
      <c r="S80" s="185">
        <f t="shared" si="2"/>
        <v>4.6955248374400689E-2</v>
      </c>
      <c r="T80" s="185">
        <f t="shared" si="9"/>
        <v>5.0693590437507208E-2</v>
      </c>
      <c r="U80" s="187">
        <f>'[1]Inflation Rate'!C85</f>
        <v>4.4343899999999999E-2</v>
      </c>
      <c r="V80" s="191">
        <f t="shared" si="10"/>
        <v>1.3198062839471447E-2</v>
      </c>
      <c r="W80" s="191">
        <f t="shared" si="10"/>
        <v>-0.1765164712505144</v>
      </c>
      <c r="X80" s="191">
        <f t="shared" si="10"/>
        <v>1.4608310538319902E-2</v>
      </c>
      <c r="Y80" s="191">
        <f t="shared" si="10"/>
        <v>-8.9959820112189504E-2</v>
      </c>
      <c r="Z80" s="191">
        <f t="shared" si="10"/>
        <v>-3.1763418119435616E-2</v>
      </c>
      <c r="AA80" s="191">
        <f t="shared" si="10"/>
        <v>3.2699934414062382E-2</v>
      </c>
      <c r="AB80" s="191">
        <f t="shared" si="10"/>
        <v>0.1923977455099859</v>
      </c>
      <c r="AC80" s="189">
        <f t="shared" si="14"/>
        <v>2916.5768020793557</v>
      </c>
      <c r="AD80" s="193">
        <f t="shared" si="14"/>
        <v>24698.296687332746</v>
      </c>
      <c r="AE80" s="190">
        <f t="shared" si="14"/>
        <v>124.8412269891719</v>
      </c>
      <c r="AF80" s="190">
        <f t="shared" si="14"/>
        <v>168.27400287333214</v>
      </c>
      <c r="AG80" s="190">
        <f t="shared" si="14"/>
        <v>497.24545291383129</v>
      </c>
      <c r="AH80" s="190">
        <f t="shared" si="14"/>
        <v>175.49734417993781</v>
      </c>
      <c r="AI80" s="190">
        <f t="shared" si="14"/>
        <v>351.61372485729686</v>
      </c>
      <c r="AJ80" s="191">
        <f>DamodaranUS!$V80-DamodaranUS!$X80</f>
        <v>-1.4102476988484547E-3</v>
      </c>
      <c r="AK80" s="191">
        <f>DamodaranUS!$V80-DamodaranUS!$Y80</f>
        <v>0.10315788295166095</v>
      </c>
    </row>
    <row r="81" spans="1:37">
      <c r="A81" s="180">
        <v>1988</v>
      </c>
      <c r="B81" s="181">
        <f>('[1]S&amp;P 500 &amp; Raw Data'!B64-'[1]S&amp;P 500 &amp; Raw Data'!B63+'[1]S&amp;P 500 &amp; Raw Data'!C64)/'[1]S&amp;P 500 &amp; Raw Data'!B63</f>
        <v>0.16537192812044688</v>
      </c>
      <c r="C81" s="181">
        <f>'[1]Small Cap'!B62</f>
        <v>0.17149999999999999</v>
      </c>
      <c r="D81" s="181">
        <f>'[1]T. Bill rates'!C66</f>
        <v>6.8900000000000003E-2</v>
      </c>
      <c r="E81" s="181">
        <f>'[1]S&amp;P 500 &amp; Raw Data'!F64</f>
        <v>8.2235958434841674E-2</v>
      </c>
      <c r="F81" s="181">
        <f>'[1]S&amp;P 500 &amp; Raw Data'!J64</f>
        <v>0.15681384703221346</v>
      </c>
      <c r="G81" s="181">
        <f>'[1]Home Prices'!B64/'[1]Home Prices'!B63-1</f>
        <v>7.221035380878682E-2</v>
      </c>
      <c r="H81" s="181">
        <f>'[1]Gold Prices'!B63/'[1]Gold Prices'!B62-1</f>
        <v>-0.15255112580045449</v>
      </c>
      <c r="I81" s="182">
        <f t="shared" si="13"/>
        <v>22672.402365298665</v>
      </c>
      <c r="J81" s="183">
        <f t="shared" si="13"/>
        <v>190338.89215009866</v>
      </c>
      <c r="K81" s="183">
        <f t="shared" si="13"/>
        <v>890.13253732958606</v>
      </c>
      <c r="L81" s="183">
        <f t="shared" si="13"/>
        <v>1214.7825820879684</v>
      </c>
      <c r="M81" s="183">
        <f t="shared" si="13"/>
        <v>3837.0182921268679</v>
      </c>
      <c r="N81" s="183">
        <f t="shared" si="13"/>
        <v>1255.1918654547885</v>
      </c>
      <c r="O81" s="183">
        <f t="shared" si="13"/>
        <v>1987.645348837209</v>
      </c>
      <c r="P81" s="184">
        <f t="shared" si="0"/>
        <v>9.6471928120446873E-2</v>
      </c>
      <c r="Q81" s="184">
        <f t="shared" si="1"/>
        <v>8.3135969685605202E-2</v>
      </c>
      <c r="R81" s="185">
        <f>DamodaranUS!$C81-DamodaranUS!$B81</f>
        <v>6.1280718795531097E-3</v>
      </c>
      <c r="S81" s="185">
        <f t="shared" si="2"/>
        <v>8.5580810882334157E-3</v>
      </c>
      <c r="T81" s="185">
        <f t="shared" si="9"/>
        <v>5.1199933578993884E-2</v>
      </c>
      <c r="U81" s="187">
        <f>'[1]Inflation Rate'!C86</f>
        <v>4.41941E-2</v>
      </c>
      <c r="V81" s="191">
        <f t="shared" si="10"/>
        <v>0.11604914078756723</v>
      </c>
      <c r="W81" s="191">
        <f t="shared" si="10"/>
        <v>0.12191785033070013</v>
      </c>
      <c r="X81" s="191">
        <f t="shared" si="10"/>
        <v>2.36602562684467E-2</v>
      </c>
      <c r="Y81" s="191">
        <f t="shared" si="10"/>
        <v>3.6431788337859761E-2</v>
      </c>
      <c r="Z81" s="191">
        <f t="shared" si="10"/>
        <v>0.10785326888191893</v>
      </c>
      <c r="AA81" s="191">
        <f t="shared" si="10"/>
        <v>2.6830503839072595E-2</v>
      </c>
      <c r="AB81" s="191">
        <f t="shared" si="10"/>
        <v>-0.18841825078350316</v>
      </c>
      <c r="AC81" s="189">
        <f t="shared" si="14"/>
        <v>3255.0430340016155</v>
      </c>
      <c r="AD81" s="193">
        <f t="shared" si="14"/>
        <v>27709.459926282205</v>
      </c>
      <c r="AE81" s="190">
        <f t="shared" si="14"/>
        <v>127.79500241260303</v>
      </c>
      <c r="AF81" s="190">
        <f t="shared" si="14"/>
        <v>174.40452572877777</v>
      </c>
      <c r="AG81" s="190">
        <f t="shared" si="14"/>
        <v>550.87500044725834</v>
      </c>
      <c r="AH81" s="190">
        <f t="shared" si="14"/>
        <v>180.20602634670468</v>
      </c>
      <c r="AI81" s="190">
        <f t="shared" si="14"/>
        <v>285.36328186821299</v>
      </c>
      <c r="AJ81" s="191">
        <f>DamodaranUS!$V81-DamodaranUS!$X81</f>
        <v>9.2388884519120529E-2</v>
      </c>
      <c r="AK81" s="191">
        <f>DamodaranUS!$V81-DamodaranUS!$Y81</f>
        <v>7.9617352449707468E-2</v>
      </c>
    </row>
    <row r="82" spans="1:37">
      <c r="A82" s="180">
        <v>1989</v>
      </c>
      <c r="B82" s="181">
        <f>('[1]S&amp;P 500 &amp; Raw Data'!B65-'[1]S&amp;P 500 &amp; Raw Data'!B64+'[1]S&amp;P 500 &amp; Raw Data'!C65)/'[1]S&amp;P 500 &amp; Raw Data'!B64</f>
        <v>0.31475183638196724</v>
      </c>
      <c r="C82" s="181">
        <f>'[1]Small Cap'!B63</f>
        <v>6.9599999999999995E-2</v>
      </c>
      <c r="D82" s="181">
        <f>'[1]T. Bill rates'!C67</f>
        <v>8.3900000000000002E-2</v>
      </c>
      <c r="E82" s="181">
        <f>'[1]S&amp;P 500 &amp; Raw Data'!F65</f>
        <v>0.17693647159446219</v>
      </c>
      <c r="F82" s="181">
        <f>'[1]S&amp;P 500 &amp; Raw Data'!J65</f>
        <v>0.16312115752422615</v>
      </c>
      <c r="G82" s="181">
        <f>'[1]Home Prices'!B65/'[1]Home Prices'!B64-1</f>
        <v>4.3942847005199459E-2</v>
      </c>
      <c r="H82" s="181">
        <f>'[1]Gold Prices'!B64/'[1]Gold Prices'!B63-1</f>
        <v>-2.8397318708104802E-2</v>
      </c>
      <c r="I82" s="182">
        <f t="shared" si="13"/>
        <v>29808.582644967279</v>
      </c>
      <c r="J82" s="183">
        <f t="shared" si="13"/>
        <v>203586.47904374549</v>
      </c>
      <c r="K82" s="183">
        <f t="shared" si="13"/>
        <v>964.81465721153836</v>
      </c>
      <c r="L82" s="183">
        <f t="shared" si="13"/>
        <v>1429.7219259170236</v>
      </c>
      <c r="M82" s="183">
        <f t="shared" si="13"/>
        <v>4462.9171573802323</v>
      </c>
      <c r="N82" s="183">
        <f t="shared" si="13"/>
        <v>1310.3485695606391</v>
      </c>
      <c r="O82" s="183">
        <f t="shared" si="13"/>
        <v>1931.2015503875966</v>
      </c>
      <c r="P82" s="184">
        <f t="shared" si="0"/>
        <v>0.23085183638196724</v>
      </c>
      <c r="Q82" s="184">
        <f t="shared" si="1"/>
        <v>0.13781536478750506</v>
      </c>
      <c r="R82" s="185">
        <f>DamodaranUS!$C82-DamodaranUS!$B82</f>
        <v>-0.24515183638196725</v>
      </c>
      <c r="S82" s="185">
        <f t="shared" si="2"/>
        <v>0.15163067885774109</v>
      </c>
      <c r="T82" s="185">
        <f t="shared" si="9"/>
        <v>5.240982169336883E-2</v>
      </c>
      <c r="U82" s="187">
        <f>'[1]Inflation Rate'!C87</f>
        <v>4.6473000000000007E-2</v>
      </c>
      <c r="V82" s="191">
        <f t="shared" si="10"/>
        <v>0.25636479525221123</v>
      </c>
      <c r="W82" s="191">
        <f t="shared" si="10"/>
        <v>2.2099949067008851E-2</v>
      </c>
      <c r="X82" s="191">
        <f t="shared" si="10"/>
        <v>3.5764897899898118E-2</v>
      </c>
      <c r="Y82" s="191">
        <f t="shared" si="10"/>
        <v>0.12466969677618267</v>
      </c>
      <c r="Z82" s="191">
        <f t="shared" si="10"/>
        <v>0.11146790937198214</v>
      </c>
      <c r="AA82" s="191">
        <f t="shared" si="10"/>
        <v>-2.4177909939392395E-3</v>
      </c>
      <c r="AB82" s="191">
        <f t="shared" si="10"/>
        <v>-7.1545389807577298E-2</v>
      </c>
      <c r="AC82" s="189">
        <f t="shared" si="14"/>
        <v>4089.5214749505762</v>
      </c>
      <c r="AD82" s="193">
        <f t="shared" si="14"/>
        <v>28321.837579327363</v>
      </c>
      <c r="AE82" s="190">
        <f t="shared" si="14"/>
        <v>132.365577626007</v>
      </c>
      <c r="AF82" s="190">
        <f t="shared" si="14"/>
        <v>196.14748506777843</v>
      </c>
      <c r="AG82" s="190">
        <f t="shared" si="14"/>
        <v>612.279885072404</v>
      </c>
      <c r="AH82" s="190">
        <f t="shared" si="14"/>
        <v>179.77032583915005</v>
      </c>
      <c r="AI82" s="190">
        <f t="shared" si="14"/>
        <v>264.94685463018214</v>
      </c>
      <c r="AJ82" s="191">
        <f>DamodaranUS!$V82-DamodaranUS!$X82</f>
        <v>0.22059989735231311</v>
      </c>
      <c r="AK82" s="191">
        <f>DamodaranUS!$V82-DamodaranUS!$Y82</f>
        <v>0.13169509847602856</v>
      </c>
    </row>
    <row r="83" spans="1:37">
      <c r="A83" s="180">
        <v>1990</v>
      </c>
      <c r="B83" s="181">
        <f>('[1]S&amp;P 500 &amp; Raw Data'!B66-'[1]S&amp;P 500 &amp; Raw Data'!B65+'[1]S&amp;P 500 &amp; Raw Data'!C66)/'[1]S&amp;P 500 &amp; Raw Data'!B65</f>
        <v>-3.0644516129032118E-2</v>
      </c>
      <c r="C83" s="181">
        <f>'[1]Small Cap'!B64</f>
        <v>-0.2777</v>
      </c>
      <c r="D83" s="181">
        <f>'[1]T. Bill rates'!C68</f>
        <v>7.7499999999999999E-2</v>
      </c>
      <c r="E83" s="181">
        <f>'[1]S&amp;P 500 &amp; Raw Data'!F66</f>
        <v>6.2353753335533363E-2</v>
      </c>
      <c r="F83" s="181">
        <f>'[1]S&amp;P 500 &amp; Raw Data'!J66</f>
        <v>5.6477750205500804E-2</v>
      </c>
      <c r="G83" s="181">
        <f>'[1]Home Prices'!B66/'[1]Home Prices'!B65-1</f>
        <v>-6.8630142358537816E-3</v>
      </c>
      <c r="H83" s="181">
        <f>'[1]Gold Prices'!B65/'[1]Gold Prices'!B64-1</f>
        <v>-3.1108881083793394E-2</v>
      </c>
      <c r="I83" s="182">
        <f t="shared" si="13"/>
        <v>28895.113053319994</v>
      </c>
      <c r="J83" s="183">
        <f t="shared" si="13"/>
        <v>147050.51381329735</v>
      </c>
      <c r="K83" s="183">
        <f t="shared" si="13"/>
        <v>1039.5877931454324</v>
      </c>
      <c r="L83" s="183">
        <f t="shared" si="13"/>
        <v>1518.8704542240573</v>
      </c>
      <c r="M83" s="183">
        <f t="shared" si="13"/>
        <v>4714.9726777825963</v>
      </c>
      <c r="N83" s="183">
        <f t="shared" si="13"/>
        <v>1301.3556286738137</v>
      </c>
      <c r="O83" s="183">
        <f t="shared" si="13"/>
        <v>1871.1240310077515</v>
      </c>
      <c r="P83" s="184">
        <f t="shared" si="0"/>
        <v>-0.10814451612903211</v>
      </c>
      <c r="Q83" s="184">
        <f t="shared" si="1"/>
        <v>-9.2998269464565478E-2</v>
      </c>
      <c r="R83" s="185">
        <f>DamodaranUS!$C83-DamodaranUS!$B83</f>
        <v>-0.24705548387096787</v>
      </c>
      <c r="S83" s="185">
        <f t="shared" si="2"/>
        <v>-8.7122266334532919E-2</v>
      </c>
      <c r="T83" s="185">
        <f t="shared" si="9"/>
        <v>4.9979953137364364E-2</v>
      </c>
      <c r="U83" s="187">
        <f>'[1]Inflation Rate'!C88</f>
        <v>6.1062599999999995E-2</v>
      </c>
      <c r="V83" s="191">
        <f t="shared" si="10"/>
        <v>-8.6429505788849892E-2</v>
      </c>
      <c r="W83" s="191">
        <f t="shared" si="10"/>
        <v>-0.31926730807400061</v>
      </c>
      <c r="X83" s="191">
        <f t="shared" si="10"/>
        <v>1.5491451682492441E-2</v>
      </c>
      <c r="Y83" s="191">
        <f t="shared" si="10"/>
        <v>1.2168493503901257E-3</v>
      </c>
      <c r="Z83" s="191">
        <f t="shared" si="10"/>
        <v>-4.3209983977376965E-3</v>
      </c>
      <c r="AA83" s="191">
        <f t="shared" si="10"/>
        <v>-6.401659453066566E-2</v>
      </c>
      <c r="AB83" s="191">
        <f t="shared" si="10"/>
        <v>-8.6867147219959917E-2</v>
      </c>
      <c r="AC83" s="189">
        <f t="shared" si="14"/>
        <v>3736.0661549577094</v>
      </c>
      <c r="AD83" s="193">
        <f t="shared" si="14"/>
        <v>19279.600735666445</v>
      </c>
      <c r="AE83" s="190">
        <f t="shared" si="14"/>
        <v>134.41611257622549</v>
      </c>
      <c r="AF83" s="190">
        <f t="shared" si="14"/>
        <v>196.38616700756381</v>
      </c>
      <c r="AG83" s="190">
        <f t="shared" si="14"/>
        <v>609.63422467003909</v>
      </c>
      <c r="AH83" s="190">
        <f t="shared" si="14"/>
        <v>168.26204178125954</v>
      </c>
      <c r="AI83" s="190">
        <f t="shared" si="14"/>
        <v>241.9316772035568</v>
      </c>
      <c r="AJ83" s="191">
        <f>DamodaranUS!$V83-DamodaranUS!$X83</f>
        <v>-0.10192095747134233</v>
      </c>
      <c r="AK83" s="191">
        <f>DamodaranUS!$V83-DamodaranUS!$Y83</f>
        <v>-8.7646355139240018E-2</v>
      </c>
    </row>
    <row r="84" spans="1:37">
      <c r="A84" s="180">
        <v>1991</v>
      </c>
      <c r="B84" s="181">
        <f>('[1]S&amp;P 500 &amp; Raw Data'!B67-'[1]S&amp;P 500 &amp; Raw Data'!B66+'[1]S&amp;P 500 &amp; Raw Data'!C67)/'[1]S&amp;P 500 &amp; Raw Data'!B66</f>
        <v>0.30234843134879757</v>
      </c>
      <c r="C84" s="181">
        <f>'[1]Small Cap'!B65</f>
        <v>0.4607</v>
      </c>
      <c r="D84" s="181">
        <f>'[1]T. Bill rates'!C69</f>
        <v>5.5399999999999998E-2</v>
      </c>
      <c r="E84" s="181">
        <f>'[1]S&amp;P 500 &amp; Raw Data'!F67</f>
        <v>0.15004510019517303</v>
      </c>
      <c r="F84" s="181">
        <f>'[1]S&amp;P 500 &amp; Raw Data'!J67</f>
        <v>0.16400049125760602</v>
      </c>
      <c r="G84" s="181">
        <f>'[1]Home Prices'!B67/'[1]Home Prices'!B66-1</f>
        <v>-1.6848312536197341E-3</v>
      </c>
      <c r="H84" s="181">
        <f>'[1]Gold Prices'!B66/'[1]Gold Prices'!B65-1</f>
        <v>-8.5577421025375466E-2</v>
      </c>
      <c r="I84" s="182">
        <f t="shared" si="13"/>
        <v>37631.505158637461</v>
      </c>
      <c r="J84" s="183">
        <f t="shared" si="13"/>
        <v>214796.68552708346</v>
      </c>
      <c r="K84" s="183">
        <f t="shared" si="13"/>
        <v>1097.1809568856893</v>
      </c>
      <c r="L84" s="183">
        <f t="shared" si="13"/>
        <v>1746.769523711594</v>
      </c>
      <c r="M84" s="183">
        <f t="shared" si="13"/>
        <v>5488.2305132051324</v>
      </c>
      <c r="N84" s="183">
        <f t="shared" si="13"/>
        <v>1299.1630640385501</v>
      </c>
      <c r="O84" s="183">
        <f t="shared" si="13"/>
        <v>1710.9980620155034</v>
      </c>
      <c r="P84" s="184">
        <f t="shared" si="0"/>
        <v>0.24694843134879757</v>
      </c>
      <c r="Q84" s="184">
        <f t="shared" si="1"/>
        <v>0.15230333115362454</v>
      </c>
      <c r="R84" s="185">
        <f>DamodaranUS!$C84-DamodaranUS!$B84</f>
        <v>0.15835156865120242</v>
      </c>
      <c r="S84" s="185">
        <f t="shared" si="2"/>
        <v>0.13834794009119156</v>
      </c>
      <c r="T84" s="185">
        <f t="shared" si="9"/>
        <v>5.13850639844049E-2</v>
      </c>
      <c r="U84" s="187">
        <f>'[1]Inflation Rate'!C89</f>
        <v>3.0642800000000001E-2</v>
      </c>
      <c r="V84" s="191">
        <f t="shared" si="10"/>
        <v>0.26362735115288971</v>
      </c>
      <c r="W84" s="191">
        <f t="shared" si="10"/>
        <v>0.41727085271444198</v>
      </c>
      <c r="X84" s="191">
        <f t="shared" si="10"/>
        <v>2.4021125456850534E-2</v>
      </c>
      <c r="Y84" s="191">
        <f t="shared" si="10"/>
        <v>0.11585226248625902</v>
      </c>
      <c r="Z84" s="191">
        <f t="shared" si="10"/>
        <v>0.12939273554097119</v>
      </c>
      <c r="AA84" s="191">
        <f t="shared" si="10"/>
        <v>-3.1366474644386799E-2</v>
      </c>
      <c r="AB84" s="191">
        <f t="shared" si="10"/>
        <v>-0.11276479205538092</v>
      </c>
      <c r="AC84" s="189">
        <f t="shared" si="14"/>
        <v>4720.9953791211719</v>
      </c>
      <c r="AD84" s="193">
        <f t="shared" si="14"/>
        <v>27324.416174631966</v>
      </c>
      <c r="AE84" s="190">
        <f t="shared" si="14"/>
        <v>137.64493887984113</v>
      </c>
      <c r="AF84" s="190">
        <f t="shared" si="14"/>
        <v>219.13794877639441</v>
      </c>
      <c r="AG84" s="190">
        <f t="shared" si="14"/>
        <v>688.51646467949445</v>
      </c>
      <c r="AH84" s="190">
        <f t="shared" si="14"/>
        <v>162.98425471411491</v>
      </c>
      <c r="AI84" s="190">
        <f t="shared" si="14"/>
        <v>214.65030193208818</v>
      </c>
      <c r="AJ84" s="191">
        <f>DamodaranUS!$V84-DamodaranUS!$X84</f>
        <v>0.23960622569603918</v>
      </c>
      <c r="AK84" s="191">
        <f>DamodaranUS!$V84-DamodaranUS!$Y84</f>
        <v>0.14777508866663069</v>
      </c>
    </row>
    <row r="85" spans="1:37">
      <c r="A85" s="180">
        <v>1992</v>
      </c>
      <c r="B85" s="181">
        <f>('[1]S&amp;P 500 &amp; Raw Data'!B68-'[1]S&amp;P 500 &amp; Raw Data'!B67+'[1]S&amp;P 500 &amp; Raw Data'!C68)/'[1]S&amp;P 500 &amp; Raw Data'!B67</f>
        <v>7.493727972380064E-2</v>
      </c>
      <c r="C85" s="181">
        <f>'[1]Small Cap'!B66</f>
        <v>0.25340000000000001</v>
      </c>
      <c r="D85" s="181">
        <f>'[1]T. Bill rates'!C70</f>
        <v>3.5099999999999999E-2</v>
      </c>
      <c r="E85" s="181">
        <f>'[1]S&amp;P 500 &amp; Raw Data'!F68</f>
        <v>9.3616373162079422E-2</v>
      </c>
      <c r="F85" s="181">
        <f>'[1]S&amp;P 500 &amp; Raw Data'!J68</f>
        <v>0.13682874000406886</v>
      </c>
      <c r="G85" s="181">
        <f>'[1]Home Prices'!B68/'[1]Home Prices'!B67-1</f>
        <v>8.1746743315227466E-3</v>
      </c>
      <c r="H85" s="181">
        <f>'[1]Gold Prices'!B67/'[1]Gold Prices'!B66-1</f>
        <v>-5.7341073198357684E-2</v>
      </c>
      <c r="I85" s="182">
        <f t="shared" si="13"/>
        <v>40451.507787137925</v>
      </c>
      <c r="J85" s="183">
        <f t="shared" si="13"/>
        <v>269226.16563964641</v>
      </c>
      <c r="K85" s="183">
        <f t="shared" si="13"/>
        <v>1135.692008472377</v>
      </c>
      <c r="L85" s="183">
        <f t="shared" si="13"/>
        <v>1910.2957512715263</v>
      </c>
      <c r="M85" s="183">
        <f t="shared" si="13"/>
        <v>6239.1781791788753</v>
      </c>
      <c r="N85" s="183">
        <f t="shared" si="13"/>
        <v>1309.7832989906085</v>
      </c>
      <c r="O85" s="183">
        <f t="shared" si="13"/>
        <v>1612.8875968992243</v>
      </c>
      <c r="P85" s="184">
        <f t="shared" ref="P85:P114" si="15">B85-D85</f>
        <v>3.9837279723800641E-2</v>
      </c>
      <c r="Q85" s="184">
        <f t="shared" ref="Q85:Q114" si="16">B85-E85</f>
        <v>-1.8679093438278782E-2</v>
      </c>
      <c r="R85" s="185">
        <f>DamodaranUS!$C85-DamodaranUS!$B85</f>
        <v>0.17846272027619936</v>
      </c>
      <c r="S85" s="185">
        <f t="shared" ref="S85:S115" si="17">B85-F85</f>
        <v>-6.1891460280268221E-2</v>
      </c>
      <c r="T85" s="185">
        <f t="shared" si="9"/>
        <v>5.0319857010869606E-2</v>
      </c>
      <c r="U85" s="187">
        <f>'[1]Inflation Rate'!C90</f>
        <v>2.9006500000000001E-2</v>
      </c>
      <c r="V85" s="191">
        <f t="shared" ref="V85:AB115" si="18">(1+B85)/(1+$U85)-1</f>
        <v>4.4636044304677158E-2</v>
      </c>
      <c r="W85" s="191">
        <f t="shared" si="18"/>
        <v>0.21806810744149829</v>
      </c>
      <c r="X85" s="191">
        <f t="shared" si="18"/>
        <v>5.9217313010169192E-3</v>
      </c>
      <c r="Y85" s="191">
        <f t="shared" si="18"/>
        <v>6.2788595759190491E-2</v>
      </c>
      <c r="Z85" s="191">
        <f t="shared" si="18"/>
        <v>0.10478285608892546</v>
      </c>
      <c r="AA85" s="191">
        <f t="shared" si="18"/>
        <v>-2.0244600659448886E-2</v>
      </c>
      <c r="AB85" s="191">
        <f t="shared" si="18"/>
        <v>-8.3913535238463122E-2</v>
      </c>
      <c r="AC85" s="189">
        <f t="shared" si="14"/>
        <v>4931.7219380258011</v>
      </c>
      <c r="AD85" s="193">
        <f t="shared" si="14"/>
        <v>33282.999896777823</v>
      </c>
      <c r="AE85" s="190">
        <f t="shared" si="14"/>
        <v>138.46003522283246</v>
      </c>
      <c r="AF85" s="190">
        <f t="shared" si="14"/>
        <v>232.89731285761363</v>
      </c>
      <c r="AG85" s="190">
        <f t="shared" si="14"/>
        <v>760.66118631286167</v>
      </c>
      <c r="AH85" s="190">
        <f t="shared" si="14"/>
        <v>159.68470356364975</v>
      </c>
      <c r="AI85" s="190">
        <f t="shared" si="14"/>
        <v>196.63823625696315</v>
      </c>
      <c r="AJ85" s="191">
        <f>DamodaranUS!$V85-DamodaranUS!$X85</f>
        <v>3.8714313003660239E-2</v>
      </c>
      <c r="AK85" s="191">
        <f>DamodaranUS!$V85-DamodaranUS!$Y85</f>
        <v>-1.8152551454513333E-2</v>
      </c>
    </row>
    <row r="86" spans="1:37">
      <c r="A86" s="180">
        <v>1993</v>
      </c>
      <c r="B86" s="181">
        <f>('[1]S&amp;P 500 &amp; Raw Data'!B69-'[1]S&amp;P 500 &amp; Raw Data'!B68+'[1]S&amp;P 500 &amp; Raw Data'!C69)/'[1]S&amp;P 500 &amp; Raw Data'!B68</f>
        <v>9.96705147919488E-2</v>
      </c>
      <c r="C86" s="181">
        <f>'[1]Small Cap'!B67</f>
        <v>0.25559999999999999</v>
      </c>
      <c r="D86" s="181">
        <f>'[1]T. Bill rates'!C71</f>
        <v>3.0699999999999998E-2</v>
      </c>
      <c r="E86" s="181">
        <f>'[1]S&amp;P 500 &amp; Raw Data'!F69</f>
        <v>0.14210957589263107</v>
      </c>
      <c r="F86" s="181">
        <f>'[1]S&amp;P 500 &amp; Raw Data'!J69</f>
        <v>0.16444594316692779</v>
      </c>
      <c r="G86" s="181">
        <f>'[1]Home Prices'!B69/'[1]Home Prices'!B68-1</f>
        <v>2.15657041222026E-2</v>
      </c>
      <c r="H86" s="181">
        <f>'[1]Gold Prices'!B68/'[1]Gold Prices'!B67-1</f>
        <v>0.17677981375788532</v>
      </c>
      <c r="I86" s="182">
        <f t="shared" ref="I86:O101" si="19">I85*(1+B86)</f>
        <v>44483.33039239249</v>
      </c>
      <c r="J86" s="183">
        <f t="shared" si="19"/>
        <v>338040.37357714004</v>
      </c>
      <c r="K86" s="183">
        <f t="shared" si="19"/>
        <v>1170.5577531324789</v>
      </c>
      <c r="L86" s="183">
        <f t="shared" si="19"/>
        <v>2181.7670703142176</v>
      </c>
      <c r="M86" s="183">
        <f t="shared" si="19"/>
        <v>7265.1857194404611</v>
      </c>
      <c r="N86" s="183">
        <f t="shared" si="19"/>
        <v>1338.0296980808423</v>
      </c>
      <c r="O86" s="183">
        <f t="shared" si="19"/>
        <v>1898.0135658914724</v>
      </c>
      <c r="P86" s="184">
        <f t="shared" si="15"/>
        <v>6.8970514791948795E-2</v>
      </c>
      <c r="Q86" s="184">
        <f t="shared" si="16"/>
        <v>-4.2439061100682268E-2</v>
      </c>
      <c r="R86" s="185">
        <f>DamodaranUS!$C86-DamodaranUS!$B86</f>
        <v>0.15592948520805119</v>
      </c>
      <c r="S86" s="185">
        <f t="shared" si="17"/>
        <v>-6.4775428374978988E-2</v>
      </c>
      <c r="T86" s="185">
        <f t="shared" si="9"/>
        <v>4.8975937931758473E-2</v>
      </c>
      <c r="U86" s="187">
        <f>'[1]Inflation Rate'!C91</f>
        <v>2.7484099999999997E-2</v>
      </c>
      <c r="V86" s="191">
        <f t="shared" si="18"/>
        <v>7.025550545448711E-2</v>
      </c>
      <c r="W86" s="191">
        <f t="shared" si="18"/>
        <v>0.22201404381829382</v>
      </c>
      <c r="X86" s="191">
        <f t="shared" si="18"/>
        <v>3.1298781168487277E-3</v>
      </c>
      <c r="Y86" s="191">
        <f t="shared" si="18"/>
        <v>0.11155936709155023</v>
      </c>
      <c r="Z86" s="191">
        <f t="shared" si="18"/>
        <v>0.13329826044697723</v>
      </c>
      <c r="AA86" s="191">
        <f t="shared" si="18"/>
        <v>-5.7600851222878724E-3</v>
      </c>
      <c r="AB86" s="191">
        <f t="shared" si="18"/>
        <v>0.14530221320007319</v>
      </c>
      <c r="AC86" s="189">
        <f t="shared" ref="AC86:AI101" si="20">AC85*(1+V86)</f>
        <v>5278.2025555427863</v>
      </c>
      <c r="AD86" s="193">
        <f t="shared" si="20"/>
        <v>40672.293294265321</v>
      </c>
      <c r="AE86" s="190">
        <f t="shared" si="20"/>
        <v>138.89339825713452</v>
      </c>
      <c r="AF86" s="190">
        <f t="shared" si="20"/>
        <v>258.87918967733179</v>
      </c>
      <c r="AG86" s="190">
        <f t="shared" si="20"/>
        <v>862.05599923790021</v>
      </c>
      <c r="AH86" s="190">
        <f t="shared" si="20"/>
        <v>158.76490607839582</v>
      </c>
      <c r="AI86" s="190">
        <f t="shared" si="20"/>
        <v>225.21020718485877</v>
      </c>
      <c r="AJ86" s="191">
        <f>DamodaranUS!$V86-DamodaranUS!$X86</f>
        <v>6.7125627337638383E-2</v>
      </c>
      <c r="AK86" s="191">
        <f>DamodaranUS!$V86-DamodaranUS!$Y86</f>
        <v>-4.1303861637063122E-2</v>
      </c>
    </row>
    <row r="87" spans="1:37">
      <c r="A87" s="180">
        <v>1994</v>
      </c>
      <c r="B87" s="181">
        <f>('[1]S&amp;P 500 &amp; Raw Data'!B70-'[1]S&amp;P 500 &amp; Raw Data'!B69+'[1]S&amp;P 500 &amp; Raw Data'!C70)/'[1]S&amp;P 500 &amp; Raw Data'!B69</f>
        <v>1.3259206774573897E-2</v>
      </c>
      <c r="C87" s="181">
        <f>'[1]Small Cap'!B68</f>
        <v>-4.7599999999999996E-2</v>
      </c>
      <c r="D87" s="181">
        <f>'[1]T. Bill rates'!C72</f>
        <v>4.3700000000000003E-2</v>
      </c>
      <c r="E87" s="181">
        <f>'[1]S&amp;P 500 &amp; Raw Data'!F70</f>
        <v>-8.0366555509985921E-2</v>
      </c>
      <c r="F87" s="181">
        <f>'[1]S&amp;P 500 &amp; Raw Data'!J70</f>
        <v>-1.2313818260180243E-2</v>
      </c>
      <c r="G87" s="181">
        <f>'[1]Home Prices'!B70/'[1]Home Prices'!B69-1</f>
        <v>2.515586394070124E-2</v>
      </c>
      <c r="H87" s="181">
        <f>'[1]Gold Prices'!B69/'[1]Gold Prices'!B68-1</f>
        <v>-2.1697511167836581E-2</v>
      </c>
      <c r="I87" s="182">
        <f t="shared" si="19"/>
        <v>45073.144068086905</v>
      </c>
      <c r="J87" s="183">
        <f t="shared" si="19"/>
        <v>321949.65179486817</v>
      </c>
      <c r="K87" s="183">
        <f t="shared" si="19"/>
        <v>1221.7111269443683</v>
      </c>
      <c r="L87" s="183">
        <f t="shared" si="19"/>
        <v>2006.4259659479505</v>
      </c>
      <c r="M87" s="183">
        <f t="shared" si="19"/>
        <v>7175.7235428648137</v>
      </c>
      <c r="N87" s="183">
        <f t="shared" si="19"/>
        <v>1371.6889911143815</v>
      </c>
      <c r="O87" s="183">
        <f t="shared" si="19"/>
        <v>1856.8313953488368</v>
      </c>
      <c r="P87" s="184">
        <f t="shared" si="15"/>
        <v>-3.0440793225426106E-2</v>
      </c>
      <c r="Q87" s="184">
        <f t="shared" si="16"/>
        <v>9.3625762284559821E-2</v>
      </c>
      <c r="R87" s="185">
        <f>DamodaranUS!$C87-DamodaranUS!$B87</f>
        <v>-6.085920677457389E-2</v>
      </c>
      <c r="S87" s="185">
        <f t="shared" si="17"/>
        <v>2.557302503475414E-2</v>
      </c>
      <c r="T87" s="185">
        <f t="shared" si="9"/>
        <v>4.9718636171719899E-2</v>
      </c>
      <c r="U87" s="187">
        <f>'[1]Inflation Rate'!C92</f>
        <v>2.6749000000000002E-2</v>
      </c>
      <c r="V87" s="191">
        <f t="shared" si="18"/>
        <v>-1.3138355357956155E-2</v>
      </c>
      <c r="W87" s="191">
        <f t="shared" si="18"/>
        <v>-7.2412050072607759E-2</v>
      </c>
      <c r="X87" s="191">
        <f t="shared" si="18"/>
        <v>1.6509390318373951E-2</v>
      </c>
      <c r="Y87" s="191">
        <f t="shared" si="18"/>
        <v>-0.10432496696854432</v>
      </c>
      <c r="Z87" s="191">
        <f t="shared" si="18"/>
        <v>-3.8045148580792554E-2</v>
      </c>
      <c r="AA87" s="191">
        <f t="shared" si="18"/>
        <v>-1.551631469130843E-3</v>
      </c>
      <c r="AB87" s="191">
        <f t="shared" si="18"/>
        <v>-4.7184376286547591E-2</v>
      </c>
      <c r="AC87" s="189">
        <f t="shared" si="20"/>
        <v>5208.8556547167927</v>
      </c>
      <c r="AD87" s="193">
        <f t="shared" si="20"/>
        <v>37727.129155673189</v>
      </c>
      <c r="AE87" s="190">
        <f t="shared" si="20"/>
        <v>141.18644358160691</v>
      </c>
      <c r="AF87" s="190">
        <f t="shared" si="20"/>
        <v>231.87162676540063</v>
      </c>
      <c r="AG87" s="190">
        <f t="shared" si="20"/>
        <v>829.25895066193073</v>
      </c>
      <c r="AH87" s="190">
        <f t="shared" si="20"/>
        <v>158.51856145393097</v>
      </c>
      <c r="AI87" s="190">
        <f t="shared" si="20"/>
        <v>214.58380402547706</v>
      </c>
      <c r="AJ87" s="191">
        <f>DamodaranUS!$V87-DamodaranUS!$X87</f>
        <v>-2.9647745676330106E-2</v>
      </c>
      <c r="AK87" s="191">
        <f>DamodaranUS!$V87-DamodaranUS!$Y87</f>
        <v>9.1186611610588164E-2</v>
      </c>
    </row>
    <row r="88" spans="1:37">
      <c r="A88" s="180">
        <v>1995</v>
      </c>
      <c r="B88" s="181">
        <f>('[1]S&amp;P 500 &amp; Raw Data'!B71-'[1]S&amp;P 500 &amp; Raw Data'!B70+'[1]S&amp;P 500 &amp; Raw Data'!C71)/'[1]S&amp;P 500 &amp; Raw Data'!B70</f>
        <v>0.37195198902606308</v>
      </c>
      <c r="C88" s="181">
        <f>'[1]Small Cap'!B69</f>
        <v>0.32119999999999999</v>
      </c>
      <c r="D88" s="181">
        <f>'[1]T. Bill rates'!C73</f>
        <v>5.6600000000000004E-2</v>
      </c>
      <c r="E88" s="181">
        <f>'[1]S&amp;P 500 &amp; Raw Data'!F71</f>
        <v>0.23480780112538907</v>
      </c>
      <c r="F88" s="181">
        <f>'[1]S&amp;P 500 &amp; Raw Data'!J71</f>
        <v>0.20087516571052572</v>
      </c>
      <c r="G88" s="181">
        <f>'[1]Home Prices'!B71/'[1]Home Prices'!B70-1</f>
        <v>1.7920027972726515E-2</v>
      </c>
      <c r="H88" s="181">
        <f>'[1]Gold Prices'!B70/'[1]Gold Prices'!B69-1</f>
        <v>9.7847358121330164E-3</v>
      </c>
      <c r="I88" s="182">
        <f t="shared" si="19"/>
        <v>61838.189655870119</v>
      </c>
      <c r="J88" s="183">
        <f t="shared" si="19"/>
        <v>425359.87995137979</v>
      </c>
      <c r="K88" s="183">
        <f t="shared" si="19"/>
        <v>1290.8599767294195</v>
      </c>
      <c r="L88" s="183">
        <f t="shared" si="19"/>
        <v>2477.5504351330737</v>
      </c>
      <c r="M88" s="183">
        <f t="shared" si="19"/>
        <v>8617.1481986307026</v>
      </c>
      <c r="N88" s="183">
        <f t="shared" si="19"/>
        <v>1396.2696962050322</v>
      </c>
      <c r="O88" s="183">
        <f t="shared" si="19"/>
        <v>1874.9999999999995</v>
      </c>
      <c r="P88" s="184">
        <f t="shared" si="15"/>
        <v>0.3153519890260631</v>
      </c>
      <c r="Q88" s="184">
        <f t="shared" si="16"/>
        <v>0.13714418790067401</v>
      </c>
      <c r="R88" s="185">
        <f>DamodaranUS!$C88-DamodaranUS!$B88</f>
        <v>-5.0751989026063093E-2</v>
      </c>
      <c r="S88" s="185">
        <f t="shared" si="17"/>
        <v>0.17107682331553736</v>
      </c>
      <c r="T88" s="185">
        <f t="shared" si="9"/>
        <v>5.0791451119413633E-2</v>
      </c>
      <c r="U88" s="187">
        <f>'[1]Inflation Rate'!C93</f>
        <v>2.53841E-2</v>
      </c>
      <c r="V88" s="191">
        <f t="shared" si="18"/>
        <v>0.33798835872924404</v>
      </c>
      <c r="W88" s="191">
        <f t="shared" si="18"/>
        <v>0.28849277066028245</v>
      </c>
      <c r="X88" s="191">
        <f t="shared" si="18"/>
        <v>3.0443128579817236E-2</v>
      </c>
      <c r="Y88" s="191">
        <f t="shared" si="18"/>
        <v>0.20423927104524942</v>
      </c>
      <c r="Z88" s="191">
        <f t="shared" si="18"/>
        <v>0.17114666173439375</v>
      </c>
      <c r="AA88" s="191">
        <f t="shared" si="18"/>
        <v>-7.2792937078636211E-3</v>
      </c>
      <c r="AB88" s="191">
        <f t="shared" si="18"/>
        <v>-1.5213191025555073E-2</v>
      </c>
      <c r="AC88" s="189">
        <f t="shared" si="20"/>
        <v>6969.3882283120638</v>
      </c>
      <c r="AD88" s="193">
        <f t="shared" si="20"/>
        <v>48611.133174851668</v>
      </c>
      <c r="AE88" s="190">
        <f t="shared" si="20"/>
        <v>145.48460063728888</v>
      </c>
      <c r="AF88" s="190">
        <f t="shared" si="20"/>
        <v>279.22891879204218</v>
      </c>
      <c r="AG88" s="190">
        <f t="shared" si="20"/>
        <v>971.18385178108645</v>
      </c>
      <c r="AH88" s="190">
        <f t="shared" si="20"/>
        <v>157.36465828695978</v>
      </c>
      <c r="AI88" s="190">
        <f t="shared" si="20"/>
        <v>211.3192996238472</v>
      </c>
      <c r="AJ88" s="191">
        <f>DamodaranUS!$V88-DamodaranUS!$X88</f>
        <v>0.30754523014942681</v>
      </c>
      <c r="AK88" s="191">
        <f>DamodaranUS!$V88-DamodaranUS!$Y88</f>
        <v>0.13374908768399463</v>
      </c>
    </row>
    <row r="89" spans="1:37">
      <c r="A89" s="180">
        <v>1996</v>
      </c>
      <c r="B89" s="181">
        <f>('[1]S&amp;P 500 &amp; Raw Data'!B72-'[1]S&amp;P 500 &amp; Raw Data'!B71+'[1]S&amp;P 500 &amp; Raw Data'!C72)/'[1]S&amp;P 500 &amp; Raw Data'!B71</f>
        <v>0.22680966018865789</v>
      </c>
      <c r="C89" s="181">
        <f>'[1]Small Cap'!B70</f>
        <v>0.1479</v>
      </c>
      <c r="D89" s="181">
        <f>'[1]T. Bill rates'!C74</f>
        <v>5.1500000000000004E-2</v>
      </c>
      <c r="E89" s="181">
        <f>'[1]S&amp;P 500 &amp; Raw Data'!F72</f>
        <v>1.428607793401844E-2</v>
      </c>
      <c r="F89" s="181">
        <f>'[1]S&amp;P 500 &amp; Raw Data'!J72</f>
        <v>5.2796034940021663E-2</v>
      </c>
      <c r="G89" s="181">
        <f>'[1]Home Prices'!B72/'[1]Home Prices'!B71-1</f>
        <v>2.4253800007359549E-2</v>
      </c>
      <c r="H89" s="181">
        <f>'[1]Gold Prices'!B71/'[1]Gold Prices'!B70-1</f>
        <v>-4.5865633074935408E-2</v>
      </c>
      <c r="I89" s="182">
        <f t="shared" si="19"/>
        <v>75863.688438399797</v>
      </c>
      <c r="J89" s="183">
        <f t="shared" si="19"/>
        <v>488270.60619618883</v>
      </c>
      <c r="K89" s="183">
        <f t="shared" si="19"/>
        <v>1357.3392655309847</v>
      </c>
      <c r="L89" s="183">
        <f t="shared" si="19"/>
        <v>2512.9449137348461</v>
      </c>
      <c r="M89" s="183">
        <f t="shared" si="19"/>
        <v>9072.099456008953</v>
      </c>
      <c r="N89" s="183">
        <f t="shared" si="19"/>
        <v>1430.1345421731257</v>
      </c>
      <c r="O89" s="183">
        <f t="shared" si="19"/>
        <v>1789.0019379844957</v>
      </c>
      <c r="P89" s="184">
        <f t="shared" si="15"/>
        <v>0.1753096601886579</v>
      </c>
      <c r="Q89" s="184">
        <f t="shared" si="16"/>
        <v>0.21252358225463946</v>
      </c>
      <c r="R89" s="185">
        <f>DamodaranUS!$C89-DamodaranUS!$B89</f>
        <v>-7.8909660188657887E-2</v>
      </c>
      <c r="S89" s="185">
        <f t="shared" si="17"/>
        <v>0.17401362524863623</v>
      </c>
      <c r="T89" s="185">
        <f t="shared" si="9"/>
        <v>5.304503967737495E-2</v>
      </c>
      <c r="U89" s="187">
        <f>'[1]Inflation Rate'!C94</f>
        <v>3.3224799999999999E-2</v>
      </c>
      <c r="V89" s="191">
        <f t="shared" si="18"/>
        <v>0.18735986610915445</v>
      </c>
      <c r="W89" s="191">
        <f t="shared" si="18"/>
        <v>0.11098765728426185</v>
      </c>
      <c r="X89" s="191">
        <f t="shared" si="18"/>
        <v>1.7687535181114766E-2</v>
      </c>
      <c r="Y89" s="191">
        <f t="shared" si="18"/>
        <v>-1.8329720759685197E-2</v>
      </c>
      <c r="Z89" s="191">
        <f t="shared" si="18"/>
        <v>1.8941894290595451E-2</v>
      </c>
      <c r="AA89" s="191">
        <f t="shared" si="18"/>
        <v>-8.6825248412933931E-3</v>
      </c>
      <c r="AB89" s="191">
        <f t="shared" si="18"/>
        <v>-7.6547168704172996E-2</v>
      </c>
      <c r="AC89" s="189">
        <f t="shared" si="20"/>
        <v>8275.1718736313287</v>
      </c>
      <c r="AD89" s="193">
        <f t="shared" si="20"/>
        <v>54006.368963861714</v>
      </c>
      <c r="AE89" s="190">
        <f t="shared" si="20"/>
        <v>148.05786462937135</v>
      </c>
      <c r="AF89" s="190">
        <f t="shared" si="20"/>
        <v>274.11073068255524</v>
      </c>
      <c r="AG89" s="190">
        <f t="shared" si="20"/>
        <v>989.57991363825715</v>
      </c>
      <c r="AH89" s="190">
        <f t="shared" si="20"/>
        <v>155.9983357322416</v>
      </c>
      <c r="AI89" s="190">
        <f t="shared" si="20"/>
        <v>195.14340554509289</v>
      </c>
      <c r="AJ89" s="191">
        <f>DamodaranUS!$V89-DamodaranUS!$X89</f>
        <v>0.16967233092803968</v>
      </c>
      <c r="AK89" s="191">
        <f>DamodaranUS!$V89-DamodaranUS!$Y89</f>
        <v>0.20568958686883965</v>
      </c>
    </row>
    <row r="90" spans="1:37">
      <c r="A90" s="180">
        <v>1997</v>
      </c>
      <c r="B90" s="181">
        <f>('[1]S&amp;P 500 &amp; Raw Data'!B73-'[1]S&amp;P 500 &amp; Raw Data'!B72+'[1]S&amp;P 500 &amp; Raw Data'!C73)/'[1]S&amp;P 500 &amp; Raw Data'!B72</f>
        <v>0.33103653103653097</v>
      </c>
      <c r="C90" s="181">
        <f>'[1]Small Cap'!B71</f>
        <v>0.22059999999999999</v>
      </c>
      <c r="D90" s="181">
        <f>'[1]T. Bill rates'!C75</f>
        <v>5.2000000000000005E-2</v>
      </c>
      <c r="E90" s="181">
        <f>'[1]S&amp;P 500 &amp; Raw Data'!F73</f>
        <v>9.939130272977531E-2</v>
      </c>
      <c r="F90" s="181">
        <f>'[1]S&amp;P 500 &amp; Raw Data'!J73</f>
        <v>0.11297255528327496</v>
      </c>
      <c r="G90" s="181">
        <f>'[1]Home Prices'!B73/'[1]Home Prices'!B72-1</f>
        <v>4.0220385674931247E-2</v>
      </c>
      <c r="H90" s="181">
        <f>'[1]Gold Prices'!B72/'[1]Gold Prices'!B71-1</f>
        <v>-0.21408259986459044</v>
      </c>
      <c r="I90" s="182">
        <f t="shared" si="19"/>
        <v>100977.34069068384</v>
      </c>
      <c r="J90" s="183">
        <f t="shared" si="19"/>
        <v>595983.10192306805</v>
      </c>
      <c r="K90" s="183">
        <f t="shared" si="19"/>
        <v>1427.920907338596</v>
      </c>
      <c r="L90" s="183">
        <f t="shared" si="19"/>
        <v>2762.7097823991153</v>
      </c>
      <c r="M90" s="183">
        <f t="shared" si="19"/>
        <v>10096.997713338293</v>
      </c>
      <c r="N90" s="183">
        <f t="shared" si="19"/>
        <v>1487.6551050263702</v>
      </c>
      <c r="O90" s="183">
        <f t="shared" si="19"/>
        <v>1406.007751937984</v>
      </c>
      <c r="P90" s="184">
        <f t="shared" si="15"/>
        <v>0.27903653103653098</v>
      </c>
      <c r="Q90" s="184">
        <f t="shared" si="16"/>
        <v>0.23164522830675566</v>
      </c>
      <c r="R90" s="185">
        <f>DamodaranUS!$C90-DamodaranUS!$B90</f>
        <v>-0.11043653103653098</v>
      </c>
      <c r="S90" s="185">
        <f t="shared" si="17"/>
        <v>0.21806397575325601</v>
      </c>
      <c r="T90" s="185">
        <f t="shared" si="9"/>
        <v>5.5315584903303572E-2</v>
      </c>
      <c r="U90" s="187">
        <f>'[1]Inflation Rate'!C95</f>
        <v>1.7023999999999997E-2</v>
      </c>
      <c r="V90" s="191">
        <f t="shared" si="18"/>
        <v>0.30875626439152959</v>
      </c>
      <c r="W90" s="191">
        <f t="shared" si="18"/>
        <v>0.20016833427726377</v>
      </c>
      <c r="X90" s="191">
        <f t="shared" si="18"/>
        <v>3.439053552325233E-2</v>
      </c>
      <c r="Y90" s="191">
        <f t="shared" si="18"/>
        <v>8.098855359340118E-2</v>
      </c>
      <c r="Z90" s="191">
        <f t="shared" si="18"/>
        <v>9.4342469089495395E-2</v>
      </c>
      <c r="AA90" s="191">
        <f t="shared" si="18"/>
        <v>2.2808100570813838E-2</v>
      </c>
      <c r="AB90" s="191">
        <f t="shared" si="18"/>
        <v>-0.22723809847613274</v>
      </c>
      <c r="AC90" s="189">
        <f t="shared" si="20"/>
        <v>10830.183028531592</v>
      </c>
      <c r="AD90" s="193">
        <f t="shared" si="20"/>
        <v>64816.733879721229</v>
      </c>
      <c r="AE90" s="190">
        <f t="shared" si="20"/>
        <v>153.14965388240464</v>
      </c>
      <c r="AF90" s="190">
        <f t="shared" si="20"/>
        <v>296.31056228496573</v>
      </c>
      <c r="AG90" s="190">
        <f t="shared" si="20"/>
        <v>1082.93932605226</v>
      </c>
      <c r="AH90" s="190">
        <f t="shared" si="20"/>
        <v>159.55636146250214</v>
      </c>
      <c r="AI90" s="190">
        <f t="shared" si="20"/>
        <v>150.79938913886917</v>
      </c>
      <c r="AJ90" s="191">
        <f>DamodaranUS!$V90-DamodaranUS!$X90</f>
        <v>0.27436572886827726</v>
      </c>
      <c r="AK90" s="191">
        <f>DamodaranUS!$V90-DamodaranUS!$Y90</f>
        <v>0.22776771079812841</v>
      </c>
    </row>
    <row r="91" spans="1:37">
      <c r="A91" s="180">
        <v>1998</v>
      </c>
      <c r="B91" s="181">
        <f>('[1]S&amp;P 500 &amp; Raw Data'!B74-'[1]S&amp;P 500 &amp; Raw Data'!B73+'[1]S&amp;P 500 &amp; Raw Data'!C74)/'[1]S&amp;P 500 &amp; Raw Data'!B73</f>
        <v>0.28337953278443584</v>
      </c>
      <c r="C91" s="181">
        <f>'[1]Small Cap'!B72</f>
        <v>-0.13470000000000001</v>
      </c>
      <c r="D91" s="181">
        <f>'[1]T. Bill rates'!C76</f>
        <v>4.9100000000000005E-2</v>
      </c>
      <c r="E91" s="181">
        <f>'[1]S&amp;P 500 &amp; Raw Data'!F74</f>
        <v>0.14921431922606215</v>
      </c>
      <c r="F91" s="181">
        <f>'[1]S&amp;P 500 &amp; Raw Data'!J74</f>
        <v>8.1044463844197473E-2</v>
      </c>
      <c r="G91" s="181">
        <f>'[1]Home Prices'!B74/'[1]Home Prices'!B73-1</f>
        <v>6.4422899778924236E-2</v>
      </c>
      <c r="H91" s="181">
        <f>'[1]Gold Prices'!B73/'[1]Gold Prices'!B72-1</f>
        <v>-8.2701585113713616E-3</v>
      </c>
      <c r="I91" s="182">
        <f t="shared" si="19"/>
        <v>129592.25231742462</v>
      </c>
      <c r="J91" s="183">
        <f t="shared" si="19"/>
        <v>515704.17809403077</v>
      </c>
      <c r="K91" s="183">
        <f t="shared" si="19"/>
        <v>1498.0318238889208</v>
      </c>
      <c r="L91" s="183">
        <f t="shared" si="19"/>
        <v>3174.9456417989818</v>
      </c>
      <c r="M91" s="183">
        <f t="shared" si="19"/>
        <v>10915.303479451881</v>
      </c>
      <c r="N91" s="183">
        <f t="shared" si="19"/>
        <v>1583.494160763089</v>
      </c>
      <c r="O91" s="183">
        <f t="shared" si="19"/>
        <v>1394.37984496124</v>
      </c>
      <c r="P91" s="184">
        <f t="shared" si="15"/>
        <v>0.23427953278443583</v>
      </c>
      <c r="Q91" s="184">
        <f t="shared" si="16"/>
        <v>0.13416521355837369</v>
      </c>
      <c r="R91" s="185">
        <f>DamodaranUS!$C91-DamodaranUS!$B91</f>
        <v>-0.41807953278443588</v>
      </c>
      <c r="S91" s="185">
        <f t="shared" si="17"/>
        <v>0.20233506894023837</v>
      </c>
      <c r="T91" s="185">
        <f t="shared" si="9"/>
        <v>5.6306048135548625E-2</v>
      </c>
      <c r="U91" s="187">
        <f>'[1]Inflation Rate'!C96</f>
        <v>1.6119000000000001E-2</v>
      </c>
      <c r="V91" s="191">
        <f t="shared" si="18"/>
        <v>0.26302089891482772</v>
      </c>
      <c r="W91" s="191">
        <f t="shared" si="18"/>
        <v>-0.14842651303636689</v>
      </c>
      <c r="X91" s="191">
        <f t="shared" si="18"/>
        <v>3.2457812519990137E-2</v>
      </c>
      <c r="Y91" s="191">
        <f t="shared" si="18"/>
        <v>0.13098398831835856</v>
      </c>
      <c r="Z91" s="191">
        <f t="shared" si="18"/>
        <v>6.389553176763485E-2</v>
      </c>
      <c r="AA91" s="191">
        <f t="shared" si="18"/>
        <v>4.7537640550884497E-2</v>
      </c>
      <c r="AB91" s="191">
        <f t="shared" si="18"/>
        <v>-2.4002265985943905E-2</v>
      </c>
      <c r="AC91" s="189">
        <f t="shared" si="20"/>
        <v>13678.747504108082</v>
      </c>
      <c r="AD91" s="193">
        <f t="shared" si="20"/>
        <v>55196.21208354806</v>
      </c>
      <c r="AE91" s="190">
        <f t="shared" si="20"/>
        <v>158.12055663562111</v>
      </c>
      <c r="AF91" s="190">
        <f t="shared" si="20"/>
        <v>335.12250151390595</v>
      </c>
      <c r="AG91" s="190">
        <f t="shared" si="20"/>
        <v>1152.1343101624532</v>
      </c>
      <c r="AH91" s="190">
        <f t="shared" si="20"/>
        <v>167.14129442131357</v>
      </c>
      <c r="AI91" s="190">
        <f t="shared" si="20"/>
        <v>147.17986209024016</v>
      </c>
      <c r="AJ91" s="191">
        <f>DamodaranUS!$V91-DamodaranUS!$X91</f>
        <v>0.23056308639483758</v>
      </c>
      <c r="AK91" s="191">
        <f>DamodaranUS!$V91-DamodaranUS!$Y91</f>
        <v>0.13203691059646916</v>
      </c>
    </row>
    <row r="92" spans="1:37">
      <c r="A92" s="180">
        <v>1999</v>
      </c>
      <c r="B92" s="181">
        <f>('[1]S&amp;P 500 &amp; Raw Data'!B75-'[1]S&amp;P 500 &amp; Raw Data'!B74+'[1]S&amp;P 500 &amp; Raw Data'!C75)/'[1]S&amp;P 500 &amp; Raw Data'!B74</f>
        <v>0.20885350992084475</v>
      </c>
      <c r="C92" s="181">
        <f>'[1]Small Cap'!B73</f>
        <v>0.37709999999999999</v>
      </c>
      <c r="D92" s="181">
        <f>'[1]T. Bill rates'!C77</f>
        <v>4.7800000000000002E-2</v>
      </c>
      <c r="E92" s="181">
        <f>'[1]S&amp;P 500 &amp; Raw Data'!F75</f>
        <v>-8.2542147962685761E-2</v>
      </c>
      <c r="F92" s="181">
        <f>'[1]S&amp;P 500 &amp; Raw Data'!J75</f>
        <v>9.7060334129739079E-3</v>
      </c>
      <c r="G92" s="181">
        <f>'[1]Home Prices'!B75/'[1]Home Prices'!B74-1</f>
        <v>7.6793267202493576E-2</v>
      </c>
      <c r="H92" s="181">
        <f>'[1]Gold Prices'!B74/'[1]Gold Prices'!B73-1</f>
        <v>8.5128561501042199E-3</v>
      </c>
      <c r="I92" s="182">
        <f t="shared" si="19"/>
        <v>156658.0490724665</v>
      </c>
      <c r="J92" s="183">
        <f t="shared" si="19"/>
        <v>710176.22365328972</v>
      </c>
      <c r="K92" s="183">
        <f t="shared" si="19"/>
        <v>1569.6377450708114</v>
      </c>
      <c r="L92" s="183">
        <f t="shared" si="19"/>
        <v>2912.8788088601259</v>
      </c>
      <c r="M92" s="183">
        <f t="shared" si="19"/>
        <v>11021.247779736192</v>
      </c>
      <c r="N92" s="183">
        <f t="shared" si="19"/>
        <v>1705.0958509641573</v>
      </c>
      <c r="O92" s="183">
        <f t="shared" si="19"/>
        <v>1406.2499999999995</v>
      </c>
      <c r="P92" s="184">
        <f t="shared" si="15"/>
        <v>0.16105350992084475</v>
      </c>
      <c r="Q92" s="184">
        <f t="shared" si="16"/>
        <v>0.2913956578835305</v>
      </c>
      <c r="R92" s="185">
        <f>DamodaranUS!$C92-DamodaranUS!$B92</f>
        <v>0.16824649007915524</v>
      </c>
      <c r="S92" s="185">
        <f t="shared" si="17"/>
        <v>0.19914747650787085</v>
      </c>
      <c r="T92" s="185">
        <f t="shared" si="9"/>
        <v>5.9634694818320177E-2</v>
      </c>
      <c r="U92" s="187">
        <f>'[1]Inflation Rate'!C97</f>
        <v>2.6845599999999997E-2</v>
      </c>
      <c r="V92" s="191">
        <f t="shared" si="18"/>
        <v>0.17724953967845303</v>
      </c>
      <c r="W92" s="191">
        <f t="shared" si="18"/>
        <v>0.34109743470683429</v>
      </c>
      <c r="X92" s="191">
        <f t="shared" si="18"/>
        <v>2.04065732959271E-2</v>
      </c>
      <c r="Y92" s="191">
        <f t="shared" si="18"/>
        <v>-0.10652794145749434</v>
      </c>
      <c r="Z92" s="191">
        <f t="shared" si="18"/>
        <v>-1.6691473953850511E-2</v>
      </c>
      <c r="AA92" s="191">
        <f t="shared" si="18"/>
        <v>4.8641847618077882E-2</v>
      </c>
      <c r="AB92" s="191">
        <f t="shared" si="18"/>
        <v>-1.7853457082443236E-2</v>
      </c>
      <c r="AC92" s="189">
        <f t="shared" si="20"/>
        <v>16103.299202589027</v>
      </c>
      <c r="AD92" s="193">
        <f t="shared" si="20"/>
        <v>74023.498430780674</v>
      </c>
      <c r="AE92" s="190">
        <f t="shared" si="20"/>
        <v>161.3472553641987</v>
      </c>
      <c r="AF92" s="190">
        <f t="shared" si="20"/>
        <v>299.42259129154354</v>
      </c>
      <c r="AG92" s="190">
        <f t="shared" si="20"/>
        <v>1132.9034903330391</v>
      </c>
      <c r="AH92" s="190">
        <f t="shared" si="20"/>
        <v>175.27135579524341</v>
      </c>
      <c r="AI92" s="190">
        <f t="shared" si="20"/>
        <v>144.55219273901216</v>
      </c>
      <c r="AJ92" s="191">
        <f>DamodaranUS!$V92-DamodaranUS!$X92</f>
        <v>0.15684296638252593</v>
      </c>
      <c r="AK92" s="191">
        <f>DamodaranUS!$V92-DamodaranUS!$Y92</f>
        <v>0.28377748113594736</v>
      </c>
    </row>
    <row r="93" spans="1:37">
      <c r="A93" s="180">
        <v>2000</v>
      </c>
      <c r="B93" s="181">
        <f>('[1]S&amp;P 500 &amp; Raw Data'!B76-'[1]S&amp;P 500 &amp; Raw Data'!B75+'[1]S&amp;P 500 &amp; Raw Data'!C76)/'[1]S&amp;P 500 &amp; Raw Data'!B75</f>
        <v>-9.0318189552492781E-2</v>
      </c>
      <c r="C93" s="181">
        <f>'[1]Small Cap'!B74</f>
        <v>-9.1300000000000006E-2</v>
      </c>
      <c r="D93" s="181">
        <f>'[1]T. Bill rates'!C78</f>
        <v>0.06</v>
      </c>
      <c r="E93" s="181">
        <f>'[1]S&amp;P 500 &amp; Raw Data'!F76</f>
        <v>0.16655267125397488</v>
      </c>
      <c r="F93" s="181">
        <f>'[1]S&amp;P 500 &amp; Raw Data'!J76</f>
        <v>9.3783596232947297E-2</v>
      </c>
      <c r="G93" s="181">
        <f>'[1]Home Prices'!B76/'[1]Home Prices'!B75-1</f>
        <v>9.2925599244539914E-2</v>
      </c>
      <c r="H93" s="181">
        <f>'[1]Gold Prices'!B75/'[1]Gold Prices'!B74-1</f>
        <v>-5.4435831180017269E-2</v>
      </c>
      <c r="I93" s="182">
        <f t="shared" si="19"/>
        <v>142508.97770141574</v>
      </c>
      <c r="J93" s="183">
        <f t="shared" si="19"/>
        <v>645337.13443374436</v>
      </c>
      <c r="K93" s="183">
        <f t="shared" si="19"/>
        <v>1663.8160097750601</v>
      </c>
      <c r="L93" s="183">
        <f t="shared" si="19"/>
        <v>3398.0265555148762</v>
      </c>
      <c r="M93" s="183">
        <f t="shared" si="19"/>
        <v>12054.860031494236</v>
      </c>
      <c r="N93" s="183">
        <f t="shared" si="19"/>
        <v>1863.5429046843803</v>
      </c>
      <c r="O93" s="183">
        <f t="shared" si="19"/>
        <v>1329.6996124031002</v>
      </c>
      <c r="P93" s="184">
        <f t="shared" si="15"/>
        <v>-0.15031818955249276</v>
      </c>
      <c r="Q93" s="184">
        <f t="shared" si="16"/>
        <v>-0.25687086080646765</v>
      </c>
      <c r="R93" s="185">
        <f>DamodaranUS!$C93-DamodaranUS!$B93</f>
        <v>-9.8181044750722535E-4</v>
      </c>
      <c r="S93" s="185">
        <f t="shared" si="17"/>
        <v>-0.18410178578544006</v>
      </c>
      <c r="T93" s="185">
        <f t="shared" si="9"/>
        <v>5.5111895842923087E-2</v>
      </c>
      <c r="U93" s="187">
        <f>'[1]Inflation Rate'!C98</f>
        <v>3.3868099999999998E-2</v>
      </c>
      <c r="V93" s="191">
        <f t="shared" si="18"/>
        <v>-0.12011811714907628</v>
      </c>
      <c r="W93" s="191">
        <f t="shared" si="18"/>
        <v>-0.12106776483383141</v>
      </c>
      <c r="X93" s="191">
        <f t="shared" si="18"/>
        <v>2.5275854821325883E-2</v>
      </c>
      <c r="Y93" s="191">
        <f t="shared" si="18"/>
        <v>0.12833800680567942</v>
      </c>
      <c r="Z93" s="191">
        <f t="shared" si="18"/>
        <v>5.7952746808753508E-2</v>
      </c>
      <c r="AA93" s="191">
        <f t="shared" si="18"/>
        <v>5.7122856624108875E-2</v>
      </c>
      <c r="AB93" s="191">
        <f t="shared" si="18"/>
        <v>-8.5411215589316747E-2</v>
      </c>
      <c r="AC93" s="189">
        <f t="shared" si="20"/>
        <v>14169.001222485811</v>
      </c>
      <c r="AD93" s="193">
        <f t="shared" si="20"/>
        <v>65061.638930585432</v>
      </c>
      <c r="AE93" s="190">
        <f t="shared" si="20"/>
        <v>165.42544516660359</v>
      </c>
      <c r="AF93" s="190">
        <f t="shared" si="20"/>
        <v>337.84988985049182</v>
      </c>
      <c r="AG93" s="190">
        <f t="shared" si="20"/>
        <v>1198.5583594670629</v>
      </c>
      <c r="AH93" s="190">
        <f t="shared" si="20"/>
        <v>185.28335632264827</v>
      </c>
      <c r="AI93" s="190">
        <f t="shared" si="20"/>
        <v>132.20581424107192</v>
      </c>
      <c r="AJ93" s="191">
        <f>DamodaranUS!$V93-DamodaranUS!$X93</f>
        <v>-0.14539397197040216</v>
      </c>
      <c r="AK93" s="191">
        <f>DamodaranUS!$V93-DamodaranUS!$Y93</f>
        <v>-0.24845612395475569</v>
      </c>
    </row>
    <row r="94" spans="1:37">
      <c r="A94" s="180">
        <v>2001</v>
      </c>
      <c r="B94" s="181">
        <f>('[1]S&amp;P 500 &amp; Raw Data'!B77-'[1]S&amp;P 500 &amp; Raw Data'!B76+'[1]S&amp;P 500 &amp; Raw Data'!C77)/'[1]S&amp;P 500 &amp; Raw Data'!B76</f>
        <v>-0.11849759142000185</v>
      </c>
      <c r="C94" s="181">
        <f>'[1]Small Cap'!B75</f>
        <v>0.32140000000000002</v>
      </c>
      <c r="D94" s="181">
        <f>'[1]T. Bill rates'!C79</f>
        <v>3.4799999999999998E-2</v>
      </c>
      <c r="E94" s="181">
        <f>'[1]S&amp;P 500 &amp; Raw Data'!F77</f>
        <v>5.5721811892492555E-2</v>
      </c>
      <c r="F94" s="181">
        <f>'[1]S&amp;P 500 &amp; Raw Data'!J77</f>
        <v>8.5966407402972594E-2</v>
      </c>
      <c r="G94" s="181">
        <f>'[1]Home Prices'!B77/'[1]Home Prices'!B76-1</f>
        <v>6.6760423560555893E-2</v>
      </c>
      <c r="H94" s="181">
        <f>'[1]Gold Prices'!B76/'[1]Gold Prices'!B75-1</f>
        <v>7.4694844233922364E-3</v>
      </c>
      <c r="I94" s="182">
        <f t="shared" si="19"/>
        <v>125622.00708807123</v>
      </c>
      <c r="J94" s="183">
        <f t="shared" si="19"/>
        <v>852748.48944074987</v>
      </c>
      <c r="K94" s="183">
        <f t="shared" si="19"/>
        <v>1721.7168069152322</v>
      </c>
      <c r="L94" s="183">
        <f t="shared" si="19"/>
        <v>3587.3707520469702</v>
      </c>
      <c r="M94" s="183">
        <f t="shared" si="19"/>
        <v>13091.173040147482</v>
      </c>
      <c r="N94" s="183">
        <f t="shared" si="19"/>
        <v>1987.9538183243783</v>
      </c>
      <c r="O94" s="183">
        <f t="shared" si="19"/>
        <v>1339.6317829457359</v>
      </c>
      <c r="P94" s="184">
        <f t="shared" si="15"/>
        <v>-0.15329759142000185</v>
      </c>
      <c r="Q94" s="184">
        <f t="shared" si="16"/>
        <v>-0.17421940331249441</v>
      </c>
      <c r="R94" s="185">
        <f>DamodaranUS!$C94-DamodaranUS!$B94</f>
        <v>0.43989759142000184</v>
      </c>
      <c r="S94" s="185">
        <f t="shared" si="17"/>
        <v>-0.20446399882297445</v>
      </c>
      <c r="T94" s="185">
        <f t="shared" si="9"/>
        <v>5.1665345512908356E-2</v>
      </c>
      <c r="U94" s="187">
        <f>'[1]Inflation Rate'!C99</f>
        <v>1.55172E-2</v>
      </c>
      <c r="V94" s="191">
        <f t="shared" si="18"/>
        <v>-0.13196703258202003</v>
      </c>
      <c r="W94" s="191">
        <f t="shared" si="18"/>
        <v>0.30120888154331626</v>
      </c>
      <c r="X94" s="191">
        <f t="shared" si="18"/>
        <v>1.8988156970654924E-2</v>
      </c>
      <c r="Y94" s="191">
        <f t="shared" si="18"/>
        <v>3.9590281575233366E-2</v>
      </c>
      <c r="Z94" s="191">
        <f t="shared" si="18"/>
        <v>6.9372736771935228E-2</v>
      </c>
      <c r="AA94" s="191">
        <f t="shared" si="18"/>
        <v>5.0460222200624516E-2</v>
      </c>
      <c r="AB94" s="191">
        <f t="shared" si="18"/>
        <v>-7.9247457124386189E-3</v>
      </c>
      <c r="AC94" s="189">
        <f t="shared" si="20"/>
        <v>12299.160176503345</v>
      </c>
      <c r="AD94" s="193">
        <f t="shared" si="20"/>
        <v>84658.782424242148</v>
      </c>
      <c r="AE94" s="190">
        <f t="shared" si="20"/>
        <v>168.56656948636754</v>
      </c>
      <c r="AF94" s="190">
        <f t="shared" si="20"/>
        <v>351.22546211983439</v>
      </c>
      <c r="AG94" s="190">
        <f t="shared" si="20"/>
        <v>1281.705633044174</v>
      </c>
      <c r="AH94" s="190">
        <f t="shared" si="20"/>
        <v>194.63279565276659</v>
      </c>
      <c r="AI94" s="190">
        <f t="shared" si="20"/>
        <v>131.15811678150553</v>
      </c>
      <c r="AJ94" s="191">
        <f>DamodaranUS!$V94-DamodaranUS!$X94</f>
        <v>-0.15095518955267495</v>
      </c>
      <c r="AK94" s="191">
        <f>DamodaranUS!$V94-DamodaranUS!$Y94</f>
        <v>-0.17155731415725339</v>
      </c>
    </row>
    <row r="95" spans="1:37">
      <c r="A95" s="180">
        <v>2002</v>
      </c>
      <c r="B95" s="181">
        <f>('[1]S&amp;P 500 &amp; Raw Data'!B78-'[1]S&amp;P 500 &amp; Raw Data'!B77+'[1]S&amp;P 500 &amp; Raw Data'!C78)/'[1]S&amp;P 500 &amp; Raw Data'!B77</f>
        <v>-0.21966047957912699</v>
      </c>
      <c r="C95" s="181">
        <f>'[1]Small Cap'!B76</f>
        <v>-3.61E-2</v>
      </c>
      <c r="D95" s="181">
        <f>'[1]T. Bill rates'!C80</f>
        <v>1.6399999999999998E-2</v>
      </c>
      <c r="E95" s="181">
        <f>'[1]S&amp;P 500 &amp; Raw Data'!F78</f>
        <v>0.15116400378109285</v>
      </c>
      <c r="F95" s="181">
        <f>'[1]S&amp;P 500 &amp; Raw Data'!J78</f>
        <v>0.12056324507730691</v>
      </c>
      <c r="G95" s="181">
        <f>'[1]Home Prices'!B78/'[1]Home Prices'!B77-1</f>
        <v>9.5609840161983595E-2</v>
      </c>
      <c r="H95" s="181">
        <f>'[1]Gold Prices'!B77/'[1]Gold Prices'!B76-1</f>
        <v>0.2556962025316456</v>
      </c>
      <c r="I95" s="182">
        <f t="shared" si="19"/>
        <v>98027.816765413008</v>
      </c>
      <c r="J95" s="183">
        <f t="shared" si="19"/>
        <v>821964.26897193876</v>
      </c>
      <c r="K95" s="183">
        <f t="shared" si="19"/>
        <v>1749.9529625486418</v>
      </c>
      <c r="L95" s="183">
        <f t="shared" si="19"/>
        <v>4129.6520779735802</v>
      </c>
      <c r="M95" s="183">
        <f t="shared" si="19"/>
        <v>14669.487343736215</v>
      </c>
      <c r="N95" s="183">
        <f t="shared" si="19"/>
        <v>2178.021765143777</v>
      </c>
      <c r="O95" s="183">
        <f t="shared" si="19"/>
        <v>1682.1705426356584</v>
      </c>
      <c r="P95" s="184">
        <f t="shared" si="15"/>
        <v>-0.23606047957912699</v>
      </c>
      <c r="Q95" s="184">
        <f t="shared" si="16"/>
        <v>-0.37082448336021984</v>
      </c>
      <c r="R95" s="185">
        <f>DamodaranUS!$C95-DamodaranUS!$B95</f>
        <v>0.18356047957912699</v>
      </c>
      <c r="S95" s="185">
        <f t="shared" si="17"/>
        <v>-0.34022372465643391</v>
      </c>
      <c r="T95" s="185">
        <f t="shared" si="9"/>
        <v>4.5325449773477855E-2</v>
      </c>
      <c r="U95" s="187">
        <f>'[1]Inflation Rate'!C100</f>
        <v>2.3769100000000001E-2</v>
      </c>
      <c r="V95" s="191">
        <f t="shared" si="18"/>
        <v>-0.23777781491854666</v>
      </c>
      <c r="W95" s="191">
        <f t="shared" si="18"/>
        <v>-5.8479104321472519E-2</v>
      </c>
      <c r="X95" s="191">
        <f t="shared" si="18"/>
        <v>-7.1980097856050307E-3</v>
      </c>
      <c r="Y95" s="191">
        <f t="shared" si="18"/>
        <v>0.12443714484163748</v>
      </c>
      <c r="Z95" s="191">
        <f t="shared" si="18"/>
        <v>9.4546851509101915E-2</v>
      </c>
      <c r="AA95" s="191">
        <f t="shared" si="18"/>
        <v>7.0172795957588185E-2</v>
      </c>
      <c r="AB95" s="191">
        <f t="shared" si="18"/>
        <v>0.22654239372105067</v>
      </c>
      <c r="AC95" s="189">
        <f t="shared" si="20"/>
        <v>9374.6927444011726</v>
      </c>
      <c r="AD95" s="193">
        <f t="shared" si="20"/>
        <v>79708.012655126047</v>
      </c>
      <c r="AE95" s="190">
        <f t="shared" si="20"/>
        <v>167.35322566967881</v>
      </c>
      <c r="AF95" s="190">
        <f t="shared" si="20"/>
        <v>394.93095582171128</v>
      </c>
      <c r="AG95" s="190">
        <f t="shared" si="20"/>
        <v>1402.8868652099809</v>
      </c>
      <c r="AH95" s="190">
        <f t="shared" si="20"/>
        <v>208.29072310876313</v>
      </c>
      <c r="AI95" s="190">
        <f t="shared" si="20"/>
        <v>160.87099051313288</v>
      </c>
      <c r="AJ95" s="191">
        <f>DamodaranUS!$V95-DamodaranUS!$X95</f>
        <v>-0.23057980513294163</v>
      </c>
      <c r="AK95" s="191">
        <f>DamodaranUS!$V95-DamodaranUS!$Y95</f>
        <v>-0.36221495976018414</v>
      </c>
    </row>
    <row r="96" spans="1:37">
      <c r="A96" s="180">
        <v>2003</v>
      </c>
      <c r="B96" s="181">
        <f>('[1]S&amp;P 500 &amp; Raw Data'!B79-'[1]S&amp;P 500 &amp; Raw Data'!B78+'[1]S&amp;P 500 &amp; Raw Data'!C79)/'[1]S&amp;P 500 &amp; Raw Data'!B78</f>
        <v>0.28355800050010233</v>
      </c>
      <c r="C96" s="181">
        <f>'[1]Small Cap'!B77</f>
        <v>0.9123</v>
      </c>
      <c r="D96" s="181">
        <f>'[1]T. Bill rates'!C81</f>
        <v>1.03E-2</v>
      </c>
      <c r="E96" s="181">
        <f>'[1]S&amp;P 500 &amp; Raw Data'!F79</f>
        <v>3.7531858817758529E-3</v>
      </c>
      <c r="F96" s="181">
        <f>'[1]S&amp;P 500 &amp; Raw Data'!J79</f>
        <v>0.1238264134705485</v>
      </c>
      <c r="G96" s="181">
        <f>'[1]Home Prices'!B79/'[1]Home Prices'!B78-1</f>
        <v>9.8135287964704165E-2</v>
      </c>
      <c r="H96" s="181">
        <f>'[1]Gold Prices'!B78/'[1]Gold Prices'!B77-1</f>
        <v>0.1988767281105992</v>
      </c>
      <c r="I96" s="182">
        <f t="shared" si="19"/>
        <v>125824.38848080393</v>
      </c>
      <c r="J96" s="183">
        <f t="shared" si="19"/>
        <v>1571842.2715550386</v>
      </c>
      <c r="K96" s="183">
        <f t="shared" si="19"/>
        <v>1767.9774780628927</v>
      </c>
      <c r="L96" s="183">
        <f t="shared" si="19"/>
        <v>4145.1514298492766</v>
      </c>
      <c r="M96" s="183">
        <f t="shared" si="19"/>
        <v>16485.957348962675</v>
      </c>
      <c r="N96" s="183">
        <f t="shared" si="19"/>
        <v>2391.7625582595547</v>
      </c>
      <c r="O96" s="183">
        <f t="shared" si="19"/>
        <v>2016.7151162790694</v>
      </c>
      <c r="P96" s="184">
        <f t="shared" si="15"/>
        <v>0.27325800050010235</v>
      </c>
      <c r="Q96" s="184">
        <f t="shared" si="16"/>
        <v>0.27980481461832646</v>
      </c>
      <c r="R96" s="185">
        <f>DamodaranUS!$C96-DamodaranUS!$B96</f>
        <v>0.62874199949989773</v>
      </c>
      <c r="S96" s="185">
        <f t="shared" si="17"/>
        <v>0.15973158702955381</v>
      </c>
      <c r="T96" s="185">
        <f t="shared" si="9"/>
        <v>4.8237796117156506E-2</v>
      </c>
      <c r="U96" s="187">
        <f>'[1]Inflation Rate'!C101</f>
        <v>1.87949E-2</v>
      </c>
      <c r="V96" s="191">
        <f t="shared" si="18"/>
        <v>0.25987870620485265</v>
      </c>
      <c r="W96" s="191">
        <f t="shared" si="18"/>
        <v>0.87702156734392767</v>
      </c>
      <c r="X96" s="191">
        <f t="shared" si="18"/>
        <v>-8.3381846532605275E-3</v>
      </c>
      <c r="Y96" s="191">
        <f t="shared" si="18"/>
        <v>-1.4764222041378727E-2</v>
      </c>
      <c r="Z96" s="191">
        <f t="shared" si="18"/>
        <v>0.10309387441039242</v>
      </c>
      <c r="AA96" s="191">
        <f t="shared" si="18"/>
        <v>7.7876703117285118E-2</v>
      </c>
      <c r="AB96" s="191">
        <f t="shared" si="18"/>
        <v>0.17675964819866996</v>
      </c>
      <c r="AC96" s="189">
        <f t="shared" si="20"/>
        <v>11810.975765884168</v>
      </c>
      <c r="AD96" s="193">
        <f t="shared" si="20"/>
        <v>149613.65884379431</v>
      </c>
      <c r="AE96" s="190">
        <f t="shared" si="20"/>
        <v>165.95780357172623</v>
      </c>
      <c r="AF96" s="190">
        <f t="shared" si="20"/>
        <v>389.10010749894559</v>
      </c>
      <c r="AG96" s="190">
        <f t="shared" si="20"/>
        <v>1547.5159075039278</v>
      </c>
      <c r="AH96" s="190">
        <f t="shared" si="20"/>
        <v>224.51171791438892</v>
      </c>
      <c r="AI96" s="190">
        <f t="shared" si="20"/>
        <v>189.30649020160581</v>
      </c>
      <c r="AJ96" s="191">
        <f>DamodaranUS!$V96-DamodaranUS!$X96</f>
        <v>0.26821689085811318</v>
      </c>
      <c r="AK96" s="191">
        <f>DamodaranUS!$V96-DamodaranUS!$Y96</f>
        <v>0.27464292824623138</v>
      </c>
    </row>
    <row r="97" spans="1:37">
      <c r="A97" s="180">
        <v>2004</v>
      </c>
      <c r="B97" s="181">
        <f>('[1]S&amp;P 500 &amp; Raw Data'!B80-'[1]S&amp;P 500 &amp; Raw Data'!B79+'[1]S&amp;P 500 &amp; Raw Data'!C80)/'[1]S&amp;P 500 &amp; Raw Data'!B79</f>
        <v>0.10742775944096193</v>
      </c>
      <c r="C97" s="181">
        <f>'[1]Small Cap'!B78</f>
        <v>0.17300000000000001</v>
      </c>
      <c r="D97" s="181">
        <f>'[1]T. Bill rates'!C82</f>
        <v>1.3999999999999999E-2</v>
      </c>
      <c r="E97" s="181">
        <f>'[1]S&amp;P 500 &amp; Raw Data'!F80</f>
        <v>4.490683702274547E-2</v>
      </c>
      <c r="F97" s="181">
        <f>'[1]S&amp;P 500 &amp; Raw Data'!J80</f>
        <v>0.1032945825904709</v>
      </c>
      <c r="G97" s="181">
        <f>'[1]Home Prices'!B80/'[1]Home Prices'!B79-1</f>
        <v>0.13638284310565951</v>
      </c>
      <c r="H97" s="181">
        <f>'[1]Gold Prices'!B79/'[1]Gold Prices'!B78-1</f>
        <v>4.6486486486486456E-2</v>
      </c>
      <c r="I97" s="182">
        <f t="shared" si="19"/>
        <v>139341.42061832585</v>
      </c>
      <c r="J97" s="183">
        <f t="shared" si="19"/>
        <v>1843770.9845340603</v>
      </c>
      <c r="K97" s="183">
        <f t="shared" si="19"/>
        <v>1792.7291627557731</v>
      </c>
      <c r="L97" s="183">
        <f t="shared" si="19"/>
        <v>4331.2970695441181</v>
      </c>
      <c r="M97" s="183">
        <f t="shared" si="19"/>
        <v>18188.86743192808</v>
      </c>
      <c r="N97" s="183">
        <f t="shared" si="19"/>
        <v>2717.9579359886584</v>
      </c>
      <c r="O97" s="183">
        <f t="shared" si="19"/>
        <v>2110.4651162790692</v>
      </c>
      <c r="P97" s="184">
        <f t="shared" si="15"/>
        <v>9.3427759440961933E-2</v>
      </c>
      <c r="Q97" s="184">
        <f t="shared" si="16"/>
        <v>6.2520922418216468E-2</v>
      </c>
      <c r="R97" s="185">
        <f>DamodaranUS!$C97-DamodaranUS!$B97</f>
        <v>6.5572240559038084E-2</v>
      </c>
      <c r="S97" s="185">
        <f t="shared" si="17"/>
        <v>4.1331768504910271E-3</v>
      </c>
      <c r="T97" s="185">
        <f t="shared" si="9"/>
        <v>4.842299846885445E-2</v>
      </c>
      <c r="U97" s="187">
        <f>'[1]Inflation Rate'!C102</f>
        <v>3.2555599999999997E-2</v>
      </c>
      <c r="V97" s="191">
        <f t="shared" si="18"/>
        <v>7.2511503923819554E-2</v>
      </c>
      <c r="W97" s="191">
        <f t="shared" si="18"/>
        <v>0.13601630749956706</v>
      </c>
      <c r="X97" s="191">
        <f t="shared" si="18"/>
        <v>-1.7970557711371682E-2</v>
      </c>
      <c r="Y97" s="191">
        <f t="shared" si="18"/>
        <v>1.1961813022703494E-2</v>
      </c>
      <c r="Z97" s="191">
        <f t="shared" si="18"/>
        <v>6.8508642624640181E-2</v>
      </c>
      <c r="AA97" s="191">
        <f t="shared" si="18"/>
        <v>0.10055365842348785</v>
      </c>
      <c r="AB97" s="191">
        <f t="shared" si="18"/>
        <v>1.3491657482160191E-2</v>
      </c>
      <c r="AC97" s="189">
        <f t="shared" si="20"/>
        <v>12667.407381476216</v>
      </c>
      <c r="AD97" s="193">
        <f t="shared" si="20"/>
        <v>169963.55627122716</v>
      </c>
      <c r="AE97" s="190">
        <f t="shared" si="20"/>
        <v>162.97544928498803</v>
      </c>
      <c r="AF97" s="190">
        <f t="shared" si="20"/>
        <v>393.75445023196181</v>
      </c>
      <c r="AG97" s="190">
        <f t="shared" si="20"/>
        <v>1653.53412176706</v>
      </c>
      <c r="AH97" s="190">
        <f t="shared" si="20"/>
        <v>247.08719250962284</v>
      </c>
      <c r="AI97" s="190">
        <f t="shared" si="20"/>
        <v>191.86054852655579</v>
      </c>
      <c r="AJ97" s="191">
        <f>DamodaranUS!$V97-DamodaranUS!$X97</f>
        <v>9.0482061635191235E-2</v>
      </c>
      <c r="AK97" s="191">
        <f>DamodaranUS!$V97-DamodaranUS!$Y97</f>
        <v>6.054969090111606E-2</v>
      </c>
    </row>
    <row r="98" spans="1:37">
      <c r="A98" s="180">
        <v>2005</v>
      </c>
      <c r="B98" s="181">
        <f>('[1]S&amp;P 500 &amp; Raw Data'!B81-'[1]S&amp;P 500 &amp; Raw Data'!B80+'[1]S&amp;P 500 &amp; Raw Data'!C81)/'[1]S&amp;P 500 &amp; Raw Data'!B80</f>
        <v>4.8344775232688535E-2</v>
      </c>
      <c r="C98" s="181">
        <f>'[1]Small Cap'!B79</f>
        <v>3.78E-2</v>
      </c>
      <c r="D98" s="181">
        <f>'[1]T. Bill rates'!C83</f>
        <v>3.2199999999999999E-2</v>
      </c>
      <c r="E98" s="181">
        <f>'[1]S&amp;P 500 &amp; Raw Data'!F81</f>
        <v>2.8675329597779506E-2</v>
      </c>
      <c r="F98" s="181">
        <f>'[1]S&amp;P 500 &amp; Raw Data'!J81</f>
        <v>5.1326366805218779E-2</v>
      </c>
      <c r="G98" s="181">
        <f>'[1]Home Prices'!B81/'[1]Home Prices'!B80-1</f>
        <v>0.13509629928406475</v>
      </c>
      <c r="H98" s="181">
        <f>'[1]Gold Prices'!B80/'[1]Gold Prices'!B79-1</f>
        <v>0.1776859504132231</v>
      </c>
      <c r="I98" s="182">
        <f t="shared" si="19"/>
        <v>146077.8502787223</v>
      </c>
      <c r="J98" s="183">
        <f t="shared" si="19"/>
        <v>1913465.5277494479</v>
      </c>
      <c r="K98" s="183">
        <f t="shared" si="19"/>
        <v>1850.455041796509</v>
      </c>
      <c r="L98" s="183">
        <f t="shared" si="19"/>
        <v>4455.4984405991927</v>
      </c>
      <c r="M98" s="183">
        <f t="shared" si="19"/>
        <v>19122.435913510719</v>
      </c>
      <c r="N98" s="183">
        <f t="shared" si="19"/>
        <v>3085.1439947504809</v>
      </c>
      <c r="O98" s="183">
        <f t="shared" si="19"/>
        <v>2485.4651162790692</v>
      </c>
      <c r="P98" s="184">
        <f t="shared" si="15"/>
        <v>1.6144775232688535E-2</v>
      </c>
      <c r="Q98" s="184">
        <f t="shared" si="16"/>
        <v>1.9669445634909029E-2</v>
      </c>
      <c r="R98" s="185">
        <f>DamodaranUS!$C98-DamodaranUS!$B98</f>
        <v>-1.0544775232688534E-2</v>
      </c>
      <c r="S98" s="185">
        <f t="shared" si="17"/>
        <v>-2.9815915725302441E-3</v>
      </c>
      <c r="T98" s="185">
        <f t="shared" si="9"/>
        <v>4.8042189402255131E-2</v>
      </c>
      <c r="U98" s="187">
        <f>'[1]Inflation Rate'!C103</f>
        <v>3.4156600000000002E-2</v>
      </c>
      <c r="V98" s="191">
        <f t="shared" si="18"/>
        <v>1.3719561653127155E-2</v>
      </c>
      <c r="W98" s="191">
        <f t="shared" si="18"/>
        <v>3.5230641084726955E-3</v>
      </c>
      <c r="X98" s="191">
        <f t="shared" si="18"/>
        <v>-1.8919765149687517E-3</v>
      </c>
      <c r="Y98" s="191">
        <f t="shared" si="18"/>
        <v>-5.3002324814447332E-3</v>
      </c>
      <c r="Z98" s="191">
        <f t="shared" si="18"/>
        <v>1.6602675847370518E-2</v>
      </c>
      <c r="AA98" s="191">
        <f t="shared" si="18"/>
        <v>9.7605816453779637E-2</v>
      </c>
      <c r="AB98" s="191">
        <f t="shared" si="18"/>
        <v>0.13878879698995594</v>
      </c>
      <c r="AC98" s="189">
        <f t="shared" si="20"/>
        <v>12841.198658031657</v>
      </c>
      <c r="AD98" s="193">
        <f t="shared" si="20"/>
        <v>170562.34877607471</v>
      </c>
      <c r="AE98" s="190">
        <f t="shared" si="20"/>
        <v>162.66710356242436</v>
      </c>
      <c r="AF98" s="190">
        <f t="shared" si="20"/>
        <v>391.66746010512895</v>
      </c>
      <c r="AG98" s="190">
        <f t="shared" si="20"/>
        <v>1680.9872127933249</v>
      </c>
      <c r="AH98" s="190">
        <f t="shared" si="20"/>
        <v>271.20433966979681</v>
      </c>
      <c r="AI98" s="190">
        <f t="shared" si="20"/>
        <v>218.48864324638953</v>
      </c>
      <c r="AJ98" s="191">
        <f>DamodaranUS!$V98-DamodaranUS!$X98</f>
        <v>1.5611538168095906E-2</v>
      </c>
      <c r="AK98" s="191">
        <f>DamodaranUS!$V98-DamodaranUS!$Y98</f>
        <v>1.9019794134571888E-2</v>
      </c>
    </row>
    <row r="99" spans="1:37">
      <c r="A99" s="180">
        <v>2006</v>
      </c>
      <c r="B99" s="181">
        <f>('[1]S&amp;P 500 &amp; Raw Data'!B82-'[1]S&amp;P 500 &amp; Raw Data'!B81+'[1]S&amp;P 500 &amp; Raw Data'!C82)/'[1]S&amp;P 500 &amp; Raw Data'!B81</f>
        <v>0.15612557979315703</v>
      </c>
      <c r="C99" s="181">
        <f>'[1]Small Cap'!B80</f>
        <v>0.184</v>
      </c>
      <c r="D99" s="181">
        <f>'[1]T. Bill rates'!C84</f>
        <v>4.8499999999999995E-2</v>
      </c>
      <c r="E99" s="181">
        <f>'[1]S&amp;P 500 &amp; Raw Data'!F82</f>
        <v>1.9610012417568386E-2</v>
      </c>
      <c r="F99" s="181">
        <f>'[1]S&amp;P 500 &amp; Raw Data'!J82</f>
        <v>5.2684144332519181E-2</v>
      </c>
      <c r="G99" s="181">
        <f>'[1]Home Prices'!B82/'[1]Home Prices'!B81-1</f>
        <v>1.7328491793812573E-2</v>
      </c>
      <c r="H99" s="181">
        <f>'[1]Gold Prices'!B81/'[1]Gold Prices'!B80-1</f>
        <v>0.23196881091617927</v>
      </c>
      <c r="I99" s="182">
        <f t="shared" si="19"/>
        <v>168884.33934842583</v>
      </c>
      <c r="J99" s="183">
        <f t="shared" si="19"/>
        <v>2265543.1848553461</v>
      </c>
      <c r="K99" s="183">
        <f t="shared" si="19"/>
        <v>1940.2021113236397</v>
      </c>
      <c r="L99" s="183">
        <f t="shared" si="19"/>
        <v>4542.8708203458</v>
      </c>
      <c r="M99" s="183">
        <f t="shared" si="19"/>
        <v>20129.885087167466</v>
      </c>
      <c r="N99" s="183">
        <f t="shared" si="19"/>
        <v>3138.6048871462449</v>
      </c>
      <c r="O99" s="183">
        <f t="shared" si="19"/>
        <v>3062.0155038759681</v>
      </c>
      <c r="P99" s="184">
        <f t="shared" si="15"/>
        <v>0.10762557979315704</v>
      </c>
      <c r="Q99" s="184">
        <f t="shared" si="16"/>
        <v>0.13651556737558865</v>
      </c>
      <c r="R99" s="185">
        <f>DamodaranUS!$C99-DamodaranUS!$B99</f>
        <v>2.787442020684297E-2</v>
      </c>
      <c r="S99" s="185">
        <f t="shared" si="17"/>
        <v>0.10344143546063785</v>
      </c>
      <c r="T99" s="185">
        <f t="shared" si="9"/>
        <v>4.9149036004805913E-2</v>
      </c>
      <c r="U99" s="187">
        <f>'[1]Inflation Rate'!C104</f>
        <v>2.5406499999999999E-2</v>
      </c>
      <c r="V99" s="191">
        <f t="shared" si="18"/>
        <v>0.12748025275162322</v>
      </c>
      <c r="W99" s="191">
        <f t="shared" si="18"/>
        <v>0.15466402836338577</v>
      </c>
      <c r="X99" s="191">
        <f t="shared" si="18"/>
        <v>2.2521312279569328E-2</v>
      </c>
      <c r="Y99" s="191">
        <f t="shared" si="18"/>
        <v>-5.6528679917978719E-3</v>
      </c>
      <c r="Z99" s="191">
        <f t="shared" si="18"/>
        <v>2.660178605511021E-2</v>
      </c>
      <c r="AA99" s="191">
        <f t="shared" si="18"/>
        <v>-7.8778593720513213E-3</v>
      </c>
      <c r="AB99" s="191">
        <f t="shared" si="18"/>
        <v>0.20144431590416034</v>
      </c>
      <c r="AC99" s="189">
        <f t="shared" si="20"/>
        <v>14478.197908591337</v>
      </c>
      <c r="AD99" s="193">
        <f t="shared" si="20"/>
        <v>196942.20872490323</v>
      </c>
      <c r="AE99" s="190">
        <f t="shared" si="20"/>
        <v>166.33058019936675</v>
      </c>
      <c r="AF99" s="190">
        <f t="shared" si="20"/>
        <v>389.45341565647192</v>
      </c>
      <c r="AG99" s="190">
        <f t="shared" si="20"/>
        <v>1725.7044749894289</v>
      </c>
      <c r="AH99" s="190">
        <f t="shared" si="20"/>
        <v>269.06783002078811</v>
      </c>
      <c r="AI99" s="190">
        <f t="shared" si="20"/>
        <v>262.50193851798662</v>
      </c>
      <c r="AJ99" s="191">
        <f>DamodaranUS!$V99-DamodaranUS!$X99</f>
        <v>0.1049589404720539</v>
      </c>
      <c r="AK99" s="191">
        <f>DamodaranUS!$V99-DamodaranUS!$Y99</f>
        <v>0.1331331207434211</v>
      </c>
    </row>
    <row r="100" spans="1:37">
      <c r="A100" s="180">
        <v>2007</v>
      </c>
      <c r="B100" s="181">
        <f>('[1]S&amp;P 500 &amp; Raw Data'!B83-'[1]S&amp;P 500 &amp; Raw Data'!B82+'[1]S&amp;P 500 &amp; Raw Data'!C83)/'[1]S&amp;P 500 &amp; Raw Data'!B82</f>
        <v>5.4847352464217694E-2</v>
      </c>
      <c r="C100" s="181">
        <f>'[1]Small Cap'!B81</f>
        <v>-9.11E-2</v>
      </c>
      <c r="D100" s="181">
        <f>'[1]T. Bill rates'!C85</f>
        <v>4.4800000000000006E-2</v>
      </c>
      <c r="E100" s="181">
        <f>'[1]S&amp;P 500 &amp; Raw Data'!F83</f>
        <v>0.10209921930012807</v>
      </c>
      <c r="F100" s="181">
        <f>'[1]S&amp;P 500 &amp; Raw Data'!J83</f>
        <v>4.9049214482201883E-2</v>
      </c>
      <c r="G100" s="181">
        <f>'[1]Home Prices'!B83/'[1]Home Prices'!B82-1</f>
        <v>-5.3992544848255553E-2</v>
      </c>
      <c r="H100" s="181">
        <f>'[1]Gold Prices'!B82/'[1]Gold Prices'!B81-1</f>
        <v>0.31922468354430378</v>
      </c>
      <c r="I100" s="182">
        <f t="shared" si="19"/>
        <v>178147.19823435548</v>
      </c>
      <c r="J100" s="183">
        <f t="shared" si="19"/>
        <v>2059152.2007150243</v>
      </c>
      <c r="K100" s="183">
        <f t="shared" si="19"/>
        <v>2027.1231659109387</v>
      </c>
      <c r="L100" s="183">
        <f t="shared" si="19"/>
        <v>5006.6943844844382</v>
      </c>
      <c r="M100" s="183">
        <f t="shared" si="19"/>
        <v>21117.240138310019</v>
      </c>
      <c r="N100" s="183">
        <f t="shared" si="19"/>
        <v>2969.1436220160472</v>
      </c>
      <c r="O100" s="183">
        <f t="shared" si="19"/>
        <v>4039.4864341085258</v>
      </c>
      <c r="P100" s="184">
        <f t="shared" si="15"/>
        <v>1.0047352464217688E-2</v>
      </c>
      <c r="Q100" s="184">
        <f t="shared" si="16"/>
        <v>-4.7251866835910372E-2</v>
      </c>
      <c r="R100" s="185">
        <f>DamodaranUS!$C100-DamodaranUS!$B100</f>
        <v>-0.14594735246421769</v>
      </c>
      <c r="S100" s="185">
        <f t="shared" si="17"/>
        <v>5.7981379820158108E-3</v>
      </c>
      <c r="T100" s="185">
        <f t="shared" si="9"/>
        <v>4.7948712238125024E-2</v>
      </c>
      <c r="U100" s="187">
        <f>'[1]Inflation Rate'!C105</f>
        <v>4.08127E-2</v>
      </c>
      <c r="V100" s="191">
        <f t="shared" si="18"/>
        <v>1.3484320919813664E-2</v>
      </c>
      <c r="W100" s="191">
        <f t="shared" si="18"/>
        <v>-0.1267400945434275</v>
      </c>
      <c r="X100" s="191">
        <f t="shared" si="18"/>
        <v>3.8309486423444561E-3</v>
      </c>
      <c r="Y100" s="191">
        <f t="shared" si="18"/>
        <v>5.8883331554397733E-2</v>
      </c>
      <c r="Z100" s="191">
        <f t="shared" si="18"/>
        <v>7.9135414875335375E-3</v>
      </c>
      <c r="AA100" s="191">
        <f t="shared" si="18"/>
        <v>-9.1087709487264745E-2</v>
      </c>
      <c r="AB100" s="191">
        <f t="shared" si="18"/>
        <v>0.26749479857836445</v>
      </c>
      <c r="AC100" s="189">
        <f t="shared" si="20"/>
        <v>14673.426575531357</v>
      </c>
      <c r="AD100" s="193">
        <f t="shared" si="20"/>
        <v>171981.73457151756</v>
      </c>
      <c r="AE100" s="190">
        <f t="shared" si="20"/>
        <v>166.96778410976188</v>
      </c>
      <c r="AF100" s="190">
        <f t="shared" si="20"/>
        <v>412.38573025556462</v>
      </c>
      <c r="AG100" s="190">
        <f t="shared" si="20"/>
        <v>1739.3609089474801</v>
      </c>
      <c r="AH100" s="190">
        <f t="shared" si="20"/>
        <v>244.55905768748582</v>
      </c>
      <c r="AI100" s="190">
        <f t="shared" si="20"/>
        <v>332.71984168828567</v>
      </c>
      <c r="AJ100" s="191">
        <f>DamodaranUS!$V100-DamodaranUS!$X100</f>
        <v>9.6533722774692077E-3</v>
      </c>
      <c r="AK100" s="191">
        <f>DamodaranUS!$V100-DamodaranUS!$Y100</f>
        <v>-4.5399010634584069E-2</v>
      </c>
    </row>
    <row r="101" spans="1:37">
      <c r="A101" s="180">
        <v>2008</v>
      </c>
      <c r="B101" s="181">
        <f>('[1]S&amp;P 500 &amp; Raw Data'!B84-'[1]S&amp;P 500 &amp; Raw Data'!B83+'[1]S&amp;P 500 &amp; Raw Data'!C84)/'[1]S&amp;P 500 &amp; Raw Data'!B83</f>
        <v>-0.36552344111798191</v>
      </c>
      <c r="C101" s="181">
        <f>'[1]Small Cap'!B82</f>
        <v>-0.44679999999999997</v>
      </c>
      <c r="D101" s="181">
        <f>'[1]T. Bill rates'!C86</f>
        <v>1.3999999999999999E-2</v>
      </c>
      <c r="E101" s="181">
        <f>'[1]S&amp;P 500 &amp; Raw Data'!F84</f>
        <v>0.20101279926977011</v>
      </c>
      <c r="F101" s="181">
        <f>'[1]S&amp;P 500 &amp; Raw Data'!J84</f>
        <v>-3.4445066435111374E-2</v>
      </c>
      <c r="G101" s="181">
        <f>'[1]Home Prices'!B84/'[1]Home Prices'!B83-1</f>
        <v>-0.11995200073845091</v>
      </c>
      <c r="H101" s="181">
        <f>'[1]Gold Prices'!B83/'[1]Gold Prices'!B82-1</f>
        <v>4.3178410794602717E-2</v>
      </c>
      <c r="I101" s="182">
        <f t="shared" si="19"/>
        <v>113030.22131020659</v>
      </c>
      <c r="J101" s="183">
        <f t="shared" si="19"/>
        <v>1139122.9974355514</v>
      </c>
      <c r="K101" s="183">
        <f t="shared" si="19"/>
        <v>2055.5028902336917</v>
      </c>
      <c r="L101" s="183">
        <f t="shared" si="19"/>
        <v>6013.1040377978934</v>
      </c>
      <c r="M101" s="183">
        <f t="shared" si="19"/>
        <v>20389.855398819731</v>
      </c>
      <c r="N101" s="183">
        <f t="shared" si="19"/>
        <v>2612.9889040754115</v>
      </c>
      <c r="O101" s="183">
        <f t="shared" si="19"/>
        <v>4213.905038759689</v>
      </c>
      <c r="P101" s="184">
        <f t="shared" si="15"/>
        <v>-0.37952344111798192</v>
      </c>
      <c r="Q101" s="184">
        <f t="shared" si="16"/>
        <v>-0.56653624038775208</v>
      </c>
      <c r="R101" s="185">
        <f>DamodaranUS!$C101-DamodaranUS!$B101</f>
        <v>-8.1276558882018068E-2</v>
      </c>
      <c r="S101" s="185">
        <f t="shared" si="17"/>
        <v>-0.33107837468287055</v>
      </c>
      <c r="T101" s="185">
        <f t="shared" si="9"/>
        <v>3.8795868868689798E-2</v>
      </c>
      <c r="U101" s="187">
        <f>'[1]Inflation Rate'!C106</f>
        <v>9.1410000000000005E-4</v>
      </c>
      <c r="V101" s="191">
        <f t="shared" si="18"/>
        <v>-0.36610288646946021</v>
      </c>
      <c r="W101" s="191">
        <f t="shared" si="18"/>
        <v>-0.44730521829995196</v>
      </c>
      <c r="X101" s="191">
        <f t="shared" si="18"/>
        <v>1.3073949103124871E-2</v>
      </c>
      <c r="Y101" s="191">
        <f t="shared" si="18"/>
        <v>0.19991595609430446</v>
      </c>
      <c r="Z101" s="191">
        <f t="shared" si="18"/>
        <v>-3.5326874139460451E-2</v>
      </c>
      <c r="AA101" s="191">
        <f t="shared" si="18"/>
        <v>-0.12075571793668494</v>
      </c>
      <c r="AB101" s="191">
        <f t="shared" si="18"/>
        <v>4.2225712271015903E-2</v>
      </c>
      <c r="AC101" s="189">
        <f t="shared" si="20"/>
        <v>9301.4427518316406</v>
      </c>
      <c r="AD101" s="193">
        <f t="shared" si="20"/>
        <v>95053.407245400507</v>
      </c>
      <c r="AE101" s="190">
        <f t="shared" si="20"/>
        <v>169.15071242107445</v>
      </c>
      <c r="AF101" s="190">
        <f t="shared" si="20"/>
        <v>494.82821779925376</v>
      </c>
      <c r="AG101" s="190">
        <f t="shared" si="20"/>
        <v>1677.914725033995</v>
      </c>
      <c r="AH101" s="190">
        <f t="shared" si="20"/>
        <v>215.02715309851433</v>
      </c>
      <c r="AI101" s="190">
        <f t="shared" si="20"/>
        <v>346.7691739902732</v>
      </c>
      <c r="AJ101" s="191">
        <f>DamodaranUS!$V101-DamodaranUS!$X101</f>
        <v>-0.37917683557258508</v>
      </c>
      <c r="AK101" s="191">
        <f>DamodaranUS!$V101-DamodaranUS!$Y101</f>
        <v>-0.56601884256376467</v>
      </c>
    </row>
    <row r="102" spans="1:37">
      <c r="A102" s="180">
        <v>2009</v>
      </c>
      <c r="B102" s="181">
        <f>('[1]S&amp;P 500 &amp; Raw Data'!B85-'[1]S&amp;P 500 &amp; Raw Data'!B84+'[1]S&amp;P 500 &amp; Raw Data'!C85)/'[1]S&amp;P 500 &amp; Raw Data'!B84</f>
        <v>0.25935233877663982</v>
      </c>
      <c r="C102" s="181">
        <f>'[1]Small Cap'!B83</f>
        <v>0.46939999999999998</v>
      </c>
      <c r="D102" s="181">
        <f>'[1]T. Bill rates'!C87</f>
        <v>1.5E-3</v>
      </c>
      <c r="E102" s="181">
        <f>'[1]S&amp;P 500 &amp; Raw Data'!F85</f>
        <v>-0.11116695313259162</v>
      </c>
      <c r="F102" s="181">
        <f>'[1]S&amp;P 500 &amp; Raw Data'!J85</f>
        <v>0.19958466821865592</v>
      </c>
      <c r="G102" s="181">
        <f>'[1]Home Prices'!B85/'[1]Home Prices'!B84-1</f>
        <v>-3.853970002097773E-2</v>
      </c>
      <c r="H102" s="181">
        <f>'[1]Gold Prices'!B84/'[1]Gold Prices'!B83-1</f>
        <v>0.25035929864903705</v>
      </c>
      <c r="I102" s="182">
        <f t="shared" ref="I102:O117" si="21">I101*(1+B102)</f>
        <v>142344.87355944986</v>
      </c>
      <c r="J102" s="183">
        <f t="shared" si="21"/>
        <v>1673827.3324317993</v>
      </c>
      <c r="K102" s="183">
        <f t="shared" si="21"/>
        <v>2058.5861445690425</v>
      </c>
      <c r="L102" s="183">
        <f t="shared" si="21"/>
        <v>5344.6455830466175</v>
      </c>
      <c r="M102" s="183">
        <f t="shared" si="21"/>
        <v>24459.357923619536</v>
      </c>
      <c r="N102" s="183">
        <f t="shared" si="21"/>
        <v>2512.2850955542017</v>
      </c>
      <c r="O102" s="183">
        <f t="shared" si="21"/>
        <v>5268.8953488372081</v>
      </c>
      <c r="P102" s="184">
        <f t="shared" si="15"/>
        <v>0.25785233877663982</v>
      </c>
      <c r="Q102" s="184">
        <f t="shared" si="16"/>
        <v>0.37051929190923144</v>
      </c>
      <c r="R102" s="185">
        <f>DamodaranUS!$C102-DamodaranUS!$B102</f>
        <v>0.21004766122336016</v>
      </c>
      <c r="S102" s="185">
        <f t="shared" si="17"/>
        <v>5.9767670557983904E-2</v>
      </c>
      <c r="T102" s="185">
        <f t="shared" si="9"/>
        <v>4.2868506133348472E-2</v>
      </c>
      <c r="U102" s="187">
        <f>'[1]Inflation Rate'!C107</f>
        <v>2.7213299999999999E-2</v>
      </c>
      <c r="V102" s="191">
        <f t="shared" si="18"/>
        <v>0.22598912881739341</v>
      </c>
      <c r="W102" s="191">
        <f t="shared" si="18"/>
        <v>0.43047213271089846</v>
      </c>
      <c r="X102" s="191">
        <f t="shared" si="18"/>
        <v>-2.5032094113267456E-2</v>
      </c>
      <c r="Y102" s="191">
        <f t="shared" si="18"/>
        <v>-0.13471423426136686</v>
      </c>
      <c r="Z102" s="191">
        <f t="shared" si="18"/>
        <v>0.16780484464001377</v>
      </c>
      <c r="AA102" s="191">
        <f t="shared" si="18"/>
        <v>-6.4011048163977069E-2</v>
      </c>
      <c r="AB102" s="191">
        <f t="shared" si="18"/>
        <v>0.21723433550659532</v>
      </c>
      <c r="AC102" s="189">
        <f t="shared" ref="AC102:AI117" si="22">AC101*(1+V102)</f>
        <v>11403.467696062931</v>
      </c>
      <c r="AD102" s="193">
        <f t="shared" si="22"/>
        <v>135971.25018376563</v>
      </c>
      <c r="AE102" s="190">
        <f t="shared" si="22"/>
        <v>164.91651586842386</v>
      </c>
      <c r="AF102" s="190">
        <f t="shared" si="22"/>
        <v>428.16781334751045</v>
      </c>
      <c r="AG102" s="190">
        <f t="shared" si="22"/>
        <v>1959.476944787516</v>
      </c>
      <c r="AH102" s="190">
        <f t="shared" si="22"/>
        <v>201.26303964496245</v>
      </c>
      <c r="AI102" s="190">
        <f t="shared" si="22"/>
        <v>422.09934507622114</v>
      </c>
      <c r="AJ102" s="191">
        <f>DamodaranUS!$V102-DamodaranUS!$X102</f>
        <v>0.25102122293066087</v>
      </c>
      <c r="AK102" s="191">
        <f>DamodaranUS!$V102-DamodaranUS!$Y102</f>
        <v>0.36070336307876028</v>
      </c>
    </row>
    <row r="103" spans="1:37">
      <c r="A103" s="180">
        <v>2010</v>
      </c>
      <c r="B103" s="181">
        <f>('[1]S&amp;P 500 &amp; Raw Data'!B86-'[1]S&amp;P 500 &amp; Raw Data'!B85+'[1]S&amp;P 500 &amp; Raw Data'!C86)/'[1]S&amp;P 500 &amp; Raw Data'!B85</f>
        <v>0.14821092278719414</v>
      </c>
      <c r="C103" s="181">
        <f>'[1]Small Cap'!B84</f>
        <v>0.27729999999999999</v>
      </c>
      <c r="D103" s="181">
        <f>'[1]T. Bill rates'!C88</f>
        <v>1.4000000000000002E-3</v>
      </c>
      <c r="E103" s="181">
        <f>'[1]S&amp;P 500 &amp; Raw Data'!F86</f>
        <v>8.4629338803557719E-2</v>
      </c>
      <c r="F103" s="181">
        <f>'[1]S&amp;P 500 &amp; Raw Data'!J86</f>
        <v>9.401929364596065E-2</v>
      </c>
      <c r="G103" s="181">
        <f>'[1]Home Prices'!B86/'[1]Home Prices'!B85-1</f>
        <v>-4.1175467903037721E-2</v>
      </c>
      <c r="H103" s="181">
        <f>'[1]Gold Prices'!B85/'[1]Gold Prices'!B84-1</f>
        <v>0.29241379310344828</v>
      </c>
      <c r="I103" s="182">
        <f t="shared" si="21"/>
        <v>163441.93862372241</v>
      </c>
      <c r="J103" s="183">
        <f t="shared" si="21"/>
        <v>2137979.6517151371</v>
      </c>
      <c r="K103" s="183">
        <f t="shared" si="21"/>
        <v>2061.4681651714395</v>
      </c>
      <c r="L103" s="183">
        <f t="shared" si="21"/>
        <v>5796.9594048792078</v>
      </c>
      <c r="M103" s="183">
        <f t="shared" si="21"/>
        <v>26759.009478631979</v>
      </c>
      <c r="N103" s="183">
        <f t="shared" si="21"/>
        <v>2408.8405812389296</v>
      </c>
      <c r="O103" s="183">
        <f t="shared" si="21"/>
        <v>6809.5930232558121</v>
      </c>
      <c r="P103" s="184">
        <f t="shared" si="15"/>
        <v>0.14681092278719413</v>
      </c>
      <c r="Q103" s="184">
        <f t="shared" si="16"/>
        <v>6.3581583983636419E-2</v>
      </c>
      <c r="R103" s="185">
        <f>DamodaranUS!$C103-DamodaranUS!$B103</f>
        <v>0.12908907721280585</v>
      </c>
      <c r="S103" s="185">
        <f t="shared" si="17"/>
        <v>5.4191629141233488E-2</v>
      </c>
      <c r="T103" s="185">
        <f t="shared" si="9"/>
        <v>4.3108516433475463E-2</v>
      </c>
      <c r="U103" s="187">
        <f>'[1]Inflation Rate'!C108</f>
        <v>1.4957199999999999E-2</v>
      </c>
      <c r="V103" s="191">
        <f t="shared" si="18"/>
        <v>0.13128999211710024</v>
      </c>
      <c r="W103" s="191">
        <f t="shared" si="18"/>
        <v>0.25847671212145684</v>
      </c>
      <c r="X103" s="191">
        <f t="shared" si="18"/>
        <v>-1.3357410539084791E-2</v>
      </c>
      <c r="Y103" s="191">
        <f t="shared" si="18"/>
        <v>6.8645395888178973E-2</v>
      </c>
      <c r="Z103" s="191">
        <f t="shared" si="18"/>
        <v>7.7896973040795014E-2</v>
      </c>
      <c r="AA103" s="191">
        <f t="shared" si="18"/>
        <v>-5.5305453178752462E-2</v>
      </c>
      <c r="AB103" s="191">
        <f t="shared" si="18"/>
        <v>0.27336777659535616</v>
      </c>
      <c r="AC103" s="189">
        <f t="shared" si="22"/>
        <v>12900.628879986642</v>
      </c>
      <c r="AD103" s="193">
        <f t="shared" si="22"/>
        <v>171116.65187430941</v>
      </c>
      <c r="AE103" s="190">
        <f t="shared" si="22"/>
        <v>162.71365826129383</v>
      </c>
      <c r="AF103" s="190">
        <f t="shared" si="22"/>
        <v>457.55956240132622</v>
      </c>
      <c r="AG103" s="190">
        <f t="shared" si="22"/>
        <v>2112.1142675296887</v>
      </c>
      <c r="AH103" s="190">
        <f t="shared" si="22"/>
        <v>190.13209602926457</v>
      </c>
      <c r="AI103" s="190">
        <f t="shared" si="22"/>
        <v>537.48770454206374</v>
      </c>
      <c r="AJ103" s="191">
        <f>DamodaranUS!$V103-DamodaranUS!$X103</f>
        <v>0.14464740265618503</v>
      </c>
      <c r="AK103" s="191">
        <f>DamodaranUS!$V103-DamodaranUS!$Y103</f>
        <v>6.2644596228921268E-2</v>
      </c>
    </row>
    <row r="104" spans="1:37">
      <c r="A104" s="180">
        <v>2011</v>
      </c>
      <c r="B104" s="181">
        <f>('[1]S&amp;P 500 &amp; Raw Data'!B87-'[1]S&amp;P 500 &amp; Raw Data'!B86+'[1]S&amp;P 500 &amp; Raw Data'!C87)/'[1]S&amp;P 500 &amp; Raw Data'!B86</f>
        <v>2.09837473362805E-2</v>
      </c>
      <c r="C104" s="181">
        <f>'[1]Small Cap'!B85</f>
        <v>-0.1404</v>
      </c>
      <c r="D104" s="181">
        <f>'[1]T. Bill rates'!C89</f>
        <v>5.0000000000000001E-4</v>
      </c>
      <c r="E104" s="181">
        <f>'[1]S&amp;P 500 &amp; Raw Data'!F87</f>
        <v>0.16035334999461354</v>
      </c>
      <c r="F104" s="181">
        <f>'[1]S&amp;P 500 &amp; Raw Data'!J87</f>
        <v>0.12255951527540701</v>
      </c>
      <c r="G104" s="181">
        <f>'[1]Home Prices'!B87/'[1]Home Prices'!B86-1</f>
        <v>-3.8854834810063577E-2</v>
      </c>
      <c r="H104" s="181">
        <f>'[1]Gold Prices'!B86/'[1]Gold Prices'!B85-1</f>
        <v>0.1202419067947349</v>
      </c>
      <c r="I104" s="182">
        <f t="shared" si="21"/>
        <v>166871.56296795449</v>
      </c>
      <c r="J104" s="183">
        <f t="shared" si="21"/>
        <v>1837807.308614332</v>
      </c>
      <c r="K104" s="183">
        <f t="shared" si="21"/>
        <v>2062.4988992540252</v>
      </c>
      <c r="L104" s="183">
        <f t="shared" si="21"/>
        <v>6726.5212652343698</v>
      </c>
      <c r="M104" s="183">
        <f t="shared" si="21"/>
        <v>30038.580709583137</v>
      </c>
      <c r="N104" s="183">
        <f t="shared" si="21"/>
        <v>2315.2454783711137</v>
      </c>
      <c r="O104" s="183">
        <f t="shared" si="21"/>
        <v>7628.3914728682148</v>
      </c>
      <c r="P104" s="184">
        <f t="shared" si="15"/>
        <v>2.04837473362805E-2</v>
      </c>
      <c r="Q104" s="184">
        <f t="shared" si="16"/>
        <v>-0.13936960265833304</v>
      </c>
      <c r="R104" s="185">
        <f>DamodaranUS!$C104-DamodaranUS!$B104</f>
        <v>-0.1613837473362805</v>
      </c>
      <c r="S104" s="185">
        <f t="shared" si="17"/>
        <v>-0.10157576793912651</v>
      </c>
      <c r="T104" s="185">
        <f t="shared" si="9"/>
        <v>4.0970429004248521E-2</v>
      </c>
      <c r="U104" s="187">
        <f>'[1]Inflation Rate'!C109</f>
        <v>2.96242E-2</v>
      </c>
      <c r="V104" s="191">
        <f t="shared" si="18"/>
        <v>-8.3918507973291812E-3</v>
      </c>
      <c r="W104" s="191">
        <f t="shared" si="18"/>
        <v>-0.1651322880717061</v>
      </c>
      <c r="X104" s="191">
        <f t="shared" si="18"/>
        <v>-2.8286242689323005E-2</v>
      </c>
      <c r="Y104" s="191">
        <f t="shared" si="18"/>
        <v>0.12696782961648867</v>
      </c>
      <c r="Z104" s="191">
        <f t="shared" si="18"/>
        <v>9.0261393696269954E-2</v>
      </c>
      <c r="AA104" s="191">
        <f t="shared" si="18"/>
        <v>-6.6508765829380811E-2</v>
      </c>
      <c r="AB104" s="191">
        <f t="shared" si="18"/>
        <v>8.8010467114831625E-2</v>
      </c>
      <c r="AC104" s="189">
        <f t="shared" si="22"/>
        <v>12792.368727234078</v>
      </c>
      <c r="AD104" s="193">
        <f t="shared" si="22"/>
        <v>142859.76762313509</v>
      </c>
      <c r="AE104" s="190">
        <f t="shared" si="22"/>
        <v>158.1111002348473</v>
      </c>
      <c r="AF104" s="190">
        <f t="shared" si="22"/>
        <v>515.65490695969288</v>
      </c>
      <c r="AG104" s="190">
        <f t="shared" si="22"/>
        <v>2302.7566449626947</v>
      </c>
      <c r="AH104" s="190">
        <f t="shared" si="22"/>
        <v>177.48664497780487</v>
      </c>
      <c r="AI104" s="190">
        <f t="shared" si="22"/>
        <v>584.79224848728938</v>
      </c>
      <c r="AJ104" s="191">
        <f>DamodaranUS!$V104-DamodaranUS!$X104</f>
        <v>1.9894391891993823E-2</v>
      </c>
      <c r="AK104" s="191">
        <f>DamodaranUS!$V104-DamodaranUS!$Y104</f>
        <v>-0.13535968041381785</v>
      </c>
    </row>
    <row r="105" spans="1:37">
      <c r="A105" s="180">
        <v>2012</v>
      </c>
      <c r="B105" s="181">
        <f>('[1]S&amp;P 500 &amp; Raw Data'!B88-'[1]S&amp;P 500 &amp; Raw Data'!B87+'[1]S&amp;P 500 &amp; Raw Data'!C88)/'[1]S&amp;P 500 &amp; Raw Data'!B87</f>
        <v>0.15890585241730293</v>
      </c>
      <c r="C105" s="181">
        <f>'[1]Small Cap'!B86</f>
        <v>0.18960000000000002</v>
      </c>
      <c r="D105" s="181">
        <f>'[1]T. Bill rates'!C90</f>
        <v>8.9999999999999998E-4</v>
      </c>
      <c r="E105" s="181">
        <f>'[1]S&amp;P 500 &amp; Raw Data'!F88</f>
        <v>2.971571978018946E-2</v>
      </c>
      <c r="F105" s="181">
        <f>'[1]S&amp;P 500 &amp; Raw Data'!J88</f>
        <v>9.3998518520979416E-2</v>
      </c>
      <c r="G105" s="181">
        <f>'[1]Home Prices'!B88/'[1]Home Prices'!B87-1</f>
        <v>6.4359805270704618E-2</v>
      </c>
      <c r="H105" s="181">
        <f>'[1]Gold Prices'!B87/'[1]Gold Prices'!B86-1</f>
        <v>5.6843442362654706E-2</v>
      </c>
      <c r="I105" s="182">
        <f t="shared" si="21"/>
        <v>193388.43092558492</v>
      </c>
      <c r="J105" s="183">
        <f t="shared" si="21"/>
        <v>2186255.5743276095</v>
      </c>
      <c r="K105" s="183">
        <f t="shared" si="21"/>
        <v>2064.3551482633538</v>
      </c>
      <c r="L105" s="183">
        <f t="shared" si="21"/>
        <v>6926.4046862475598</v>
      </c>
      <c r="M105" s="183">
        <f t="shared" si="21"/>
        <v>32862.162794756827</v>
      </c>
      <c r="N105" s="183">
        <f t="shared" si="21"/>
        <v>2464.2542265129578</v>
      </c>
      <c r="O105" s="183">
        <f t="shared" si="21"/>
        <v>8062.0155038759658</v>
      </c>
      <c r="P105" s="184">
        <f t="shared" si="15"/>
        <v>0.15800585241730292</v>
      </c>
      <c r="Q105" s="184">
        <f t="shared" si="16"/>
        <v>0.12919013263711346</v>
      </c>
      <c r="R105" s="185">
        <f>DamodaranUS!$C105-DamodaranUS!$B105</f>
        <v>3.069414758269709E-2</v>
      </c>
      <c r="S105" s="185">
        <f t="shared" si="17"/>
        <v>6.4907333896323513E-2</v>
      </c>
      <c r="T105" s="185">
        <f t="shared" si="9"/>
        <v>4.1988275684727405E-2</v>
      </c>
      <c r="U105" s="187">
        <f>'[1]Inflation Rate'!C110</f>
        <v>1.7410200000000001E-2</v>
      </c>
      <c r="V105" s="191">
        <f t="shared" si="18"/>
        <v>0.13907434033716459</v>
      </c>
      <c r="W105" s="191">
        <f t="shared" si="18"/>
        <v>0.16924324131997093</v>
      </c>
      <c r="X105" s="191">
        <f t="shared" si="18"/>
        <v>-1.6227672968091134E-2</v>
      </c>
      <c r="Y105" s="191">
        <f t="shared" si="18"/>
        <v>1.2094944379552386E-2</v>
      </c>
      <c r="Z105" s="191">
        <f t="shared" si="18"/>
        <v>7.5277718388295556E-2</v>
      </c>
      <c r="AA105" s="191">
        <f t="shared" si="18"/>
        <v>4.6146190858617819E-2</v>
      </c>
      <c r="AB105" s="191">
        <f t="shared" si="18"/>
        <v>3.8758449996525224E-2</v>
      </c>
      <c r="AC105" s="189">
        <f t="shared" si="22"/>
        <v>14571.45896932393</v>
      </c>
      <c r="AD105" s="193">
        <f t="shared" si="22"/>
        <v>167037.8177498923</v>
      </c>
      <c r="AE105" s="190">
        <f t="shared" si="22"/>
        <v>155.54532500761113</v>
      </c>
      <c r="AF105" s="190">
        <f t="shared" si="22"/>
        <v>521.89172437841364</v>
      </c>
      <c r="AG105" s="190">
        <f t="shared" si="22"/>
        <v>2476.1029111989728</v>
      </c>
      <c r="AH105" s="190">
        <f t="shared" si="22"/>
        <v>185.67697757180639</v>
      </c>
      <c r="AI105" s="190">
        <f t="shared" si="22"/>
        <v>607.45788960863956</v>
      </c>
      <c r="AJ105" s="191">
        <f>DamodaranUS!$V105-DamodaranUS!$X105</f>
        <v>0.15530201330525573</v>
      </c>
      <c r="AK105" s="191">
        <f>DamodaranUS!$V105-DamodaranUS!$Y105</f>
        <v>0.12697939595761221</v>
      </c>
    </row>
    <row r="106" spans="1:37">
      <c r="A106" s="180">
        <v>2013</v>
      </c>
      <c r="B106" s="181">
        <f>('[1]S&amp;P 500 &amp; Raw Data'!B89-'[1]S&amp;P 500 &amp; Raw Data'!B88+'[1]S&amp;P 500 &amp; Raw Data'!C89)/'[1]S&amp;P 500 &amp; Raw Data'!B88</f>
        <v>0.32145085858125483</v>
      </c>
      <c r="C106" s="181">
        <f>'[1]Small Cap'!B87</f>
        <v>0.503</v>
      </c>
      <c r="D106" s="181">
        <f>'[1]T. Bill rates'!C91</f>
        <v>5.9999999999999995E-4</v>
      </c>
      <c r="E106" s="181">
        <f>'[1]S&amp;P 500 &amp; Raw Data'!F89</f>
        <v>-9.104568794347262E-2</v>
      </c>
      <c r="F106" s="181">
        <f>'[1]S&amp;P 500 &amp; Raw Data'!J89</f>
        <v>-1.1252505764346693E-2</v>
      </c>
      <c r="G106" s="181">
        <f>'[1]Home Prices'!B89/'[1]Home Prices'!B88-1</f>
        <v>0.1071867983678767</v>
      </c>
      <c r="H106" s="181">
        <f>'[1]Gold Prices'!B88/'[1]Gold Prices'!B87-1</f>
        <v>-0.27614182692307687</v>
      </c>
      <c r="I106" s="182">
        <f t="shared" si="21"/>
        <v>255553.30808629587</v>
      </c>
      <c r="J106" s="183">
        <f t="shared" si="21"/>
        <v>3285942.1282143975</v>
      </c>
      <c r="K106" s="183">
        <f t="shared" si="21"/>
        <v>2065.5937613523115</v>
      </c>
      <c r="L106" s="183">
        <f t="shared" si="21"/>
        <v>6295.7854066132577</v>
      </c>
      <c r="M106" s="183">
        <f t="shared" si="21"/>
        <v>32492.381118479927</v>
      </c>
      <c r="N106" s="183">
        <f t="shared" si="21"/>
        <v>2728.38974741739</v>
      </c>
      <c r="O106" s="183">
        <f t="shared" si="21"/>
        <v>5835.7558139534867</v>
      </c>
      <c r="P106" s="184">
        <f t="shared" si="15"/>
        <v>0.32085085858125484</v>
      </c>
      <c r="Q106" s="184">
        <f t="shared" si="16"/>
        <v>0.41249654652472745</v>
      </c>
      <c r="R106" s="185">
        <f>DamodaranUS!$C106-DamodaranUS!$B106</f>
        <v>0.18154914141874517</v>
      </c>
      <c r="S106" s="185">
        <f t="shared" si="17"/>
        <v>0.33270336434560155</v>
      </c>
      <c r="T106" s="185">
        <f t="shared" si="9"/>
        <v>4.6176809418723153E-2</v>
      </c>
      <c r="U106" s="187">
        <f>'[1]Inflation Rate'!C111</f>
        <v>1.50174E-2</v>
      </c>
      <c r="V106" s="191">
        <f t="shared" si="18"/>
        <v>0.30189970987813086</v>
      </c>
      <c r="W106" s="191">
        <f t="shared" si="18"/>
        <v>0.48076279283488144</v>
      </c>
      <c r="X106" s="191">
        <f t="shared" si="18"/>
        <v>-1.4204091476658576E-2</v>
      </c>
      <c r="Y106" s="191">
        <f t="shared" si="18"/>
        <v>-0.10449386182293308</v>
      </c>
      <c r="Z106" s="191">
        <f t="shared" si="18"/>
        <v>-2.5881236877660196E-2</v>
      </c>
      <c r="AA106" s="191">
        <f t="shared" si="18"/>
        <v>9.0805732362693181E-2</v>
      </c>
      <c r="AB106" s="191">
        <f t="shared" si="18"/>
        <v>-0.28685146375133763</v>
      </c>
      <c r="AC106" s="189">
        <f t="shared" si="22"/>
        <v>18970.578204663914</v>
      </c>
      <c r="AD106" s="193">
        <f t="shared" si="22"/>
        <v>247343.38552037446</v>
      </c>
      <c r="AE106" s="190">
        <f t="shared" si="22"/>
        <v>153.33594498243642</v>
      </c>
      <c r="AF106" s="190">
        <f t="shared" si="22"/>
        <v>467.35724264468342</v>
      </c>
      <c r="AG106" s="190">
        <f t="shared" si="22"/>
        <v>2412.0183052207681</v>
      </c>
      <c r="AH106" s="190">
        <f t="shared" si="22"/>
        <v>202.53751150310563</v>
      </c>
      <c r="AI106" s="190">
        <f t="shared" si="22"/>
        <v>433.20770480710286</v>
      </c>
      <c r="AJ106" s="191">
        <f>DamodaranUS!$V106-DamodaranUS!$X106</f>
        <v>0.31610380135478944</v>
      </c>
      <c r="AK106" s="191">
        <f>DamodaranUS!$V106-DamodaranUS!$Y106</f>
        <v>0.40639357170106394</v>
      </c>
    </row>
    <row r="107" spans="1:37">
      <c r="A107" s="180">
        <v>2014</v>
      </c>
      <c r="B107" s="181">
        <f>('[1]S&amp;P 500 &amp; Raw Data'!B90-'[1]S&amp;P 500 &amp; Raw Data'!B89+'[1]S&amp;P 500 &amp; Raw Data'!C90)/'[1]S&amp;P 500 &amp; Raw Data'!B89</f>
        <v>0.13524421649462237</v>
      </c>
      <c r="C107" s="181">
        <f>'[1]Small Cap'!B88</f>
        <v>1.5300000000000001E-2</v>
      </c>
      <c r="D107" s="181">
        <f>'[1]T. Bill rates'!C92</f>
        <v>2.9999999999999997E-4</v>
      </c>
      <c r="E107" s="181">
        <f>'[1]S&amp;P 500 &amp; Raw Data'!F90</f>
        <v>0.10746180452004755</v>
      </c>
      <c r="F107" s="181">
        <f>'[1]S&amp;P 500 &amp; Raw Data'!J90</f>
        <v>0.10746402616714908</v>
      </c>
      <c r="G107" s="181">
        <f>'[1]Home Prices'!B90/'[1]Home Prices'!B89-1</f>
        <v>4.503361982910703E-2</v>
      </c>
      <c r="H107" s="181">
        <f>'[1]Gold Prices'!B89/'[1]Gold Prices'!B88-1</f>
        <v>1.2453300124533051E-3</v>
      </c>
      <c r="I107" s="182">
        <f t="shared" si="21"/>
        <v>290115.4150110358</v>
      </c>
      <c r="J107" s="183">
        <f t="shared" si="21"/>
        <v>3336217.042776078</v>
      </c>
      <c r="K107" s="183">
        <f t="shared" si="21"/>
        <v>2066.2134394807172</v>
      </c>
      <c r="L107" s="183">
        <f t="shared" si="21"/>
        <v>6972.3418672788994</v>
      </c>
      <c r="M107" s="183">
        <f t="shared" si="21"/>
        <v>35984.143213229239</v>
      </c>
      <c r="N107" s="183">
        <f t="shared" si="21"/>
        <v>2851.259014048218</v>
      </c>
      <c r="O107" s="183">
        <f t="shared" si="21"/>
        <v>5843.0232558139514</v>
      </c>
      <c r="P107" s="184">
        <f t="shared" si="15"/>
        <v>0.13494421649462238</v>
      </c>
      <c r="Q107" s="184">
        <f t="shared" si="16"/>
        <v>2.7782411974574817E-2</v>
      </c>
      <c r="R107" s="185">
        <f>DamodaranUS!$C107-DamodaranUS!$B107</f>
        <v>-0.11994421649462236</v>
      </c>
      <c r="S107" s="185">
        <f t="shared" si="17"/>
        <v>2.7780190327473295E-2</v>
      </c>
      <c r="T107" s="185">
        <f t="shared" si="9"/>
        <v>4.5975029375833421E-2</v>
      </c>
      <c r="U107" s="187">
        <f>'[1]Inflation Rate'!C112</f>
        <v>7.5649000000000003E-3</v>
      </c>
      <c r="V107" s="191">
        <f t="shared" si="18"/>
        <v>0.12672068716826312</v>
      </c>
      <c r="W107" s="191">
        <f t="shared" si="18"/>
        <v>7.677024080533279E-3</v>
      </c>
      <c r="X107" s="191">
        <f t="shared" si="18"/>
        <v>-7.2103543900745581E-3</v>
      </c>
      <c r="Y107" s="191">
        <f t="shared" si="18"/>
        <v>9.9146868375473929E-2</v>
      </c>
      <c r="Z107" s="191">
        <f t="shared" si="18"/>
        <v>9.9149073342222449E-2</v>
      </c>
      <c r="AA107" s="191">
        <f t="shared" si="18"/>
        <v>3.718740086033856E-2</v>
      </c>
      <c r="AB107" s="191">
        <f t="shared" si="18"/>
        <v>-6.2721220117401E-3</v>
      </c>
      <c r="AC107" s="189">
        <f t="shared" si="22"/>
        <v>21374.542910738201</v>
      </c>
      <c r="AD107" s="193">
        <f t="shared" si="22"/>
        <v>249242.24664717499</v>
      </c>
      <c r="AE107" s="190">
        <f t="shared" si="22"/>
        <v>152.23033847837607</v>
      </c>
      <c r="AF107" s="190">
        <f t="shared" si="22"/>
        <v>513.69424966550025</v>
      </c>
      <c r="AG107" s="190">
        <f t="shared" si="22"/>
        <v>2651.167685067885</v>
      </c>
      <c r="AH107" s="190">
        <f t="shared" si="22"/>
        <v>210.06935513262707</v>
      </c>
      <c r="AI107" s="190">
        <f t="shared" si="22"/>
        <v>430.4905732261268</v>
      </c>
      <c r="AJ107" s="191">
        <f>DamodaranUS!$V107-DamodaranUS!$X107</f>
        <v>0.13393104155833768</v>
      </c>
      <c r="AK107" s="191">
        <f>DamodaranUS!$V107-DamodaranUS!$Y107</f>
        <v>2.7573818792789195E-2</v>
      </c>
    </row>
    <row r="108" spans="1:37">
      <c r="A108" s="196">
        <v>2015</v>
      </c>
      <c r="B108" s="181">
        <f>('[1]S&amp;P 500 &amp; Raw Data'!B91-'[1]S&amp;P 500 &amp; Raw Data'!B90+'[1]S&amp;P 500 &amp; Raw Data'!C91)/'[1]S&amp;P 500 &amp; Raw Data'!B90</f>
        <v>1.3788916411676138E-2</v>
      </c>
      <c r="C108" s="181">
        <f>'[1]Small Cap'!B89</f>
        <v>-9.1199999999999989E-2</v>
      </c>
      <c r="D108" s="181">
        <f>'[1]T. Bill rates'!C93</f>
        <v>5.0000000000000001E-4</v>
      </c>
      <c r="E108" s="181">
        <f>'[1]S&amp;P 500 &amp; Raw Data'!F91</f>
        <v>1.2842996709792224E-2</v>
      </c>
      <c r="F108" s="181">
        <f>'[1]S&amp;P 500 &amp; Raw Data'!J91</f>
        <v>-1.5008531794429583E-2</v>
      </c>
      <c r="G108" s="181">
        <f>'[1]Home Prices'!B91/'[1]Home Prices'!B90-1</f>
        <v>5.1948286012946543E-2</v>
      </c>
      <c r="H108" s="181">
        <f>'[1]Gold Prices'!B90/'[1]Gold Prices'!B89-1</f>
        <v>-0.12106135986733002</v>
      </c>
      <c r="I108" s="182">
        <f t="shared" si="21"/>
        <v>294115.79221836175</v>
      </c>
      <c r="J108" s="183">
        <f t="shared" si="21"/>
        <v>3031954.0484749</v>
      </c>
      <c r="K108" s="183">
        <f t="shared" si="21"/>
        <v>2067.2465462004575</v>
      </c>
      <c r="L108" s="183">
        <f t="shared" si="21"/>
        <v>7061.8876309399093</v>
      </c>
      <c r="M108" s="183">
        <f t="shared" si="21"/>
        <v>35444.074055718178</v>
      </c>
      <c r="N108" s="183">
        <f t="shared" si="21"/>
        <v>2999.3770328069868</v>
      </c>
      <c r="O108" s="183">
        <f t="shared" si="21"/>
        <v>5135.6589147286804</v>
      </c>
      <c r="P108" s="184">
        <f t="shared" si="15"/>
        <v>1.3288916411676137E-2</v>
      </c>
      <c r="Q108" s="184">
        <f t="shared" si="16"/>
        <v>9.4591970188391376E-4</v>
      </c>
      <c r="R108" s="185">
        <f>DamodaranUS!$C108-DamodaranUS!$B108</f>
        <v>-0.10498891641167613</v>
      </c>
      <c r="S108" s="185">
        <f t="shared" si="17"/>
        <v>2.8797448206105719E-2</v>
      </c>
      <c r="T108" s="185">
        <f t="shared" si="9"/>
        <v>4.5434457313765497E-2</v>
      </c>
      <c r="U108" s="187">
        <f>'[1]Inflation Rate'!C113</f>
        <v>7.2951999999999991E-3</v>
      </c>
      <c r="V108" s="191">
        <f t="shared" si="18"/>
        <v>6.4466865440004906E-3</v>
      </c>
      <c r="W108" s="191">
        <f t="shared" si="18"/>
        <v>-9.7781861762073263E-2</v>
      </c>
      <c r="X108" s="191">
        <f t="shared" si="18"/>
        <v>-6.7459866779867594E-3</v>
      </c>
      <c r="Y108" s="191">
        <f t="shared" si="18"/>
        <v>5.5076175383266257E-3</v>
      </c>
      <c r="Z108" s="191">
        <f t="shared" si="18"/>
        <v>-2.2142200016866509E-2</v>
      </c>
      <c r="AA108" s="191">
        <f t="shared" si="18"/>
        <v>4.4329692043550528E-2</v>
      </c>
      <c r="AB108" s="191">
        <f t="shared" si="18"/>
        <v>-0.12742695474705923</v>
      </c>
      <c r="AC108" s="189">
        <f t="shared" si="22"/>
        <v>21512.337888905018</v>
      </c>
      <c r="AD108" s="193">
        <f t="shared" si="22"/>
        <v>224870.87574025235</v>
      </c>
      <c r="AE108" s="190">
        <f t="shared" si="22"/>
        <v>151.20339464301554</v>
      </c>
      <c r="AF108" s="190">
        <f t="shared" si="22"/>
        <v>516.52348112429547</v>
      </c>
      <c r="AG108" s="190">
        <f t="shared" si="22"/>
        <v>2592.4649999068588</v>
      </c>
      <c r="AH108" s="190">
        <f t="shared" si="22"/>
        <v>219.38166495344367</v>
      </c>
      <c r="AI108" s="190">
        <f t="shared" si="22"/>
        <v>375.63447043260555</v>
      </c>
      <c r="AJ108" s="191">
        <f>DamodaranUS!$V108-DamodaranUS!$X108</f>
        <v>1.319267322198725E-2</v>
      </c>
      <c r="AK108" s="191">
        <f>DamodaranUS!$V108-DamodaranUS!$Y108</f>
        <v>9.3906900567386487E-4</v>
      </c>
    </row>
    <row r="109" spans="1:37">
      <c r="A109" s="197">
        <v>2016</v>
      </c>
      <c r="B109" s="181">
        <f>('[1]S&amp;P 500 &amp; Raw Data'!B92-'[1]S&amp;P 500 &amp; Raw Data'!B91+'[1]S&amp;P 500 &amp; Raw Data'!C92)/'[1]S&amp;P 500 &amp; Raw Data'!B91</f>
        <v>0.11773080874798171</v>
      </c>
      <c r="C109" s="181">
        <f>'[1]Small Cap'!B90</f>
        <v>0.17019999999999999</v>
      </c>
      <c r="D109" s="181">
        <f>'[1]T. Bill rates'!C94</f>
        <v>3.2000000000000002E-3</v>
      </c>
      <c r="E109" s="181">
        <f>'[1]S&amp;P 500 &amp; Raw Data'!F92</f>
        <v>6.9055046987477921E-3</v>
      </c>
      <c r="F109" s="181">
        <f>'[1]S&amp;P 500 &amp; Raw Data'!J92</f>
        <v>0.11524473910506201</v>
      </c>
      <c r="G109" s="181">
        <f>'[1]Home Prices'!B92/'[1]Home Prices'!B91-1</f>
        <v>5.3055093917225182E-2</v>
      </c>
      <c r="H109" s="181">
        <f>'[1]Gold Prices'!B91/'[1]Gold Prices'!B90-1</f>
        <v>8.1037735849056602E-2</v>
      </c>
      <c r="I109" s="182">
        <f t="shared" si="21"/>
        <v>328742.28230178286</v>
      </c>
      <c r="J109" s="183">
        <f t="shared" si="21"/>
        <v>3547992.6275253277</v>
      </c>
      <c r="K109" s="183">
        <f t="shared" si="21"/>
        <v>2073.861735148299</v>
      </c>
      <c r="L109" s="183">
        <f t="shared" si="21"/>
        <v>7110.6535291573937</v>
      </c>
      <c r="M109" s="183">
        <f t="shared" si="21"/>
        <v>39528.817123089917</v>
      </c>
      <c r="N109" s="183">
        <f t="shared" si="21"/>
        <v>3158.5092629757296</v>
      </c>
      <c r="O109" s="183">
        <f t="shared" si="21"/>
        <v>5551.8410852713159</v>
      </c>
      <c r="P109" s="184">
        <f t="shared" si="15"/>
        <v>0.11453080874798172</v>
      </c>
      <c r="Q109" s="184">
        <f t="shared" si="16"/>
        <v>0.11082530404923392</v>
      </c>
      <c r="R109" s="185">
        <f>DamodaranUS!$C109-DamodaranUS!$B109</f>
        <v>5.246919125201828E-2</v>
      </c>
      <c r="S109" s="185">
        <f t="shared" si="17"/>
        <v>2.4860696429196971E-3</v>
      </c>
      <c r="T109" s="185">
        <f t="shared" si="9"/>
        <v>4.6176501247687796E-2</v>
      </c>
      <c r="U109" s="187">
        <f>'[1]Inflation Rate'!C114</f>
        <v>2.0746199999999999E-2</v>
      </c>
      <c r="V109" s="191">
        <f t="shared" si="18"/>
        <v>9.5013440900374446E-2</v>
      </c>
      <c r="W109" s="191">
        <f t="shared" si="18"/>
        <v>0.14641621982036268</v>
      </c>
      <c r="X109" s="191">
        <f t="shared" si="18"/>
        <v>-1.7189581504197582E-2</v>
      </c>
      <c r="Y109" s="191">
        <f t="shared" si="18"/>
        <v>-1.3559389494912866E-2</v>
      </c>
      <c r="Z109" s="191">
        <f t="shared" si="18"/>
        <v>9.2577899486730342E-2</v>
      </c>
      <c r="AA109" s="191">
        <f t="shared" si="18"/>
        <v>3.1652230414597859E-2</v>
      </c>
      <c r="AB109" s="191">
        <f t="shared" si="18"/>
        <v>5.9066137938163843E-2</v>
      </c>
      <c r="AC109" s="189">
        <f t="shared" si="22"/>
        <v>23556.299133541383</v>
      </c>
      <c r="AD109" s="193">
        <f t="shared" si="22"/>
        <v>257795.61931383458</v>
      </c>
      <c r="AE109" s="190">
        <f t="shared" si="22"/>
        <v>148.60427156708806</v>
      </c>
      <c r="AF109" s="190">
        <f t="shared" si="22"/>
        <v>509.51973806046288</v>
      </c>
      <c r="AG109" s="190">
        <f t="shared" si="22"/>
        <v>2832.4699640911022</v>
      </c>
      <c r="AH109" s="190">
        <f t="shared" si="22"/>
        <v>226.32558396128817</v>
      </c>
      <c r="AI109" s="190">
        <f t="shared" si="22"/>
        <v>397.82174787750694</v>
      </c>
      <c r="AJ109" s="191">
        <f>DamodaranUS!$V109-DamodaranUS!$X109</f>
        <v>0.11220302240457203</v>
      </c>
      <c r="AK109" s="191">
        <f>DamodaranUS!$V109-DamodaranUS!$Y109</f>
        <v>0.10857283039528731</v>
      </c>
    </row>
    <row r="110" spans="1:37">
      <c r="A110" s="197">
        <v>2017</v>
      </c>
      <c r="B110" s="181">
        <f>('[1]S&amp;P 500 &amp; Raw Data'!B93-'[1]S&amp;P 500 &amp; Raw Data'!B92+'[1]S&amp;P 500 &amp; Raw Data'!C93)/'[1]S&amp;P 500 &amp; Raw Data'!B92</f>
        <v>0.2160548143449928</v>
      </c>
      <c r="C110" s="181">
        <f>'[1]Small Cap'!B91</f>
        <v>0.15130000000000002</v>
      </c>
      <c r="D110" s="181">
        <f>'[1]T. Bill rates'!C95</f>
        <v>9.4999999999999998E-3</v>
      </c>
      <c r="E110" s="181">
        <f>'[1]S&amp;P 500 &amp; Raw Data'!F93</f>
        <v>2.8017162707789457E-2</v>
      </c>
      <c r="F110" s="181">
        <f>'[1]S&amp;P 500 &amp; Raw Data'!J93</f>
        <v>9.1512861973051515E-2</v>
      </c>
      <c r="G110" s="181">
        <f>'[1]Home Prices'!B93/'[1]Home Prices'!B92-1</f>
        <v>6.2069189927930646E-2</v>
      </c>
      <c r="H110" s="181">
        <f>'[1]Gold Prices'!B92/'[1]Gold Prices'!B91-1</f>
        <v>0.12662535997905566</v>
      </c>
      <c r="I110" s="182">
        <f t="shared" si="21"/>
        <v>399768.63507184375</v>
      </c>
      <c r="J110" s="183">
        <f t="shared" si="21"/>
        <v>4084803.9120699097</v>
      </c>
      <c r="K110" s="183">
        <f t="shared" si="21"/>
        <v>2093.5634216322078</v>
      </c>
      <c r="L110" s="183">
        <f t="shared" si="21"/>
        <v>7309.8738660425133</v>
      </c>
      <c r="M110" s="183">
        <f t="shared" si="21"/>
        <v>43146.212308433234</v>
      </c>
      <c r="N110" s="183">
        <f t="shared" si="21"/>
        <v>3354.5553743084984</v>
      </c>
      <c r="O110" s="183">
        <f t="shared" si="21"/>
        <v>6254.8449612403074</v>
      </c>
      <c r="P110" s="184">
        <f t="shared" si="15"/>
        <v>0.20655481434499279</v>
      </c>
      <c r="Q110" s="184">
        <f t="shared" si="16"/>
        <v>0.18803765163720335</v>
      </c>
      <c r="R110" s="185">
        <f>DamodaranUS!$C110-DamodaranUS!$B110</f>
        <v>-6.4754814344992778E-2</v>
      </c>
      <c r="S110" s="185">
        <f t="shared" si="17"/>
        <v>0.12454195237194128</v>
      </c>
      <c r="T110" s="185">
        <f t="shared" si="9"/>
        <v>4.7686840373502015E-2</v>
      </c>
      <c r="U110" s="187">
        <f>'[1]Inflation Rate'!C115</f>
        <v>2.10908E-2</v>
      </c>
      <c r="V110" s="191">
        <f t="shared" si="18"/>
        <v>0.19093700025991089</v>
      </c>
      <c r="W110" s="191">
        <f t="shared" si="18"/>
        <v>0.12751970735609408</v>
      </c>
      <c r="X110" s="191">
        <f t="shared" si="18"/>
        <v>-1.135139010164421E-2</v>
      </c>
      <c r="Y110" s="191">
        <f t="shared" si="18"/>
        <v>6.7832975361146186E-3</v>
      </c>
      <c r="Z110" s="191">
        <f t="shared" si="18"/>
        <v>6.8967482591216545E-2</v>
      </c>
      <c r="AA110" s="191">
        <f t="shared" si="18"/>
        <v>4.0131974480556165E-2</v>
      </c>
      <c r="AB110" s="191">
        <f t="shared" si="18"/>
        <v>0.10335472612137497</v>
      </c>
      <c r="AC110" s="189">
        <f t="shared" si="22"/>
        <v>28054.068227324911</v>
      </c>
      <c r="AD110" s="193">
        <f t="shared" si="22"/>
        <v>290669.64124641783</v>
      </c>
      <c r="AE110" s="190">
        <f t="shared" si="22"/>
        <v>146.91740650975936</v>
      </c>
      <c r="AF110" s="190">
        <f t="shared" si="22"/>
        <v>512.9759620442502</v>
      </c>
      <c r="AG110" s="190">
        <f t="shared" si="22"/>
        <v>3027.8182870296991</v>
      </c>
      <c r="AH110" s="190">
        <f t="shared" si="22"/>
        <v>235.40847652111955</v>
      </c>
      <c r="AI110" s="190">
        <f t="shared" si="22"/>
        <v>438.93850567451335</v>
      </c>
      <c r="AJ110" s="191">
        <f>DamodaranUS!$V110-DamodaranUS!$X110</f>
        <v>0.2022883903615551</v>
      </c>
      <c r="AK110" s="191">
        <f>DamodaranUS!$V110-DamodaranUS!$Y110</f>
        <v>0.18415370272379628</v>
      </c>
    </row>
    <row r="111" spans="1:37">
      <c r="A111" s="197">
        <v>2018</v>
      </c>
      <c r="B111" s="181">
        <f>('[1]S&amp;P 500 &amp; Raw Data'!B94-'[1]S&amp;P 500 &amp; Raw Data'!B93+'[1]S&amp;P 500 &amp; Raw Data'!C94)/'[1]S&amp;P 500 &amp; Raw Data'!B93</f>
        <v>-4.2268692890885438E-2</v>
      </c>
      <c r="C111" s="181">
        <f>'[1]Small Cap'!B92</f>
        <v>-0.16210000000000002</v>
      </c>
      <c r="D111" s="181">
        <f>'[1]T. Bill rates'!C96</f>
        <v>1.9699999999999999E-2</v>
      </c>
      <c r="E111" s="181">
        <f>'[1]S&amp;P 500 &amp; Raw Data'!F94</f>
        <v>-1.6692385713402633E-4</v>
      </c>
      <c r="F111" s="181">
        <f>'[1]S&amp;P 500 &amp; Raw Data'!J94</f>
        <v>-3.1827246355492778E-2</v>
      </c>
      <c r="G111" s="181">
        <f>'[1]Home Prices'!B94/'[1]Home Prices'!B93-1</f>
        <v>4.517555505626647E-2</v>
      </c>
      <c r="H111" s="181">
        <f>'[1]Gold Prices'!B93/'[1]Gold Prices'!B92-1</f>
        <v>-9.2951200619674212E-3</v>
      </c>
      <c r="I111" s="182">
        <f t="shared" si="21"/>
        <v>382870.93740858353</v>
      </c>
      <c r="J111" s="183">
        <f t="shared" si="21"/>
        <v>3422657.1979233772</v>
      </c>
      <c r="K111" s="183">
        <f t="shared" si="21"/>
        <v>2134.8066210383622</v>
      </c>
      <c r="L111" s="183">
        <f t="shared" si="21"/>
        <v>7308.6536737016304</v>
      </c>
      <c r="M111" s="183">
        <f t="shared" si="21"/>
        <v>41772.987179986339</v>
      </c>
      <c r="N111" s="183">
        <f t="shared" si="21"/>
        <v>3506.0992753098667</v>
      </c>
      <c r="O111" s="183">
        <f t="shared" si="21"/>
        <v>6196.7054263565869</v>
      </c>
      <c r="P111" s="184">
        <f t="shared" si="15"/>
        <v>-6.1968692890885441E-2</v>
      </c>
      <c r="Q111" s="184">
        <f t="shared" si="16"/>
        <v>-4.2101769033751416E-2</v>
      </c>
      <c r="R111" s="185">
        <f>DamodaranUS!$C111-DamodaranUS!$B111</f>
        <v>-0.11983130710911458</v>
      </c>
      <c r="S111" s="185">
        <f t="shared" si="17"/>
        <v>-1.0441446535392661E-2</v>
      </c>
      <c r="T111" s="185">
        <f t="shared" si="9"/>
        <v>4.6608669094632571E-2</v>
      </c>
      <c r="U111" s="187">
        <f>'[1]Inflation Rate'!C116</f>
        <v>1.91016E-2</v>
      </c>
      <c r="V111" s="191">
        <f t="shared" si="18"/>
        <v>-6.0219994641246166E-2</v>
      </c>
      <c r="W111" s="191">
        <f t="shared" si="18"/>
        <v>-0.17780523551331873</v>
      </c>
      <c r="X111" s="191">
        <f t="shared" si="18"/>
        <v>5.8718384899014708E-4</v>
      </c>
      <c r="Y111" s="191">
        <f t="shared" si="18"/>
        <v>-1.8907362972577002E-2</v>
      </c>
      <c r="Z111" s="191">
        <f t="shared" si="18"/>
        <v>-4.9974258067588817E-2</v>
      </c>
      <c r="AA111" s="191">
        <f t="shared" si="18"/>
        <v>2.5585236110184262E-2</v>
      </c>
      <c r="AB111" s="191">
        <f t="shared" si="18"/>
        <v>-2.7864464212368434E-2</v>
      </c>
      <c r="AC111" s="189">
        <f t="shared" si="22"/>
        <v>26364.652389010251</v>
      </c>
      <c r="AD111" s="193">
        <f t="shared" si="22"/>
        <v>238987.05722802665</v>
      </c>
      <c r="AE111" s="190">
        <f t="shared" si="22"/>
        <v>147.0036740379974</v>
      </c>
      <c r="AF111" s="190">
        <f t="shared" si="22"/>
        <v>503.27693933367266</v>
      </c>
      <c r="AG111" s="190">
        <f t="shared" si="22"/>
        <v>2876.5053145719121</v>
      </c>
      <c r="AH111" s="190">
        <f t="shared" si="22"/>
        <v>241.43145797525116</v>
      </c>
      <c r="AI111" s="190">
        <f t="shared" si="22"/>
        <v>426.70771939171539</v>
      </c>
      <c r="AJ111" s="191">
        <f>DamodaranUS!$V111-DamodaranUS!$X111</f>
        <v>-6.0807178490236313E-2</v>
      </c>
      <c r="AK111" s="191">
        <f>DamodaranUS!$V111-DamodaranUS!$Y111</f>
        <v>-4.1312631668669164E-2</v>
      </c>
    </row>
    <row r="112" spans="1:37">
      <c r="A112" s="180">
        <v>2019</v>
      </c>
      <c r="B112" s="181">
        <f>('[1]S&amp;P 500 &amp; Raw Data'!B95-'[1]S&amp;P 500 &amp; Raw Data'!B94+'[1]S&amp;P 500 &amp; Raw Data'!C95)/'[1]S&amp;P 500 &amp; Raw Data'!B94</f>
        <v>0.31211679996808755</v>
      </c>
      <c r="C112" s="181">
        <f>'[1]Small Cap'!B93</f>
        <v>0.1192</v>
      </c>
      <c r="D112" s="181">
        <f>'[1]T. Bill rates'!C97</f>
        <v>2.1099999999999997E-2</v>
      </c>
      <c r="E112" s="181">
        <f>'[1]S&amp;P 500 &amp; Raw Data'!F95</f>
        <v>9.6356307415483927E-2</v>
      </c>
      <c r="F112" s="181">
        <f>'[1]S&amp;P 500 &amp; Raw Data'!J95</f>
        <v>0.15247765775278477</v>
      </c>
      <c r="G112" s="181">
        <f>'[1]Home Prices'!B95/'[1]Home Prices'!B94-1</f>
        <v>3.6852107893669883E-2</v>
      </c>
      <c r="H112" s="181">
        <f>'[1]Gold Prices'!B94/'[1]Gold Prices'!B93-1</f>
        <v>0.19077404222048466</v>
      </c>
      <c r="I112" s="182">
        <f t="shared" si="21"/>
        <v>502371.38919333258</v>
      </c>
      <c r="J112" s="183">
        <f t="shared" si="21"/>
        <v>3830637.9359158436</v>
      </c>
      <c r="K112" s="183">
        <f t="shared" si="21"/>
        <v>2179.8510407422714</v>
      </c>
      <c r="L112" s="183">
        <f t="shared" si="21"/>
        <v>8012.8885538781296</v>
      </c>
      <c r="M112" s="183">
        <f t="shared" si="21"/>
        <v>48142.434422527767</v>
      </c>
      <c r="N112" s="183">
        <f t="shared" si="21"/>
        <v>3635.3064240895037</v>
      </c>
      <c r="O112" s="183">
        <f t="shared" si="21"/>
        <v>7378.8759689922445</v>
      </c>
      <c r="P112" s="184">
        <f t="shared" si="15"/>
        <v>0.29101679996808755</v>
      </c>
      <c r="Q112" s="184">
        <f t="shared" si="16"/>
        <v>0.21576049255260363</v>
      </c>
      <c r="R112" s="185">
        <f>DamodaranUS!$C112-DamodaranUS!$B112</f>
        <v>-0.19291679996808755</v>
      </c>
      <c r="S112" s="185">
        <f t="shared" si="17"/>
        <v>0.15963914221530279</v>
      </c>
      <c r="T112" s="185">
        <f t="shared" si="9"/>
        <v>4.8253684406804442E-2</v>
      </c>
      <c r="U112" s="187">
        <f>'[1]Inflation Rate'!C117</f>
        <v>2.2851300000000001E-2</v>
      </c>
      <c r="V112" s="191">
        <f t="shared" si="18"/>
        <v>0.28280308190260661</v>
      </c>
      <c r="W112" s="191">
        <f t="shared" si="18"/>
        <v>9.4196194500608232E-2</v>
      </c>
      <c r="X112" s="191">
        <f t="shared" si="18"/>
        <v>-1.7121745849079106E-3</v>
      </c>
      <c r="Y112" s="191">
        <f t="shared" si="18"/>
        <v>7.1862847918836348E-2</v>
      </c>
      <c r="Z112" s="191">
        <f t="shared" si="18"/>
        <v>0.1267304032881269</v>
      </c>
      <c r="AA112" s="191">
        <f t="shared" si="18"/>
        <v>1.368801886810922E-2</v>
      </c>
      <c r="AB112" s="191">
        <f t="shared" si="18"/>
        <v>0.16417121650085864</v>
      </c>
      <c r="AC112" s="189">
        <f t="shared" si="22"/>
        <v>33820.657337913268</v>
      </c>
      <c r="AD112" s="193">
        <f t="shared" si="22"/>
        <v>261498.72855380585</v>
      </c>
      <c r="AE112" s="190">
        <f t="shared" si="22"/>
        <v>146.75197808342145</v>
      </c>
      <c r="AF112" s="190">
        <f t="shared" si="22"/>
        <v>539.44385348606579</v>
      </c>
      <c r="AG112" s="190">
        <f t="shared" si="22"/>
        <v>3241.0459931480509</v>
      </c>
      <c r="AH112" s="190">
        <f t="shared" si="22"/>
        <v>244.73617632737151</v>
      </c>
      <c r="AI112" s="190">
        <f t="shared" si="22"/>
        <v>496.76084477456033</v>
      </c>
      <c r="AJ112" s="191">
        <f>DamodaranUS!$V112-DamodaranUS!$X112</f>
        <v>0.28451525648751452</v>
      </c>
      <c r="AK112" s="191">
        <f>DamodaranUS!$V112-DamodaranUS!$Y112</f>
        <v>0.21094023398377026</v>
      </c>
    </row>
    <row r="113" spans="1:37">
      <c r="A113" s="197">
        <v>2020</v>
      </c>
      <c r="B113" s="181">
        <f>('[1]S&amp;P 500 &amp; Raw Data'!B96-'[1]S&amp;P 500 &amp; Raw Data'!B95+'[1]S&amp;P 500 &amp; Raw Data'!C96)/'[1]S&amp;P 500 &amp; Raw Data'!B95</f>
        <v>0.18023201827422478</v>
      </c>
      <c r="C113" s="181">
        <f>'[1]Small Cap'!B94</f>
        <v>0.34159999999999996</v>
      </c>
      <c r="D113" s="181">
        <f>'[1]T. Bill rates'!C98</f>
        <v>3.5999999999999999E-3</v>
      </c>
      <c r="E113" s="181">
        <f>'[1]S&amp;P 500 &amp; Raw Data'!F96</f>
        <v>0.1133189764661412</v>
      </c>
      <c r="F113" s="181">
        <f>'[1]S&amp;P 500 &amp; Raw Data'!J96</f>
        <v>0.10601187472880443</v>
      </c>
      <c r="G113" s="181">
        <f>'[1]Home Prices'!B96/'[1]Home Prices'!B95-1</f>
        <v>0.10426620677957033</v>
      </c>
      <c r="H113" s="181">
        <f>'[1]Gold Prices'!B95/'[1]Gold Prices'!B94-1</f>
        <v>0.24169402495075509</v>
      </c>
      <c r="I113" s="182">
        <f t="shared" si="21"/>
        <v>592914.79859087302</v>
      </c>
      <c r="J113" s="183">
        <f t="shared" si="21"/>
        <v>5139183.8548246957</v>
      </c>
      <c r="K113" s="183">
        <f t="shared" si="21"/>
        <v>2187.6985044889439</v>
      </c>
      <c r="L113" s="183">
        <f t="shared" si="21"/>
        <v>8920.9008833408589</v>
      </c>
      <c r="M113" s="183">
        <f t="shared" si="21"/>
        <v>53246.104149668463</v>
      </c>
      <c r="N113" s="183">
        <f t="shared" si="21"/>
        <v>4014.3460354107201</v>
      </c>
      <c r="O113" s="183">
        <f t="shared" si="21"/>
        <v>9162.3062015503838</v>
      </c>
      <c r="P113" s="184">
        <f t="shared" si="15"/>
        <v>0.17663201827422478</v>
      </c>
      <c r="Q113" s="184">
        <f t="shared" si="16"/>
        <v>6.6913041808083579E-2</v>
      </c>
      <c r="R113" s="198">
        <f>DamodaranUS!$C113-DamodaranUS!$B113</f>
        <v>0.16136798172577518</v>
      </c>
      <c r="S113" s="198">
        <f t="shared" si="17"/>
        <v>7.422014354542035E-2</v>
      </c>
      <c r="T113" s="185">
        <f t="shared" si="9"/>
        <v>4.8442663414424603E-2</v>
      </c>
      <c r="U113" s="187">
        <f>'[1]Inflation Rate'!C118</f>
        <v>1.36201E-2</v>
      </c>
      <c r="V113" s="199">
        <f t="shared" si="18"/>
        <v>0.16437313967454337</v>
      </c>
      <c r="W113" s="199">
        <f t="shared" si="18"/>
        <v>0.32357280602466343</v>
      </c>
      <c r="X113" s="199">
        <f t="shared" si="18"/>
        <v>-9.8854590590695679E-3</v>
      </c>
      <c r="Y113" s="199">
        <f t="shared" si="18"/>
        <v>9.835921413371862E-2</v>
      </c>
      <c r="Z113" s="199">
        <f t="shared" si="18"/>
        <v>9.1150298547556741E-2</v>
      </c>
      <c r="AA113" s="199">
        <f t="shared" si="18"/>
        <v>8.9428087287900304E-2</v>
      </c>
      <c r="AB113" s="191">
        <f t="shared" si="18"/>
        <v>0.22500927610921995</v>
      </c>
      <c r="AC113" s="189">
        <f t="shared" si="22"/>
        <v>39379.864970402952</v>
      </c>
      <c r="AD113" s="193">
        <f t="shared" si="22"/>
        <v>346112.60592384258</v>
      </c>
      <c r="AE113" s="190">
        <f t="shared" si="22"/>
        <v>145.30126741224032</v>
      </c>
      <c r="AF113" s="190">
        <f t="shared" si="22"/>
        <v>592.5031269842201</v>
      </c>
      <c r="AG113" s="190">
        <f t="shared" si="22"/>
        <v>3536.4683030298584</v>
      </c>
      <c r="AH113" s="190">
        <f t="shared" si="22"/>
        <v>266.62246446648265</v>
      </c>
      <c r="AI113" s="190">
        <f t="shared" si="22"/>
        <v>608.53664285668867</v>
      </c>
      <c r="AJ113" s="191">
        <f>DamodaranUS!$V113-DamodaranUS!$X113</f>
        <v>0.17425859873361293</v>
      </c>
      <c r="AK113" s="191">
        <f>DamodaranUS!$V113-DamodaranUS!$Y113</f>
        <v>6.6013925540824747E-2</v>
      </c>
    </row>
    <row r="114" spans="1:37">
      <c r="A114" s="197">
        <v>2021</v>
      </c>
      <c r="B114" s="181">
        <f>('[1]S&amp;P 500 &amp; Raw Data'!B97-'[1]S&amp;P 500 &amp; Raw Data'!B96+'[1]S&amp;P 500 &amp; Raw Data'!C97)/'[1]S&amp;P 500 &amp; Raw Data'!B96</f>
        <v>0.28468851751964158</v>
      </c>
      <c r="C114" s="181">
        <f>'[1]Small Cap'!B95</f>
        <v>0.22409999999999999</v>
      </c>
      <c r="D114" s="181">
        <f>'[1]T. Bill rates'!C99</f>
        <v>4.0000000000000002E-4</v>
      </c>
      <c r="E114" s="181">
        <f>'[1]S&amp;P 500 &amp; Raw Data'!F97</f>
        <v>-4.416034448604475E-2</v>
      </c>
      <c r="F114" s="181">
        <f>'[1]S&amp;P 500 &amp; Raw Data'!J97</f>
        <v>1.016099565776583E-2</v>
      </c>
      <c r="G114" s="181">
        <f>'[1]Home Prices'!B97/'[1]Home Prices'!B96-1</f>
        <v>0.1886462360360821</v>
      </c>
      <c r="H114" s="181">
        <f>'[1]Gold Prices'!B96/'[1]Gold Prices'!B95-1</f>
        <v>-3.7544286394162185E-2</v>
      </c>
      <c r="I114" s="182">
        <f t="shared" si="21"/>
        <v>761710.83361716557</v>
      </c>
      <c r="J114" s="183">
        <f t="shared" si="21"/>
        <v>6290874.9566909103</v>
      </c>
      <c r="K114" s="183">
        <f t="shared" si="21"/>
        <v>2188.5735838907394</v>
      </c>
      <c r="L114" s="183">
        <f t="shared" si="21"/>
        <v>8526.9508272066651</v>
      </c>
      <c r="M114" s="183">
        <f t="shared" si="21"/>
        <v>53787.137582726187</v>
      </c>
      <c r="N114" s="183">
        <f t="shared" si="21"/>
        <v>4771.6373051373212</v>
      </c>
      <c r="O114" s="183">
        <f t="shared" si="21"/>
        <v>8818.3139534883685</v>
      </c>
      <c r="P114" s="184">
        <f t="shared" si="15"/>
        <v>0.28428851751964157</v>
      </c>
      <c r="Q114" s="184">
        <f t="shared" si="16"/>
        <v>0.3288488620056863</v>
      </c>
      <c r="R114" s="198">
        <f>DamodaranUS!$C114-DamodaranUS!$B114</f>
        <v>-6.0588517519641588E-2</v>
      </c>
      <c r="S114" s="198">
        <f t="shared" si="17"/>
        <v>0.27452752186187573</v>
      </c>
      <c r="T114" s="185">
        <f t="shared" si="9"/>
        <v>5.1322006296357525E-2</v>
      </c>
      <c r="U114" s="187">
        <f>'[1]Inflation Rate'!C119</f>
        <v>7.036400000000001E-2</v>
      </c>
      <c r="V114" s="199">
        <f t="shared" si="18"/>
        <v>0.20023517001659386</v>
      </c>
      <c r="W114" s="199">
        <f t="shared" si="18"/>
        <v>0.14362964374736054</v>
      </c>
      <c r="X114" s="199">
        <f t="shared" si="18"/>
        <v>-6.5364679679062565E-2</v>
      </c>
      <c r="Y114" s="199">
        <f t="shared" si="18"/>
        <v>-0.10699569911361451</v>
      </c>
      <c r="Z114" s="199">
        <f t="shared" si="18"/>
        <v>-5.6245356105244948E-2</v>
      </c>
      <c r="AA114" s="199">
        <f>(1+G114)/(1+$U114)-1</f>
        <v>0.11050655294468248</v>
      </c>
      <c r="AB114" s="191">
        <f t="shared" si="18"/>
        <v>-0.10081456999129479</v>
      </c>
      <c r="AC114" s="189">
        <f t="shared" si="22"/>
        <v>47265.098927982093</v>
      </c>
      <c r="AD114" s="193">
        <f t="shared" si="22"/>
        <v>395824.63620915468</v>
      </c>
      <c r="AE114" s="190">
        <f t="shared" si="22"/>
        <v>135.80369661087741</v>
      </c>
      <c r="AF114" s="190">
        <f t="shared" si="22"/>
        <v>529.10784068554074</v>
      </c>
      <c r="AG114" s="190">
        <f t="shared" si="22"/>
        <v>3337.5583839710325</v>
      </c>
      <c r="AH114" s="190">
        <f t="shared" si="22"/>
        <v>296.08599395228975</v>
      </c>
      <c r="AI114" s="190">
        <f t="shared" si="22"/>
        <v>547.18728288314549</v>
      </c>
      <c r="AJ114" s="191">
        <f>DamodaranUS!$V114-DamodaranUS!$X114</f>
        <v>0.26559984969565642</v>
      </c>
      <c r="AK114" s="191">
        <f>DamodaranUS!$V114-DamodaranUS!$Y114</f>
        <v>0.30723086913020836</v>
      </c>
    </row>
    <row r="115" spans="1:37">
      <c r="A115" s="197">
        <v>2022</v>
      </c>
      <c r="B115" s="181">
        <f>('[1]S&amp;P 500 &amp; Raw Data'!B98-'[1]S&amp;P 500 &amp; Raw Data'!B97+'[1]S&amp;P 500 &amp; Raw Data'!C98)/'[1]S&amp;P 500 &amp; Raw Data'!B97</f>
        <v>-0.18037505927178585</v>
      </c>
      <c r="C115" s="181">
        <f>'[1]Small Cap'!B96</f>
        <v>-0.22899999999999998</v>
      </c>
      <c r="D115" s="181">
        <f>'[1]T. Bill rates'!C100</f>
        <v>2.0899999999999998E-2</v>
      </c>
      <c r="E115" s="181">
        <f>'[1]S&amp;P 500 &amp; Raw Data'!F98</f>
        <v>-0.1782817153825067</v>
      </c>
      <c r="F115" s="181">
        <f>'[1]S&amp;P 500 &amp; Raw Data'!J98</f>
        <v>-0.15228134867768467</v>
      </c>
      <c r="G115" s="181">
        <f>'[1]Home Prices'!B98/'[1]Home Prices'!B97-1</f>
        <v>5.6518430235059203E-2</v>
      </c>
      <c r="H115" s="181">
        <f>'[1]Gold Prices'!B97/'[1]Gold Prices'!B96-1</f>
        <v>5.494203615185933E-3</v>
      </c>
      <c r="I115" s="182">
        <f>I114*(1+B115)</f>
        <v>624317.19685550791</v>
      </c>
      <c r="J115" s="183">
        <f t="shared" si="21"/>
        <v>4850264.591608692</v>
      </c>
      <c r="K115" s="183">
        <f t="shared" si="21"/>
        <v>2234.3147717940556</v>
      </c>
      <c r="L115" s="183">
        <f t="shared" si="21"/>
        <v>7006.751406749976</v>
      </c>
      <c r="M115" s="183">
        <f t="shared" si="21"/>
        <v>45596.35973011647</v>
      </c>
      <c r="N115" s="200">
        <f t="shared" si="21"/>
        <v>5041.3227552747303</v>
      </c>
      <c r="O115" s="183">
        <f t="shared" si="21"/>
        <v>8866.7635658914696</v>
      </c>
      <c r="P115" s="184">
        <f>B115-D115</f>
        <v>-0.20127505927178585</v>
      </c>
      <c r="Q115" s="184">
        <f>B115-E115</f>
        <v>-2.0933438892791478E-3</v>
      </c>
      <c r="R115" s="198">
        <f>DamodaranUS!$C115-DamodaranUS!$B115</f>
        <v>-4.8624940728214133E-2</v>
      </c>
      <c r="S115" s="198">
        <f t="shared" si="17"/>
        <v>-2.8093710594101179E-2</v>
      </c>
      <c r="T115" s="185">
        <f>((I115/100)^(1/(A115-$A$21+1)))-((L115/100)^(1/(A115-$A$21+1)))</f>
        <v>5.0609420169760888E-2</v>
      </c>
      <c r="U115" s="187">
        <f>'[1]Inflation Rate'!C120</f>
        <v>6.454399999999999E-2</v>
      </c>
      <c r="V115" s="199">
        <f t="shared" si="18"/>
        <v>-0.23006945628530695</v>
      </c>
      <c r="W115" s="199">
        <f t="shared" si="18"/>
        <v>-0.27574623500766515</v>
      </c>
      <c r="X115" s="199">
        <f t="shared" si="18"/>
        <v>-4.0997835693029172E-2</v>
      </c>
      <c r="Y115" s="199">
        <f t="shared" si="18"/>
        <v>-0.22810303320718228</v>
      </c>
      <c r="Z115" s="199">
        <f t="shared" si="18"/>
        <v>-0.20367908576600358</v>
      </c>
      <c r="AA115" s="199">
        <f>(1+G115)/(1+$U115)-1</f>
        <v>-7.5389742133163962E-3</v>
      </c>
      <c r="AB115" s="199">
        <f t="shared" si="18"/>
        <v>-5.5469568552181991E-2</v>
      </c>
      <c r="AC115" s="189">
        <f t="shared" si="22"/>
        <v>36390.843316350009</v>
      </c>
      <c r="AD115" s="193">
        <f t="shared" si="22"/>
        <v>286677.48305120156</v>
      </c>
      <c r="AE115" s="190">
        <f t="shared" si="22"/>
        <v>130.23603897071868</v>
      </c>
      <c r="AF115" s="190">
        <f t="shared" si="22"/>
        <v>408.41673733146632</v>
      </c>
      <c r="AG115" s="190">
        <f t="shared" si="22"/>
        <v>2657.7675436331524</v>
      </c>
      <c r="AH115" s="201">
        <f t="shared" si="22"/>
        <v>293.85380927895926</v>
      </c>
      <c r="AI115" s="190">
        <f t="shared" si="22"/>
        <v>516.83504038437661</v>
      </c>
      <c r="AJ115" s="191">
        <f>DamodaranUS!$V115-DamodaranUS!$X115</f>
        <v>-0.18907162059227778</v>
      </c>
      <c r="AK115" s="191">
        <f>DamodaranUS!$V115-DamodaranUS!$Y115</f>
        <v>-1.9664230781246683E-3</v>
      </c>
    </row>
    <row r="116" spans="1:37">
      <c r="A116" s="197">
        <v>2023</v>
      </c>
      <c r="B116" s="181">
        <f>('[1]S&amp;P 500 &amp; Raw Data'!B99-'[1]S&amp;P 500 &amp; Raw Data'!B98+'[1]S&amp;P 500 &amp; Raw Data'!C99)/'[1]S&amp;P 500 &amp; Raw Data'!B98</f>
        <v>0.26060684985024096</v>
      </c>
      <c r="C116" s="181">
        <f>'[1]Small Cap'!B97</f>
        <v>5.1900000000000002E-2</v>
      </c>
      <c r="D116" s="181">
        <f>'[1]T. Bill rates'!C101</f>
        <v>5.28E-2</v>
      </c>
      <c r="E116" s="181">
        <f>'[1]S&amp;P 500 &amp; Raw Data'!F99</f>
        <v>3.8800000000000001E-2</v>
      </c>
      <c r="F116" s="181">
        <f>'[1]S&amp;P 500 &amp; Raw Data'!J99</f>
        <v>8.7356722013658433E-2</v>
      </c>
      <c r="G116" s="181">
        <f>'[1]Home Prices'!B99/'[1]Home Prices'!B98-1</f>
        <v>5.678404936325232E-2</v>
      </c>
      <c r="H116" s="181">
        <f>'[1]Gold Prices'!B98/'[1]Gold Prices'!B97-1</f>
        <v>0.13262116824217252</v>
      </c>
      <c r="I116" s="182">
        <f>I115*(1+B116)</f>
        <v>787018.53483535454</v>
      </c>
      <c r="J116" s="183">
        <f t="shared" si="21"/>
        <v>5101993.3239131831</v>
      </c>
      <c r="K116" s="183">
        <f t="shared" si="21"/>
        <v>2352.2865917447816</v>
      </c>
      <c r="L116" s="183">
        <f t="shared" si="21"/>
        <v>7278.6133613318743</v>
      </c>
      <c r="M116" s="183">
        <f t="shared" si="21"/>
        <v>49579.508251895022</v>
      </c>
      <c r="N116" s="200">
        <f t="shared" si="21"/>
        <v>5327.5894754663377</v>
      </c>
      <c r="O116" s="200">
        <f t="shared" si="21"/>
        <v>10042.684108527128</v>
      </c>
      <c r="P116" s="184">
        <f>B116-D116</f>
        <v>0.20780684985024095</v>
      </c>
      <c r="Q116" s="184">
        <f>B116-E116</f>
        <v>0.22180684985024096</v>
      </c>
      <c r="R116" s="198">
        <f>DamodaranUS!$C116-DamodaranUS!$B116</f>
        <v>-0.20870684985024096</v>
      </c>
      <c r="S116" s="198">
        <f>B116-F116</f>
        <v>0.17325012783658253</v>
      </c>
      <c r="T116" s="185">
        <f>((I116/100)^(1/(A116-$A$21+1)))-((L116/100)^(1/(A116-$A$21+1)))</f>
        <v>5.2277478113130105E-2</v>
      </c>
      <c r="U116" s="187">
        <f>'[1]Inflation Rate'!C121</f>
        <v>3.3521200000000001E-2</v>
      </c>
      <c r="V116" s="199">
        <f>(1+B116)/(1+$U116)-1</f>
        <v>0.21972035972773551</v>
      </c>
      <c r="W116" s="199">
        <f t="shared" ref="W116:Z117" si="23">(1+C116)/(1+$U116)-1</f>
        <v>1.7782702473834178E-2</v>
      </c>
      <c r="X116" s="199">
        <f t="shared" si="23"/>
        <v>1.8653511896998376E-2</v>
      </c>
      <c r="Y116" s="199">
        <f t="shared" si="23"/>
        <v>5.1075875366657364E-3</v>
      </c>
      <c r="Z116" s="199">
        <f t="shared" si="23"/>
        <v>5.2089422078287706E-2</v>
      </c>
      <c r="AA116" s="199">
        <f>(1+G116)/(1+$U116)-1</f>
        <v>2.2508342705744422E-2</v>
      </c>
      <c r="AB116" s="199">
        <f>(1+H116)/(1+$U116)-1</f>
        <v>9.5885762422843746E-2</v>
      </c>
      <c r="AC116" s="189">
        <f t="shared" si="22"/>
        <v>44386.652500614095</v>
      </c>
      <c r="AD116" s="193">
        <f t="shared" si="22"/>
        <v>291775.38343824871</v>
      </c>
      <c r="AE116" s="190">
        <f t="shared" si="22"/>
        <v>132.66539847307692</v>
      </c>
      <c r="AF116" s="190">
        <f t="shared" si="22"/>
        <v>410.5027615688262</v>
      </c>
      <c r="AG116" s="190">
        <f t="shared" si="22"/>
        <v>2796.2091189994335</v>
      </c>
      <c r="AH116" s="201">
        <f t="shared" si="22"/>
        <v>300.46797152359852</v>
      </c>
      <c r="AI116" s="201">
        <f t="shared" si="22"/>
        <v>566.39216227847385</v>
      </c>
      <c r="AJ116" s="191">
        <f>DamodaranUS!$V116-DamodaranUS!$X116</f>
        <v>0.20106684783073714</v>
      </c>
      <c r="AK116" s="191">
        <f>DamodaranUS!$V116-DamodaranUS!$Y116</f>
        <v>0.21461277219106978</v>
      </c>
    </row>
    <row r="117" spans="1:37">
      <c r="A117" s="202">
        <v>2024</v>
      </c>
      <c r="B117" s="181">
        <f>('[1]S&amp;P 500 &amp; Raw Data'!B100-'[1]S&amp;P 500 &amp; Raw Data'!B99+'[1]S&amp;P 500 &amp; Raw Data'!C100)/'[1]S&amp;P 500 &amp; Raw Data'!B99</f>
        <v>0.24878611262526726</v>
      </c>
      <c r="C117" s="203">
        <f>'[1]Small Cap'!B98</f>
        <v>8.6999999999999994E-2</v>
      </c>
      <c r="D117" s="181">
        <f>'[1]T. Bill rates'!C102</f>
        <v>5.1799999999999999E-2</v>
      </c>
      <c r="E117" s="181">
        <f>'[1]S&amp;P 500 &amp; Raw Data'!F100</f>
        <v>-1.6371801436629807E-2</v>
      </c>
      <c r="F117" s="203">
        <f>'[1]S&amp;P 500 &amp; Raw Data'!J100</f>
        <v>1.7363556037785111E-2</v>
      </c>
      <c r="G117" s="203">
        <f>'[1]Home Prices'!B100/'[1]Home Prices'!B99-1</f>
        <v>3.9634107131377494E-2</v>
      </c>
      <c r="H117" s="181">
        <f>'[1]Gold Prices'!B99/'[1]Gold Prices'!B98-1</f>
        <v>0.25957034171004567</v>
      </c>
      <c r="I117" s="182">
        <f>I116*(1+B117)</f>
        <v>982817.81668107596</v>
      </c>
      <c r="J117" s="183">
        <f t="shared" si="21"/>
        <v>5545866.7430936294</v>
      </c>
      <c r="K117" s="183">
        <f t="shared" si="21"/>
        <v>2474.1350371971616</v>
      </c>
      <c r="L117" s="183">
        <f t="shared" si="21"/>
        <v>7159.4493486461479</v>
      </c>
      <c r="M117" s="183">
        <f t="shared" si="21"/>
        <v>50440.384821752632</v>
      </c>
      <c r="N117" s="200">
        <f t="shared" si="21"/>
        <v>5538.7437274889699</v>
      </c>
      <c r="O117" s="200">
        <f t="shared" si="21"/>
        <v>12649.467054263559</v>
      </c>
      <c r="P117" s="184">
        <f>B117-D117</f>
        <v>0.19698611262526727</v>
      </c>
      <c r="Q117" s="184">
        <f>B117-E117</f>
        <v>0.26515791406189704</v>
      </c>
      <c r="R117" s="198">
        <f>DamodaranUS!$C117-DamodaranUS!$B117</f>
        <v>-0.16178611262526726</v>
      </c>
      <c r="S117" s="198">
        <f>B117-F117</f>
        <v>0.23142255658748215</v>
      </c>
      <c r="T117" s="185">
        <f>((I117/100)^(1/(A117-$A$21+1)))-((L117/100)^(1/(A117-$A$21+1)))</f>
        <v>5.4394706565341622E-2</v>
      </c>
      <c r="U117" s="187">
        <f>'[1]Inflation Rate'!C122</f>
        <v>2.8880599999999999E-2</v>
      </c>
      <c r="V117" s="199">
        <f>(1+B117)/(1+$U117)-1</f>
        <v>0.21373278165150289</v>
      </c>
      <c r="W117" s="199">
        <f>(1+C117)/(1+$U117)-1</f>
        <v>5.6487992873031079E-2</v>
      </c>
      <c r="X117" s="199">
        <f t="shared" si="23"/>
        <v>2.227605418937828E-2</v>
      </c>
      <c r="Y117" s="199">
        <f t="shared" si="23"/>
        <v>-4.3982169978352914E-2</v>
      </c>
      <c r="Z117" s="199">
        <f t="shared" si="23"/>
        <v>-1.1193761416256387E-2</v>
      </c>
      <c r="AA117" s="199">
        <f>(1+G117)/(1+$U117)-1</f>
        <v>1.0451657006048665E-2</v>
      </c>
      <c r="AB117" s="199">
        <f>(1+H117)/(1+$U117)-1</f>
        <v>0.22421429824806283</v>
      </c>
      <c r="AC117" s="189">
        <f t="shared" si="22"/>
        <v>53873.535207768982</v>
      </c>
      <c r="AD117" s="193">
        <f t="shared" si="22"/>
        <v>308257.18921843439</v>
      </c>
      <c r="AE117" s="190">
        <f t="shared" si="22"/>
        <v>135.62066007851865</v>
      </c>
      <c r="AF117" s="190">
        <f t="shared" si="22"/>
        <v>392.44795933292284</v>
      </c>
      <c r="AG117" s="190">
        <f t="shared" si="22"/>
        <v>2764.9090212513934</v>
      </c>
      <c r="AH117" s="201">
        <f t="shared" si="22"/>
        <v>303.60835970326639</v>
      </c>
      <c r="AI117" s="201">
        <f t="shared" si="22"/>
        <v>693.38538347694475</v>
      </c>
      <c r="AJ117" s="191">
        <f>DamodaranUS!$V117-DamodaranUS!$X117</f>
        <v>0.19145672746212461</v>
      </c>
      <c r="AK117" s="191">
        <f>DamodaranUS!$V117-DamodaranUS!$Y117</f>
        <v>0.2577149516298558</v>
      </c>
    </row>
    <row r="118" spans="1:37">
      <c r="A118" s="202">
        <v>2025</v>
      </c>
      <c r="B118" s="181">
        <f>('[1]S&amp;P 500 &amp; Raw Data'!B101-'[1]S&amp;P 500 &amp; Raw Data'!B100+'[1]S&amp;P 500 &amp; Raw Data'!C101)/'[1]S&amp;P 500 &amp; Raw Data'!B100</f>
        <v>0.17723658237597398</v>
      </c>
      <c r="C118" s="203">
        <f>'[1]Small Cap'!B99</f>
        <v>0.1653</v>
      </c>
      <c r="D118" s="181">
        <f>'[1]T. Bill rates'!C103</f>
        <v>4.2099999999999999E-2</v>
      </c>
      <c r="E118" s="181">
        <f>'[1]S&amp;P 500 &amp; Raw Data'!F101</f>
        <v>7.7954808707673962E-2</v>
      </c>
      <c r="F118" s="203">
        <f>'[1]S&amp;P 500 &amp; Raw Data'!J101</f>
        <v>6.9627320847848118E-2</v>
      </c>
      <c r="G118" s="203">
        <f>'[1]Home Prices'!B101/'[1]Home Prices'!B100-1</f>
        <v>1.5757065938450054E-2</v>
      </c>
      <c r="H118" s="181">
        <f>'[1]Gold Prices'!B100/'[1]Gold Prices'!B99-1</f>
        <v>0.66215791791945167</v>
      </c>
      <c r="I118" s="182">
        <f>I117*(1+B118)</f>
        <v>1157009.0876078464</v>
      </c>
      <c r="J118" s="192">
        <f>J117*(1+C118)</f>
        <v>6462598.5157270059</v>
      </c>
      <c r="K118" s="183">
        <f t="shared" ref="K118:O118" si="24">K117*(1+D118)</f>
        <v>2578.296122263162</v>
      </c>
      <c r="L118" s="183">
        <f t="shared" si="24"/>
        <v>7717.5628530721397</v>
      </c>
      <c r="M118" s="183">
        <f t="shared" si="24"/>
        <v>53952.413679425736</v>
      </c>
      <c r="N118" s="200">
        <f t="shared" si="24"/>
        <v>5626.0180776191901</v>
      </c>
      <c r="O118" s="200">
        <f t="shared" si="24"/>
        <v>21025.411821705417</v>
      </c>
      <c r="P118" s="184">
        <f>B118-D118</f>
        <v>0.13513658237597398</v>
      </c>
      <c r="Q118" s="184">
        <f>B118-E118</f>
        <v>9.9281773668300016E-2</v>
      </c>
      <c r="R118" s="198">
        <f>DamodaranUS!$C118-DamodaranUS!$B118</f>
        <v>-1.1936582375973975E-2</v>
      </c>
      <c r="S118" s="198">
        <f>B118-F118</f>
        <v>0.10760926152812586</v>
      </c>
      <c r="T118" s="185">
        <f>((I118/100)^(1/(A118-$A$21+1)))-((L118/100)^(1/(A118-$A$21+1)))</f>
        <v>5.4831292889428784E-2</v>
      </c>
      <c r="U118" s="187">
        <f>'[1]Inflation Rate'!C123</f>
        <v>2.7350799999999998E-2</v>
      </c>
      <c r="V118" s="199">
        <f>(1+B118)/(1+$U118)-1</f>
        <v>0.14589542576496184</v>
      </c>
      <c r="W118" s="199">
        <f>(1+C118)/(1+$U118)-1</f>
        <v>0.13427662683476771</v>
      </c>
      <c r="X118" s="199">
        <f>(1+D118)/(1+$U118)-1</f>
        <v>1.4356537221755339E-2</v>
      </c>
      <c r="Y118" s="199">
        <f>(1+E118)/(1+$U118)-1</f>
        <v>4.9256795933457109E-2</v>
      </c>
      <c r="Z118" s="199">
        <f>(1+F118)/(1+$U118)-1</f>
        <v>4.1151007862015643E-2</v>
      </c>
      <c r="AA118" s="199">
        <f>(1+G118)/(1+$U118)-1</f>
        <v>-1.1285078146189176E-2</v>
      </c>
      <c r="AB118" s="199">
        <f>(1+H118)/(1+$U118)-1</f>
        <v>0.61790687068083439</v>
      </c>
      <c r="AC118" s="189">
        <f t="shared" ref="AC118:AI118" si="25">AC117*(1+V118)</f>
        <v>61733.437564370099</v>
      </c>
      <c r="AD118" s="193">
        <f t="shared" si="25"/>
        <v>349648.92478425248</v>
      </c>
      <c r="AE118" s="190">
        <f t="shared" si="25"/>
        <v>137.56770313297494</v>
      </c>
      <c r="AF118" s="190">
        <f t="shared" si="25"/>
        <v>411.77868838028627</v>
      </c>
      <c r="AG118" s="190">
        <f t="shared" si="25"/>
        <v>2878.6878141226675</v>
      </c>
      <c r="AH118" s="201">
        <f t="shared" si="25"/>
        <v>300.18211563817869</v>
      </c>
      <c r="AI118" s="201">
        <f t="shared" si="25"/>
        <v>1121.832975957014</v>
      </c>
      <c r="AJ118" s="191">
        <f>DamodaranUS!$V118-DamodaranUS!$X118</f>
        <v>0.1315388885432065</v>
      </c>
      <c r="AK118" s="191">
        <f>DamodaranUS!$V118-DamodaranUS!$Y118</f>
        <v>9.663862983150473E-2</v>
      </c>
    </row>
    <row r="119" spans="1:37" ht="17" thickBot="1">
      <c r="A119" s="204"/>
      <c r="B119" s="205"/>
      <c r="C119" s="205"/>
      <c r="D119" s="205"/>
      <c r="E119" s="205"/>
      <c r="F119" s="205"/>
      <c r="G119" s="205"/>
      <c r="H119" s="205"/>
      <c r="I119" s="206"/>
      <c r="J119" s="207"/>
      <c r="K119" s="208"/>
      <c r="L119" s="208"/>
      <c r="M119" s="208"/>
      <c r="N119" s="208"/>
      <c r="O119" s="208"/>
      <c r="P119" s="206"/>
      <c r="Q119" s="206"/>
      <c r="R119" s="198"/>
      <c r="S119" s="198"/>
      <c r="T119" s="198"/>
      <c r="U119" s="199"/>
      <c r="V119" s="199"/>
      <c r="W119" s="199"/>
      <c r="X119" s="199"/>
      <c r="Y119" s="199"/>
      <c r="Z119" s="199"/>
      <c r="AA119" s="199"/>
      <c r="AB119" s="199"/>
    </row>
    <row r="120" spans="1:37" ht="17" thickBot="1">
      <c r="A120" s="271" t="s">
        <v>358</v>
      </c>
      <c r="B120" s="272"/>
      <c r="C120" s="272"/>
      <c r="D120" s="272"/>
      <c r="E120" s="272"/>
      <c r="F120" s="272"/>
      <c r="G120" s="272"/>
      <c r="H120" s="273"/>
      <c r="I120" s="209"/>
      <c r="J120" s="209"/>
      <c r="K120" s="209"/>
      <c r="L120" s="274" t="s">
        <v>359</v>
      </c>
      <c r="M120" s="275"/>
      <c r="N120" s="276" t="s">
        <v>360</v>
      </c>
      <c r="O120" s="277"/>
      <c r="Q120" s="278" t="s">
        <v>361</v>
      </c>
      <c r="R120" s="279"/>
      <c r="S120" s="161"/>
      <c r="U120" s="271" t="s">
        <v>362</v>
      </c>
      <c r="V120" s="272"/>
      <c r="W120" s="272"/>
      <c r="X120" s="272"/>
      <c r="Y120" s="272"/>
      <c r="Z120" s="272"/>
      <c r="AA120" s="272"/>
      <c r="AB120" s="273"/>
    </row>
    <row r="121" spans="1:37" ht="69" thickBot="1">
      <c r="A121" s="210" t="s">
        <v>363</v>
      </c>
      <c r="B121" s="211">
        <f t="shared" ref="B121:H121" si="26">AVERAGE(B21:B118)</f>
        <v>0.11854651059830723</v>
      </c>
      <c r="C121" s="211">
        <f t="shared" si="26"/>
        <v>0.17775204081632645</v>
      </c>
      <c r="D121" s="211">
        <f t="shared" si="26"/>
        <v>3.4149460142360512E-2</v>
      </c>
      <c r="E121" s="211">
        <f t="shared" si="26"/>
        <v>4.8223616587018812E-2</v>
      </c>
      <c r="F121" s="211">
        <f t="shared" si="26"/>
        <v>6.9019176418881417E-2</v>
      </c>
      <c r="G121" s="211">
        <f t="shared" si="26"/>
        <v>4.3778034381844015E-2</v>
      </c>
      <c r="H121" s="211">
        <f t="shared" si="26"/>
        <v>7.360957346469868E-2</v>
      </c>
      <c r="I121" s="212"/>
      <c r="J121" s="212"/>
      <c r="K121" s="212"/>
      <c r="L121" s="178" t="s">
        <v>364</v>
      </c>
      <c r="M121" s="178" t="s">
        <v>365</v>
      </c>
      <c r="N121" s="210" t="s">
        <v>364</v>
      </c>
      <c r="O121" s="178" t="s">
        <v>365</v>
      </c>
      <c r="Q121" s="213" t="s">
        <v>366</v>
      </c>
      <c r="R121" s="213" t="s">
        <v>367</v>
      </c>
      <c r="S121" s="161"/>
      <c r="U121" s="214"/>
      <c r="V121" s="215" t="s">
        <v>349</v>
      </c>
      <c r="W121" s="215" t="str">
        <f>DamodaranUS!$W$20</f>
        <v>US Small cap (bottom decile)22</v>
      </c>
      <c r="X121" s="215" t="s">
        <v>351</v>
      </c>
      <c r="Y121" s="215" t="s">
        <v>352</v>
      </c>
      <c r="Z121" s="215" t="s">
        <v>353</v>
      </c>
      <c r="AA121" s="215" t="s">
        <v>354</v>
      </c>
      <c r="AB121" s="215" t="s">
        <v>355</v>
      </c>
      <c r="AH121" s="276" t="s">
        <v>360</v>
      </c>
      <c r="AI121" s="277"/>
    </row>
    <row r="122" spans="1:37">
      <c r="A122" s="216" t="s">
        <v>368</v>
      </c>
      <c r="B122" s="191">
        <f>AVERAGE(B69:B118)</f>
        <v>0.13168705089926344</v>
      </c>
      <c r="C122" s="191">
        <f t="shared" ref="C122:H122" si="27">AVERAGE(C69:C118)</f>
        <v>0.14785200000000001</v>
      </c>
      <c r="D122" s="191">
        <f t="shared" si="27"/>
        <v>4.3697641847907767E-2</v>
      </c>
      <c r="E122" s="191">
        <f t="shared" si="27"/>
        <v>6.6047218832329474E-2</v>
      </c>
      <c r="F122" s="191">
        <f t="shared" si="27"/>
        <v>8.8591509726134221E-2</v>
      </c>
      <c r="G122" s="191">
        <f t="shared" si="27"/>
        <v>5.3205468377808131E-2</v>
      </c>
      <c r="H122" s="191">
        <f t="shared" si="27"/>
        <v>9.3791211517899556E-2</v>
      </c>
      <c r="I122" s="166"/>
      <c r="J122" s="166"/>
      <c r="K122" s="166"/>
      <c r="L122" s="191">
        <f>B121-D121</f>
        <v>8.4397050455946726E-2</v>
      </c>
      <c r="M122" s="191">
        <f>B121-E121</f>
        <v>7.0322894011288412E-2</v>
      </c>
      <c r="N122" s="217">
        <f>STDEV(P21:P118)/(($A$117-$A$21+1)^0.5)</f>
        <v>2.0006045480970704E-2</v>
      </c>
      <c r="O122" s="217">
        <f>STDEV(Q21:Q117)/(($A$117-$A$21+1)^0.5)</f>
        <v>2.1243404039561403E-2</v>
      </c>
      <c r="Q122" s="218">
        <f>C121-B121</f>
        <v>5.920553021801922E-2</v>
      </c>
      <c r="R122" s="219">
        <f>STDEV(R21:R118)/(($A$117-$A$21+1)^0.5)</f>
        <v>2.7902960698906135E-2</v>
      </c>
      <c r="S122" s="161"/>
      <c r="U122" s="210" t="s">
        <v>363</v>
      </c>
      <c r="V122" s="217">
        <f>AVERAGE(V21:V118)</f>
        <v>8.6085265640025374E-2</v>
      </c>
      <c r="W122" s="217">
        <f t="shared" ref="W122:AB122" si="28">AVERAGE(W21:W118)</f>
        <v>0.14376314502064302</v>
      </c>
      <c r="X122" s="217">
        <f t="shared" si="28"/>
        <v>3.9827038836850711E-3</v>
      </c>
      <c r="Y122" s="217">
        <f t="shared" si="28"/>
        <v>1.833594540015657E-2</v>
      </c>
      <c r="Z122" s="217">
        <f t="shared" si="28"/>
        <v>3.855947925062167E-2</v>
      </c>
      <c r="AA122" s="217">
        <f t="shared" si="28"/>
        <v>1.2503694740057627E-2</v>
      </c>
      <c r="AB122" s="217">
        <f t="shared" si="28"/>
        <v>4.0701806449634476E-2</v>
      </c>
      <c r="AH122" s="210" t="s">
        <v>364</v>
      </c>
      <c r="AI122" s="210" t="s">
        <v>365</v>
      </c>
    </row>
    <row r="123" spans="1:37">
      <c r="A123" s="216" t="s">
        <v>369</v>
      </c>
      <c r="B123" s="191">
        <f>AVERAGE(B109:B118)</f>
        <v>0.15748087515437395</v>
      </c>
      <c r="C123" s="191">
        <f t="shared" ref="C123:H123" si="29">AVERAGE(C109:C118)</f>
        <v>9.1949999999999976E-2</v>
      </c>
      <c r="D123" s="191">
        <f t="shared" si="29"/>
        <v>2.2509999999999999E-2</v>
      </c>
      <c r="E123" s="191">
        <f t="shared" si="29"/>
        <v>1.2237197483352105E-2</v>
      </c>
      <c r="F123" s="191">
        <f t="shared" si="29"/>
        <v>4.6564713308358277E-2</v>
      </c>
      <c r="G123" s="191">
        <f t="shared" si="29"/>
        <v>6.5875804227888371E-2</v>
      </c>
      <c r="H123" s="191">
        <f t="shared" si="29"/>
        <v>0.16531353880300781</v>
      </c>
      <c r="I123" s="166"/>
      <c r="J123" s="166"/>
      <c r="K123" s="166"/>
      <c r="L123" s="191">
        <f>B122-D122</f>
        <v>8.7989409051355674E-2</v>
      </c>
      <c r="M123" s="191">
        <f>B122-E122</f>
        <v>6.5639832066933967E-2</v>
      </c>
      <c r="N123" s="191">
        <f>STDEV(P68:P117)/(($A$117-$A$68+1)^0.5)</f>
        <v>2.3013399602414136E-2</v>
      </c>
      <c r="O123" s="191">
        <f>STDEV(Q68:Q117)/(($A$117-$A$68+1)^0.5)</f>
        <v>2.6735589964522671E-2</v>
      </c>
      <c r="Q123" s="218">
        <f>C122-B122</f>
        <v>1.616494910073657E-2</v>
      </c>
      <c r="R123" s="218">
        <f>STDEV(R68:R117)/(($A$117-$A$68+1)^0.5)</f>
        <v>2.7623454522685373E-2</v>
      </c>
      <c r="S123" s="161"/>
      <c r="U123" s="216" t="s">
        <v>368</v>
      </c>
      <c r="V123" s="191">
        <f>AVERAGE(V69:V118)</f>
        <v>9.2659682318083553E-2</v>
      </c>
      <c r="W123" s="191">
        <f t="shared" ref="W123:AB123" si="30">AVERAGE(W69:W118)</f>
        <v>0.10765174466729283</v>
      </c>
      <c r="X123" s="191">
        <f t="shared" si="30"/>
        <v>7.2995085625152736E-3</v>
      </c>
      <c r="Y123" s="191">
        <f t="shared" si="30"/>
        <v>2.9952737164556157E-2</v>
      </c>
      <c r="Z123" s="191">
        <f t="shared" si="30"/>
        <v>5.1644446504175254E-2</v>
      </c>
      <c r="AA123" s="191">
        <f t="shared" si="30"/>
        <v>1.6488194105856443E-2</v>
      </c>
      <c r="AB123" s="191">
        <f t="shared" si="30"/>
        <v>5.4267297263284338E-2</v>
      </c>
      <c r="AH123" s="217">
        <f>STDEV(AJ22:AJ118)/(($A$118-$A$21+1)^0.5)</f>
        <v>1.9417538803082997E-2</v>
      </c>
      <c r="AI123" s="217">
        <f>STDEV(AK22:AK118)/(($A$118-$A$21+1)^0.5)</f>
        <v>2.0459200471776354E-2</v>
      </c>
    </row>
    <row r="124" spans="1:37" ht="17" thickBot="1">
      <c r="L124" s="199">
        <f>B123-D123</f>
        <v>0.13497087515437395</v>
      </c>
      <c r="M124" s="199">
        <f>B123-E123</f>
        <v>0.14524367767102184</v>
      </c>
      <c r="N124" s="191">
        <f>STDEV(P108:P117)/(($A$117-$A$108+1)^0.5)</f>
        <v>5.0359055344274546E-2</v>
      </c>
      <c r="O124" s="191">
        <f>STDEV(Q108:Q117)/(($A$117-$A$108+1)^0.5)</f>
        <v>4.0102345282608733E-2</v>
      </c>
      <c r="Q124" s="218">
        <f>C123-B123</f>
        <v>-6.5530875154373974E-2</v>
      </c>
      <c r="R124" s="218">
        <f>STDEV(R108:R117)/(($A$117-$A$108+1)^0.5)</f>
        <v>3.5800240729845861E-2</v>
      </c>
      <c r="S124" s="161"/>
      <c r="U124" s="216" t="s">
        <v>369</v>
      </c>
      <c r="V124" s="191">
        <f>AVERAGE(V109:V118)</f>
        <v>0.12224209489716764</v>
      </c>
      <c r="W124" s="191">
        <f t="shared" ref="W124:AB124" si="31">AVERAGE(W109:W118)</f>
        <v>5.9033042310973803E-2</v>
      </c>
      <c r="X124" s="191">
        <f t="shared" si="31"/>
        <v>-9.0627833464788869E-3</v>
      </c>
      <c r="Y124" s="191">
        <f t="shared" si="31"/>
        <v>-1.8017791170784715E-2</v>
      </c>
      <c r="Z124" s="191">
        <f t="shared" si="31"/>
        <v>1.5157405249884015E-2</v>
      </c>
      <c r="AA124" s="191">
        <f t="shared" si="31"/>
        <v>3.2512804745831778E-2</v>
      </c>
      <c r="AB124" s="191">
        <f t="shared" si="31"/>
        <v>0.13054596852655131</v>
      </c>
      <c r="AH124" s="191">
        <f>STDEV(AJ69:AJ118)/(($A$118-$A$69+1)^0.5)</f>
        <v>2.1924372585908371E-2</v>
      </c>
      <c r="AI124" s="191">
        <f>STDEV(AK69:AK118)/(($A$118-$A$69+1)^0.5)</f>
        <v>2.5445638312477054E-2</v>
      </c>
    </row>
    <row r="125" spans="1:37" ht="17" thickBot="1">
      <c r="A125" s="271" t="s">
        <v>370</v>
      </c>
      <c r="B125" s="272"/>
      <c r="C125" s="272"/>
      <c r="D125" s="272"/>
      <c r="E125" s="272"/>
      <c r="F125" s="272"/>
      <c r="G125" s="272"/>
      <c r="H125" s="273"/>
      <c r="I125" s="209"/>
      <c r="J125" s="209"/>
      <c r="K125" s="209"/>
      <c r="L125" s="283" t="s">
        <v>371</v>
      </c>
      <c r="M125" s="283"/>
      <c r="N125" s="220"/>
      <c r="O125" s="220"/>
      <c r="Q125" s="278" t="s">
        <v>372</v>
      </c>
      <c r="R125" s="279"/>
      <c r="S125" s="161"/>
      <c r="U125" s="271" t="s">
        <v>370</v>
      </c>
      <c r="V125" s="272"/>
      <c r="W125" s="272"/>
      <c r="X125" s="272"/>
      <c r="Y125" s="272"/>
      <c r="Z125" s="272"/>
      <c r="AA125" s="272"/>
      <c r="AB125" s="273"/>
      <c r="AC125" s="221"/>
      <c r="AD125" s="221"/>
      <c r="AH125" s="191">
        <f>STDEV(AJ109:AJ118)/(($A$118-$A$109+1)^0.5)</f>
        <v>4.6760654974350925E-2</v>
      </c>
      <c r="AI125" s="191">
        <f>STDEV(AK109:AK118)/(($A$118-$A$109+1)^0.5)</f>
        <v>3.5861148950711075E-2</v>
      </c>
    </row>
    <row r="126" spans="1:37" ht="34">
      <c r="A126" s="210" t="s">
        <v>363</v>
      </c>
      <c r="B126" s="222">
        <f>(I118/100)^(1/($A$118-$A$21+1))-1</f>
        <v>0.10017714854008042</v>
      </c>
      <c r="C126" s="222">
        <f t="shared" ref="C126:H126" si="32">(J118/100)^(1/($A$118-$A$21+1))-1</f>
        <v>0.11965903129298461</v>
      </c>
      <c r="D126" s="222">
        <f t="shared" si="32"/>
        <v>3.3716277675302608E-2</v>
      </c>
      <c r="E126" s="222">
        <f t="shared" si="32"/>
        <v>4.5345855650651634E-2</v>
      </c>
      <c r="F126" s="222">
        <f t="shared" si="32"/>
        <v>6.629571024862857E-2</v>
      </c>
      <c r="G126" s="222">
        <f t="shared" si="32"/>
        <v>4.1979549034999897E-2</v>
      </c>
      <c r="H126" s="222">
        <f t="shared" si="32"/>
        <v>5.6091323467329701E-2</v>
      </c>
      <c r="I126" s="223"/>
      <c r="J126" s="223"/>
      <c r="K126" s="223"/>
      <c r="L126" s="178" t="s">
        <v>364</v>
      </c>
      <c r="M126" s="178" t="s">
        <v>365</v>
      </c>
      <c r="Q126" s="213" t="s">
        <v>366</v>
      </c>
      <c r="R126" s="224"/>
      <c r="U126" s="210" t="s">
        <v>363</v>
      </c>
      <c r="V126" s="222">
        <f>(AC118/100)^(1/($A$118-$A$21+1))-1</f>
        <v>6.7762584297599071E-2</v>
      </c>
      <c r="W126" s="222">
        <f t="shared" ref="W126:AB126" si="33">(AD118/100)^(1/($A$118-$A$21+1))-1</f>
        <v>8.6824730661054117E-2</v>
      </c>
      <c r="X126" s="222">
        <f t="shared" si="33"/>
        <v>3.2598527843941127E-3</v>
      </c>
      <c r="Y126" s="222">
        <f t="shared" si="33"/>
        <v>1.4546788029074609E-2</v>
      </c>
      <c r="Z126" s="222">
        <f t="shared" si="33"/>
        <v>3.4879396205747648E-2</v>
      </c>
      <c r="AA126" s="222">
        <f t="shared" si="33"/>
        <v>1.1279663042670363E-2</v>
      </c>
      <c r="AB126" s="222">
        <f t="shared" si="33"/>
        <v>2.4975661688783068E-2</v>
      </c>
      <c r="AC126" s="221"/>
      <c r="AD126" s="221"/>
    </row>
    <row r="127" spans="1:37">
      <c r="A127" s="216" t="s">
        <v>368</v>
      </c>
      <c r="B127" s="188">
        <f>(I118/I68)^(1/($A$118-$A$68))-1</f>
        <v>0.11923769669423323</v>
      </c>
      <c r="C127" s="188">
        <f t="shared" ref="C127:H127" si="34">(J118/J68)^(1/($A$118-$A$68))-1</f>
        <v>0.12124341356417001</v>
      </c>
      <c r="D127" s="188">
        <f t="shared" si="34"/>
        <v>4.3139630992647282E-2</v>
      </c>
      <c r="E127" s="188">
        <f t="shared" si="34"/>
        <v>6.1320982944159219E-2</v>
      </c>
      <c r="F127" s="188">
        <f t="shared" si="34"/>
        <v>8.5407652670947964E-2</v>
      </c>
      <c r="G127" s="188">
        <f t="shared" si="34"/>
        <v>5.1653768615040452E-2</v>
      </c>
      <c r="H127" s="188">
        <f t="shared" si="34"/>
        <v>7.1053159522401987E-2</v>
      </c>
      <c r="I127" s="223"/>
      <c r="J127" s="223"/>
      <c r="K127" s="223"/>
      <c r="L127" s="191">
        <f>B126-D126</f>
        <v>6.646087086477781E-2</v>
      </c>
      <c r="M127" s="199">
        <f>B126-E126</f>
        <v>5.4831292889428784E-2</v>
      </c>
      <c r="N127" s="166"/>
      <c r="O127" s="166"/>
      <c r="Q127" s="218">
        <f>C126-B126</f>
        <v>1.9481882752904189E-2</v>
      </c>
      <c r="R127" s="166"/>
      <c r="U127" s="216" t="s">
        <v>368</v>
      </c>
      <c r="V127" s="188">
        <f>(AC118/AC68)^(1/($A$118-$A$68))-1</f>
        <v>8.0415829064548694E-2</v>
      </c>
      <c r="W127" s="188">
        <f t="shared" ref="W127:AB127" si="35">(AD118/AD68)^(1/($A$118-$A$68))-1</f>
        <v>8.2351975659058496E-2</v>
      </c>
      <c r="X127" s="188">
        <f t="shared" si="35"/>
        <v>6.9573001139744406E-3</v>
      </c>
      <c r="Y127" s="188">
        <f t="shared" si="35"/>
        <v>2.4508013872299061E-2</v>
      </c>
      <c r="Z127" s="188">
        <f t="shared" si="35"/>
        <v>4.7759213612207141E-2</v>
      </c>
      <c r="AA127" s="188">
        <f t="shared" si="35"/>
        <v>1.517611644337169E-2</v>
      </c>
      <c r="AB127" s="188">
        <f t="shared" si="35"/>
        <v>3.3902620270422679E-2</v>
      </c>
      <c r="AC127" s="221"/>
      <c r="AD127" s="221"/>
    </row>
    <row r="128" spans="1:37">
      <c r="A128" s="216" t="s">
        <v>369</v>
      </c>
      <c r="B128" s="188">
        <f>(I118/I108)^(1/($A$118-$A$108))-1</f>
        <v>0.14678457455054938</v>
      </c>
      <c r="C128" s="188">
        <f t="shared" ref="C128:H128" si="36">(J118/J108)^(1/($A$118-$A$108))-1</f>
        <v>7.8619968584105804E-2</v>
      </c>
      <c r="D128" s="188">
        <f t="shared" si="36"/>
        <v>2.2336936808812435E-2</v>
      </c>
      <c r="E128" s="188">
        <f t="shared" si="36"/>
        <v>8.9181554879824709E-3</v>
      </c>
      <c r="F128" s="188">
        <f t="shared" si="36"/>
        <v>4.2909742075804225E-2</v>
      </c>
      <c r="G128" s="188">
        <f t="shared" si="36"/>
        <v>6.4920055612903926E-2</v>
      </c>
      <c r="H128" s="188">
        <f t="shared" si="36"/>
        <v>0.1513697999584005</v>
      </c>
      <c r="I128" s="223"/>
      <c r="J128" s="223"/>
      <c r="K128" s="223"/>
      <c r="L128" s="225">
        <f>B127-D127</f>
        <v>7.6098065701585949E-2</v>
      </c>
      <c r="M128" s="226">
        <f>B127-E127</f>
        <v>5.7916713750074011E-2</v>
      </c>
      <c r="N128" s="166"/>
      <c r="O128" s="166"/>
      <c r="P128" s="227"/>
      <c r="Q128" s="218">
        <f>C127-B127</f>
        <v>2.00571686993678E-3</v>
      </c>
      <c r="R128" s="166"/>
      <c r="U128" s="216" t="s">
        <v>369</v>
      </c>
      <c r="V128" s="188">
        <f>(AC118/AC108)^(1/($A$118-$A$108))-1</f>
        <v>0.11117710635233591</v>
      </c>
      <c r="W128" s="188">
        <f t="shared" ref="W128:AB128" si="37">(AD118/AD108)^(1/($A$118-$A$108))-1</f>
        <v>4.5128999938692127E-2</v>
      </c>
      <c r="X128" s="188">
        <f t="shared" si="37"/>
        <v>-9.4064531644487692E-3</v>
      </c>
      <c r="Y128" s="188">
        <f t="shared" si="37"/>
        <v>-2.2408583581749242E-2</v>
      </c>
      <c r="Z128" s="188">
        <f t="shared" si="37"/>
        <v>1.052756995849502E-2</v>
      </c>
      <c r="AA128" s="188">
        <f t="shared" si="37"/>
        <v>3.1854466961489303E-2</v>
      </c>
      <c r="AB128" s="188">
        <f t="shared" si="37"/>
        <v>0.11561996128231811</v>
      </c>
      <c r="AC128" s="221"/>
      <c r="AD128" s="221"/>
    </row>
    <row r="129" spans="1:18">
      <c r="L129" s="228">
        <f>B128-D128</f>
        <v>0.12444763774173695</v>
      </c>
      <c r="M129" s="191">
        <f>B128-E128</f>
        <v>0.13786641906256691</v>
      </c>
      <c r="N129" s="166"/>
      <c r="O129" s="166"/>
      <c r="Q129" s="218">
        <f>C128-B128</f>
        <v>-6.8164605966443581E-2</v>
      </c>
      <c r="R129" s="166"/>
    </row>
    <row r="130" spans="1:18">
      <c r="A130" s="151" t="s">
        <v>373</v>
      </c>
    </row>
    <row r="131" spans="1:18">
      <c r="A131" s="151" t="s">
        <v>374</v>
      </c>
    </row>
  </sheetData>
  <mergeCells count="25">
    <mergeCell ref="AH121:AI121"/>
    <mergeCell ref="A125:H125"/>
    <mergeCell ref="L125:M125"/>
    <mergeCell ref="Q125:R125"/>
    <mergeCell ref="U125:AB125"/>
    <mergeCell ref="U19:AB19"/>
    <mergeCell ref="AC19:AI19"/>
    <mergeCell ref="AJ19:AK19"/>
    <mergeCell ref="A120:H120"/>
    <mergeCell ref="L120:M120"/>
    <mergeCell ref="N120:O120"/>
    <mergeCell ref="Q120:R120"/>
    <mergeCell ref="U120:AB120"/>
    <mergeCell ref="P19:T19"/>
    <mergeCell ref="B6:K6"/>
    <mergeCell ref="B7:K7"/>
    <mergeCell ref="G9:K10"/>
    <mergeCell ref="B19:H19"/>
    <mergeCell ref="I19:O19"/>
    <mergeCell ref="B5:K5"/>
    <mergeCell ref="B1:K1"/>
    <mergeCell ref="B2:K2"/>
    <mergeCell ref="B3:F3"/>
    <mergeCell ref="I3:K3"/>
    <mergeCell ref="B4:K4"/>
  </mergeCells>
  <dataValidations count="1">
    <dataValidation type="list" allowBlank="1" showInputMessage="1" showErrorMessage="1" sqref="D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D65546 IZ65546 SV65546 ACR65546 AMN65546 AWJ65546 BGF65546 BQB65546 BZX65546 CJT65546 CTP65546 DDL65546 DNH65546 DXD65546 EGZ65546 EQV65546 FAR65546 FKN65546 FUJ65546 GEF65546 GOB65546 GXX65546 HHT65546 HRP65546 IBL65546 ILH65546 IVD65546 JEZ65546 JOV65546 JYR65546 KIN65546 KSJ65546 LCF65546 LMB65546 LVX65546 MFT65546 MPP65546 MZL65546 NJH65546 NTD65546 OCZ65546 OMV65546 OWR65546 PGN65546 PQJ65546 QAF65546 QKB65546 QTX65546 RDT65546 RNP65546 RXL65546 SHH65546 SRD65546 TAZ65546 TKV65546 TUR65546 UEN65546 UOJ65546 UYF65546 VIB65546 VRX65546 WBT65546 WLP65546 WVL65546 D131082 IZ131082 SV131082 ACR131082 AMN131082 AWJ131082 BGF131082 BQB131082 BZX131082 CJT131082 CTP131082 DDL131082 DNH131082 DXD131082 EGZ131082 EQV131082 FAR131082 FKN131082 FUJ131082 GEF131082 GOB131082 GXX131082 HHT131082 HRP131082 IBL131082 ILH131082 IVD131082 JEZ131082 JOV131082 JYR131082 KIN131082 KSJ131082 LCF131082 LMB131082 LVX131082 MFT131082 MPP131082 MZL131082 NJH131082 NTD131082 OCZ131082 OMV131082 OWR131082 PGN131082 PQJ131082 QAF131082 QKB131082 QTX131082 RDT131082 RNP131082 RXL131082 SHH131082 SRD131082 TAZ131082 TKV131082 TUR131082 UEN131082 UOJ131082 UYF131082 VIB131082 VRX131082 WBT131082 WLP131082 WVL131082 D196618 IZ196618 SV196618 ACR196618 AMN196618 AWJ196618 BGF196618 BQB196618 BZX196618 CJT196618 CTP196618 DDL196618 DNH196618 DXD196618 EGZ196618 EQV196618 FAR196618 FKN196618 FUJ196618 GEF196618 GOB196618 GXX196618 HHT196618 HRP196618 IBL196618 ILH196618 IVD196618 JEZ196618 JOV196618 JYR196618 KIN196618 KSJ196618 LCF196618 LMB196618 LVX196618 MFT196618 MPP196618 MZL196618 NJH196618 NTD196618 OCZ196618 OMV196618 OWR196618 PGN196618 PQJ196618 QAF196618 QKB196618 QTX196618 RDT196618 RNP196618 RXL196618 SHH196618 SRD196618 TAZ196618 TKV196618 TUR196618 UEN196618 UOJ196618 UYF196618 VIB196618 VRX196618 WBT196618 WLP196618 WVL196618 D262154 IZ262154 SV262154 ACR262154 AMN262154 AWJ262154 BGF262154 BQB262154 BZX262154 CJT262154 CTP262154 DDL262154 DNH262154 DXD262154 EGZ262154 EQV262154 FAR262154 FKN262154 FUJ262154 GEF262154 GOB262154 GXX262154 HHT262154 HRP262154 IBL262154 ILH262154 IVD262154 JEZ262154 JOV262154 JYR262154 KIN262154 KSJ262154 LCF262154 LMB262154 LVX262154 MFT262154 MPP262154 MZL262154 NJH262154 NTD262154 OCZ262154 OMV262154 OWR262154 PGN262154 PQJ262154 QAF262154 QKB262154 QTX262154 RDT262154 RNP262154 RXL262154 SHH262154 SRD262154 TAZ262154 TKV262154 TUR262154 UEN262154 UOJ262154 UYF262154 VIB262154 VRX262154 WBT262154 WLP262154 WVL262154 D327690 IZ327690 SV327690 ACR327690 AMN327690 AWJ327690 BGF327690 BQB327690 BZX327690 CJT327690 CTP327690 DDL327690 DNH327690 DXD327690 EGZ327690 EQV327690 FAR327690 FKN327690 FUJ327690 GEF327690 GOB327690 GXX327690 HHT327690 HRP327690 IBL327690 ILH327690 IVD327690 JEZ327690 JOV327690 JYR327690 KIN327690 KSJ327690 LCF327690 LMB327690 LVX327690 MFT327690 MPP327690 MZL327690 NJH327690 NTD327690 OCZ327690 OMV327690 OWR327690 PGN327690 PQJ327690 QAF327690 QKB327690 QTX327690 RDT327690 RNP327690 RXL327690 SHH327690 SRD327690 TAZ327690 TKV327690 TUR327690 UEN327690 UOJ327690 UYF327690 VIB327690 VRX327690 WBT327690 WLP327690 WVL327690 D393226 IZ393226 SV393226 ACR393226 AMN393226 AWJ393226 BGF393226 BQB393226 BZX393226 CJT393226 CTP393226 DDL393226 DNH393226 DXD393226 EGZ393226 EQV393226 FAR393226 FKN393226 FUJ393226 GEF393226 GOB393226 GXX393226 HHT393226 HRP393226 IBL393226 ILH393226 IVD393226 JEZ393226 JOV393226 JYR393226 KIN393226 KSJ393226 LCF393226 LMB393226 LVX393226 MFT393226 MPP393226 MZL393226 NJH393226 NTD393226 OCZ393226 OMV393226 OWR393226 PGN393226 PQJ393226 QAF393226 QKB393226 QTX393226 RDT393226 RNP393226 RXL393226 SHH393226 SRD393226 TAZ393226 TKV393226 TUR393226 UEN393226 UOJ393226 UYF393226 VIB393226 VRX393226 WBT393226 WLP393226 WVL393226 D458762 IZ458762 SV458762 ACR458762 AMN458762 AWJ458762 BGF458762 BQB458762 BZX458762 CJT458762 CTP458762 DDL458762 DNH458762 DXD458762 EGZ458762 EQV458762 FAR458762 FKN458762 FUJ458762 GEF458762 GOB458762 GXX458762 HHT458762 HRP458762 IBL458762 ILH458762 IVD458762 JEZ458762 JOV458762 JYR458762 KIN458762 KSJ458762 LCF458762 LMB458762 LVX458762 MFT458762 MPP458762 MZL458762 NJH458762 NTD458762 OCZ458762 OMV458762 OWR458762 PGN458762 PQJ458762 QAF458762 QKB458762 QTX458762 RDT458762 RNP458762 RXL458762 SHH458762 SRD458762 TAZ458762 TKV458762 TUR458762 UEN458762 UOJ458762 UYF458762 VIB458762 VRX458762 WBT458762 WLP458762 WVL458762 D524298 IZ524298 SV524298 ACR524298 AMN524298 AWJ524298 BGF524298 BQB524298 BZX524298 CJT524298 CTP524298 DDL524298 DNH524298 DXD524298 EGZ524298 EQV524298 FAR524298 FKN524298 FUJ524298 GEF524298 GOB524298 GXX524298 HHT524298 HRP524298 IBL524298 ILH524298 IVD524298 JEZ524298 JOV524298 JYR524298 KIN524298 KSJ524298 LCF524298 LMB524298 LVX524298 MFT524298 MPP524298 MZL524298 NJH524298 NTD524298 OCZ524298 OMV524298 OWR524298 PGN524298 PQJ524298 QAF524298 QKB524298 QTX524298 RDT524298 RNP524298 RXL524298 SHH524298 SRD524298 TAZ524298 TKV524298 TUR524298 UEN524298 UOJ524298 UYF524298 VIB524298 VRX524298 WBT524298 WLP524298 WVL524298 D589834 IZ589834 SV589834 ACR589834 AMN589834 AWJ589834 BGF589834 BQB589834 BZX589834 CJT589834 CTP589834 DDL589834 DNH589834 DXD589834 EGZ589834 EQV589834 FAR589834 FKN589834 FUJ589834 GEF589834 GOB589834 GXX589834 HHT589834 HRP589834 IBL589834 ILH589834 IVD589834 JEZ589834 JOV589834 JYR589834 KIN589834 KSJ589834 LCF589834 LMB589834 LVX589834 MFT589834 MPP589834 MZL589834 NJH589834 NTD589834 OCZ589834 OMV589834 OWR589834 PGN589834 PQJ589834 QAF589834 QKB589834 QTX589834 RDT589834 RNP589834 RXL589834 SHH589834 SRD589834 TAZ589834 TKV589834 TUR589834 UEN589834 UOJ589834 UYF589834 VIB589834 VRX589834 WBT589834 WLP589834 WVL589834 D655370 IZ655370 SV655370 ACR655370 AMN655370 AWJ655370 BGF655370 BQB655370 BZX655370 CJT655370 CTP655370 DDL655370 DNH655370 DXD655370 EGZ655370 EQV655370 FAR655370 FKN655370 FUJ655370 GEF655370 GOB655370 GXX655370 HHT655370 HRP655370 IBL655370 ILH655370 IVD655370 JEZ655370 JOV655370 JYR655370 KIN655370 KSJ655370 LCF655370 LMB655370 LVX655370 MFT655370 MPP655370 MZL655370 NJH655370 NTD655370 OCZ655370 OMV655370 OWR655370 PGN655370 PQJ655370 QAF655370 QKB655370 QTX655370 RDT655370 RNP655370 RXL655370 SHH655370 SRD655370 TAZ655370 TKV655370 TUR655370 UEN655370 UOJ655370 UYF655370 VIB655370 VRX655370 WBT655370 WLP655370 WVL655370 D720906 IZ720906 SV720906 ACR720906 AMN720906 AWJ720906 BGF720906 BQB720906 BZX720906 CJT720906 CTP720906 DDL720906 DNH720906 DXD720906 EGZ720906 EQV720906 FAR720906 FKN720906 FUJ720906 GEF720906 GOB720906 GXX720906 HHT720906 HRP720906 IBL720906 ILH720906 IVD720906 JEZ720906 JOV720906 JYR720906 KIN720906 KSJ720906 LCF720906 LMB720906 LVX720906 MFT720906 MPP720906 MZL720906 NJH720906 NTD720906 OCZ720906 OMV720906 OWR720906 PGN720906 PQJ720906 QAF720906 QKB720906 QTX720906 RDT720906 RNP720906 RXL720906 SHH720906 SRD720906 TAZ720906 TKV720906 TUR720906 UEN720906 UOJ720906 UYF720906 VIB720906 VRX720906 WBT720906 WLP720906 WVL720906 D786442 IZ786442 SV786442 ACR786442 AMN786442 AWJ786442 BGF786442 BQB786442 BZX786442 CJT786442 CTP786442 DDL786442 DNH786442 DXD786442 EGZ786442 EQV786442 FAR786442 FKN786442 FUJ786442 GEF786442 GOB786442 GXX786442 HHT786442 HRP786442 IBL786442 ILH786442 IVD786442 JEZ786442 JOV786442 JYR786442 KIN786442 KSJ786442 LCF786442 LMB786442 LVX786442 MFT786442 MPP786442 MZL786442 NJH786442 NTD786442 OCZ786442 OMV786442 OWR786442 PGN786442 PQJ786442 QAF786442 QKB786442 QTX786442 RDT786442 RNP786442 RXL786442 SHH786442 SRD786442 TAZ786442 TKV786442 TUR786442 UEN786442 UOJ786442 UYF786442 VIB786442 VRX786442 WBT786442 WLP786442 WVL786442 D851978 IZ851978 SV851978 ACR851978 AMN851978 AWJ851978 BGF851978 BQB851978 BZX851978 CJT851978 CTP851978 DDL851978 DNH851978 DXD851978 EGZ851978 EQV851978 FAR851978 FKN851978 FUJ851978 GEF851978 GOB851978 GXX851978 HHT851978 HRP851978 IBL851978 ILH851978 IVD851978 JEZ851978 JOV851978 JYR851978 KIN851978 KSJ851978 LCF851978 LMB851978 LVX851978 MFT851978 MPP851978 MZL851978 NJH851978 NTD851978 OCZ851978 OMV851978 OWR851978 PGN851978 PQJ851978 QAF851978 QKB851978 QTX851978 RDT851978 RNP851978 RXL851978 SHH851978 SRD851978 TAZ851978 TKV851978 TUR851978 UEN851978 UOJ851978 UYF851978 VIB851978 VRX851978 WBT851978 WLP851978 WVL851978 D917514 IZ917514 SV917514 ACR917514 AMN917514 AWJ917514 BGF917514 BQB917514 BZX917514 CJT917514 CTP917514 DDL917514 DNH917514 DXD917514 EGZ917514 EQV917514 FAR917514 FKN917514 FUJ917514 GEF917514 GOB917514 GXX917514 HHT917514 HRP917514 IBL917514 ILH917514 IVD917514 JEZ917514 JOV917514 JYR917514 KIN917514 KSJ917514 LCF917514 LMB917514 LVX917514 MFT917514 MPP917514 MZL917514 NJH917514 NTD917514 OCZ917514 OMV917514 OWR917514 PGN917514 PQJ917514 QAF917514 QKB917514 QTX917514 RDT917514 RNP917514 RXL917514 SHH917514 SRD917514 TAZ917514 TKV917514 TUR917514 UEN917514 UOJ917514 UYF917514 VIB917514 VRX917514 WBT917514 WLP917514 WVL917514 D983050 IZ983050 SV983050 ACR983050 AMN983050 AWJ983050 BGF983050 BQB983050 BZX983050 CJT983050 CTP983050 DDL983050 DNH983050 DXD983050 EGZ983050 EQV983050 FAR983050 FKN983050 FUJ983050 GEF983050 GOB983050 GXX983050 HHT983050 HRP983050 IBL983050 ILH983050 IVD983050 JEZ983050 JOV983050 JYR983050 KIN983050 KSJ983050 LCF983050 LMB983050 LVX983050 MFT983050 MPP983050 MZL983050 NJH983050 NTD983050 OCZ983050 OMV983050 OWR983050 PGN983050 PQJ983050 QAF983050 QKB983050 QTX983050 RDT983050 RNP983050 RXL983050 SHH983050 SRD983050 TAZ983050 TKV983050 TUR983050 UEN983050 UOJ983050 UYF983050 VIB983050 VRX983050 WBT983050 WLP983050 WVL983050" xr:uid="{79AF97BD-B471-1C4D-8C92-83F297BD9A8D}">
      <formula1>$A$21:$A$118</formula1>
    </dataValidation>
  </dataValidations>
  <hyperlinks>
    <hyperlink ref="B2" r:id="rId1" xr:uid="{381BA35B-565F-B445-839D-B3A773A67284}"/>
    <hyperlink ref="B4" r:id="rId2" xr:uid="{40688F95-9B21-FC4B-A424-24F34E1078F7}"/>
    <hyperlink ref="B5" r:id="rId3" display="http://www.stern.nyu.edu/~adamodar/New_Home_Page/data.html" xr:uid="{FB916C30-8F1C-E440-8945-0DFC8FFB1BE1}"/>
    <hyperlink ref="B6" r:id="rId4" display="http://www.stern.nyu.edu/~adamodar/pc/datasets/indname.xls" xr:uid="{083A0678-6202-6D44-BCBC-4D09A5AAA3C8}"/>
    <hyperlink ref="B7" r:id="rId5" display="http://www.stern.nyu.edu/~adamodar/New_Home_Page/datafile/variable.htm" xr:uid="{92370CEB-28C6-B740-81AF-91CFD922995D}"/>
  </hyperlinks>
  <printOptions gridLines="1" gridLinesSet="0"/>
  <pageMargins left="0.75" right="0.75" top="1" bottom="1" header="0.5" footer="0.5"/>
  <pageSetup orientation="portrait" horizontalDpi="4294967292" verticalDpi="4294967292"/>
  <headerFooter alignWithMargins="0">
    <oddHeader>&amp;A</oddHeader>
    <oddFooter>Page &amp;P</oddFooter>
  </headerFooter>
  <legacyDrawing r:id="rId6"/>
  <tableParts count="1">
    <tablePart r:id="rId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398E-455E-1A4B-9C3D-B51356B6E3B0}">
  <sheetPr>
    <tabColor rgb="FFFF0000"/>
  </sheetPr>
  <dimension ref="A1:G12"/>
  <sheetViews>
    <sheetView workbookViewId="0">
      <selection activeCell="H41" sqref="H41"/>
    </sheetView>
  </sheetViews>
  <sheetFormatPr baseColWidth="10" defaultColWidth="8.83203125" defaultRowHeight="15"/>
  <cols>
    <col min="1" max="7" width="18" style="55" customWidth="1"/>
    <col min="8" max="16384" width="8.83203125" style="55"/>
  </cols>
  <sheetData>
    <row r="1" spans="1:7" ht="16">
      <c r="A1" s="286" t="s">
        <v>152</v>
      </c>
      <c r="B1" s="285"/>
      <c r="C1" s="285"/>
      <c r="D1" s="285"/>
      <c r="E1" s="285"/>
      <c r="F1" s="285"/>
      <c r="G1" s="285"/>
    </row>
    <row r="3" spans="1:7" ht="16">
      <c r="A3" s="58" t="s">
        <v>151</v>
      </c>
      <c r="B3" s="58" t="s">
        <v>150</v>
      </c>
      <c r="C3" s="58" t="s">
        <v>149</v>
      </c>
      <c r="D3" s="58" t="s">
        <v>148</v>
      </c>
      <c r="E3" s="58" t="s">
        <v>147</v>
      </c>
      <c r="F3" s="58" t="s">
        <v>146</v>
      </c>
      <c r="G3" s="58" t="s">
        <v>145</v>
      </c>
    </row>
    <row r="4" spans="1:7">
      <c r="A4" s="57" t="s">
        <v>62</v>
      </c>
      <c r="B4" s="57" t="s">
        <v>141</v>
      </c>
      <c r="C4" s="57" t="s">
        <v>140</v>
      </c>
      <c r="D4" s="56">
        <v>21323798</v>
      </c>
      <c r="E4" s="56">
        <v>-19331040</v>
      </c>
      <c r="F4" s="56">
        <v>84342899</v>
      </c>
      <c r="G4" s="56">
        <v>103673939</v>
      </c>
    </row>
    <row r="5" spans="1:7">
      <c r="A5" s="57" t="s">
        <v>83</v>
      </c>
      <c r="B5" s="57" t="s">
        <v>144</v>
      </c>
      <c r="C5" s="57" t="s">
        <v>143</v>
      </c>
      <c r="D5" s="56">
        <v>21323798</v>
      </c>
      <c r="E5" s="56">
        <v>49071518</v>
      </c>
      <c r="F5" s="56">
        <v>-34520334</v>
      </c>
      <c r="G5" s="56">
        <v>83591852</v>
      </c>
    </row>
    <row r="6" spans="1:7">
      <c r="A6" s="57" t="s">
        <v>142</v>
      </c>
      <c r="B6" s="57" t="s">
        <v>141</v>
      </c>
      <c r="C6" s="57" t="s">
        <v>140</v>
      </c>
      <c r="D6" s="56">
        <v>21323798</v>
      </c>
      <c r="E6" s="56">
        <v>2697057</v>
      </c>
      <c r="F6" s="56">
        <v>68424873</v>
      </c>
      <c r="G6" s="56">
        <v>65727816</v>
      </c>
    </row>
    <row r="7" spans="1:7">
      <c r="A7" s="57" t="s">
        <v>139</v>
      </c>
      <c r="B7" s="57" t="s">
        <v>138</v>
      </c>
      <c r="C7" s="57" t="s">
        <v>137</v>
      </c>
      <c r="D7" s="56">
        <v>21323798</v>
      </c>
      <c r="E7" s="56">
        <v>48373814</v>
      </c>
      <c r="F7" s="56">
        <v>5589489</v>
      </c>
      <c r="G7" s="56">
        <v>42784325</v>
      </c>
    </row>
    <row r="8" spans="1:7">
      <c r="A8" s="57" t="s">
        <v>112</v>
      </c>
      <c r="B8" s="57" t="s">
        <v>136</v>
      </c>
      <c r="C8" s="57" t="s">
        <v>135</v>
      </c>
      <c r="D8" s="56">
        <v>21323798</v>
      </c>
      <c r="E8" s="56">
        <v>32749637</v>
      </c>
      <c r="F8" s="56">
        <v>9923792</v>
      </c>
      <c r="G8" s="56">
        <v>22825845</v>
      </c>
    </row>
    <row r="9" spans="1:7">
      <c r="A9" s="57" t="s">
        <v>113</v>
      </c>
      <c r="B9" s="57" t="s">
        <v>134</v>
      </c>
      <c r="C9" s="57" t="s">
        <v>133</v>
      </c>
      <c r="D9" s="56">
        <v>21323798</v>
      </c>
      <c r="E9" s="56">
        <v>25685442</v>
      </c>
      <c r="F9" s="56">
        <v>16962155</v>
      </c>
      <c r="G9" s="56">
        <v>8723287</v>
      </c>
    </row>
    <row r="11" spans="1:7">
      <c r="A11" s="284" t="s">
        <v>132</v>
      </c>
      <c r="B11" s="285"/>
      <c r="C11" s="285"/>
      <c r="D11" s="285"/>
      <c r="E11" s="285"/>
      <c r="F11" s="285"/>
      <c r="G11" s="285"/>
    </row>
    <row r="12" spans="1:7">
      <c r="A12" s="284" t="s">
        <v>131</v>
      </c>
      <c r="B12" s="285"/>
      <c r="C12" s="285"/>
      <c r="D12" s="285"/>
      <c r="E12" s="285"/>
      <c r="F12" s="285"/>
      <c r="G12" s="285"/>
    </row>
  </sheetData>
  <mergeCells count="3">
    <mergeCell ref="A11:G11"/>
    <mergeCell ref="A1:G1"/>
    <mergeCell ref="A12:G12"/>
  </mergeCell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21D78-23AD-A742-B0B7-CFFBAE67B419}">
  <sheetPr>
    <tabColor rgb="FFFF0000"/>
  </sheetPr>
  <dimension ref="A1:E47"/>
  <sheetViews>
    <sheetView workbookViewId="0">
      <selection activeCell="H41" sqref="H41"/>
    </sheetView>
  </sheetViews>
  <sheetFormatPr baseColWidth="10" defaultColWidth="8.83203125" defaultRowHeight="15"/>
  <cols>
    <col min="1" max="1" width="8" style="55" customWidth="1"/>
    <col min="2" max="5" width="22" style="55" customWidth="1"/>
    <col min="6" max="16384" width="8.83203125" style="55"/>
  </cols>
  <sheetData>
    <row r="1" spans="1:5" ht="16">
      <c r="A1" s="286" t="s">
        <v>157</v>
      </c>
      <c r="B1" s="285"/>
      <c r="C1" s="285"/>
      <c r="D1" s="285"/>
    </row>
    <row r="3" spans="1:5" ht="31">
      <c r="A3" s="58" t="s">
        <v>74</v>
      </c>
      <c r="B3" s="58" t="s">
        <v>156</v>
      </c>
      <c r="C3" s="58" t="s">
        <v>155</v>
      </c>
      <c r="D3" s="58" t="s">
        <v>154</v>
      </c>
      <c r="E3" s="58" t="s">
        <v>153</v>
      </c>
    </row>
    <row r="4" spans="1:5">
      <c r="A4" s="57">
        <v>0</v>
      </c>
      <c r="B4" s="56">
        <v>39834</v>
      </c>
      <c r="C4" s="56">
        <v>25905</v>
      </c>
      <c r="D4" s="56">
        <v>15617</v>
      </c>
      <c r="E4" s="56">
        <v>55451</v>
      </c>
    </row>
    <row r="5" spans="1:5">
      <c r="A5" s="57">
        <v>1</v>
      </c>
      <c r="B5" s="56">
        <v>39834</v>
      </c>
      <c r="C5" s="56">
        <v>27200</v>
      </c>
      <c r="D5" s="56">
        <v>16154</v>
      </c>
      <c r="E5" s="56">
        <v>55988</v>
      </c>
    </row>
    <row r="6" spans="1:5">
      <c r="A6" s="57">
        <v>2</v>
      </c>
      <c r="B6" s="56">
        <v>39834</v>
      </c>
      <c r="C6" s="56">
        <v>28560</v>
      </c>
      <c r="D6" s="56">
        <v>16716</v>
      </c>
      <c r="E6" s="56">
        <v>56550</v>
      </c>
    </row>
    <row r="7" spans="1:5">
      <c r="A7" s="57">
        <v>3</v>
      </c>
      <c r="B7" s="56">
        <v>39834</v>
      </c>
      <c r="C7" s="56">
        <v>29988</v>
      </c>
      <c r="D7" s="56">
        <v>17304</v>
      </c>
      <c r="E7" s="56">
        <v>57138</v>
      </c>
    </row>
    <row r="8" spans="1:5">
      <c r="A8" s="57">
        <v>4</v>
      </c>
      <c r="B8" s="56">
        <v>39834</v>
      </c>
      <c r="C8" s="56">
        <v>31488</v>
      </c>
      <c r="D8" s="56">
        <v>17920</v>
      </c>
      <c r="E8" s="56">
        <v>57754</v>
      </c>
    </row>
    <row r="9" spans="1:5">
      <c r="A9" s="57">
        <v>5</v>
      </c>
      <c r="B9" s="56">
        <v>39834</v>
      </c>
      <c r="C9" s="56">
        <v>33062</v>
      </c>
      <c r="D9" s="56">
        <v>18564</v>
      </c>
      <c r="E9" s="56">
        <v>58398</v>
      </c>
    </row>
    <row r="10" spans="1:5">
      <c r="A10" s="57">
        <v>6</v>
      </c>
      <c r="B10" s="56">
        <v>39834</v>
      </c>
      <c r="C10" s="56">
        <v>34715</v>
      </c>
      <c r="D10" s="56">
        <v>19238</v>
      </c>
      <c r="E10" s="56">
        <v>59072</v>
      </c>
    </row>
    <row r="11" spans="1:5">
      <c r="A11" s="57">
        <v>7</v>
      </c>
      <c r="B11" s="56">
        <v>39834</v>
      </c>
      <c r="C11" s="56">
        <v>36451</v>
      </c>
      <c r="D11" s="56">
        <v>19944</v>
      </c>
      <c r="E11" s="56">
        <v>59778</v>
      </c>
    </row>
    <row r="12" spans="1:5">
      <c r="A12" s="57">
        <v>8</v>
      </c>
      <c r="B12" s="56">
        <v>39834</v>
      </c>
      <c r="C12" s="56">
        <v>38273</v>
      </c>
      <c r="D12" s="56">
        <v>20683</v>
      </c>
      <c r="E12" s="56">
        <v>60517</v>
      </c>
    </row>
    <row r="13" spans="1:5">
      <c r="A13" s="57">
        <v>9</v>
      </c>
      <c r="B13" s="56">
        <v>39834</v>
      </c>
      <c r="C13" s="56">
        <v>40187</v>
      </c>
      <c r="D13" s="56">
        <v>21457</v>
      </c>
      <c r="E13" s="56">
        <v>61291</v>
      </c>
    </row>
    <row r="14" spans="1:5">
      <c r="A14" s="57">
        <v>10</v>
      </c>
      <c r="B14" s="56">
        <v>39834</v>
      </c>
      <c r="C14" s="56">
        <v>42197</v>
      </c>
      <c r="D14" s="56">
        <v>22267</v>
      </c>
      <c r="E14" s="56">
        <v>62101</v>
      </c>
    </row>
    <row r="15" spans="1:5">
      <c r="A15" s="57">
        <v>11</v>
      </c>
      <c r="B15" s="56">
        <v>39834</v>
      </c>
      <c r="C15" s="56">
        <v>44306</v>
      </c>
      <c r="D15" s="56">
        <v>23116</v>
      </c>
      <c r="E15" s="56">
        <v>62950</v>
      </c>
    </row>
    <row r="16" spans="1:5">
      <c r="A16" s="57">
        <v>12</v>
      </c>
      <c r="B16" s="56">
        <v>39834</v>
      </c>
      <c r="C16" s="56">
        <v>46522</v>
      </c>
      <c r="D16" s="56">
        <v>24004</v>
      </c>
      <c r="E16" s="56">
        <v>63838</v>
      </c>
    </row>
    <row r="17" spans="1:5">
      <c r="A17" s="57">
        <v>13</v>
      </c>
      <c r="B17" s="56">
        <v>39834</v>
      </c>
      <c r="C17" s="56">
        <v>46522</v>
      </c>
      <c r="D17" s="56">
        <v>24934</v>
      </c>
      <c r="E17" s="56">
        <v>64768</v>
      </c>
    </row>
    <row r="18" spans="1:5">
      <c r="A18" s="57">
        <v>14</v>
      </c>
      <c r="B18" s="56">
        <v>39834</v>
      </c>
      <c r="C18" s="56">
        <v>46522</v>
      </c>
      <c r="D18" s="56">
        <v>25909</v>
      </c>
      <c r="E18" s="56">
        <v>65743</v>
      </c>
    </row>
    <row r="19" spans="1:5">
      <c r="A19" s="57">
        <v>15</v>
      </c>
      <c r="B19" s="56">
        <v>39834</v>
      </c>
      <c r="C19" s="56">
        <v>46522</v>
      </c>
      <c r="D19" s="56">
        <v>26929</v>
      </c>
      <c r="E19" s="56">
        <v>66763</v>
      </c>
    </row>
    <row r="20" spans="1:5">
      <c r="A20" s="57">
        <v>16</v>
      </c>
      <c r="B20" s="56">
        <v>39834</v>
      </c>
      <c r="C20" s="56">
        <v>46522</v>
      </c>
      <c r="D20" s="56">
        <v>27998</v>
      </c>
      <c r="E20" s="56">
        <v>67832</v>
      </c>
    </row>
    <row r="21" spans="1:5">
      <c r="A21" s="57">
        <v>17</v>
      </c>
      <c r="B21" s="56">
        <v>39834</v>
      </c>
      <c r="C21" s="56">
        <v>46522</v>
      </c>
      <c r="D21" s="56">
        <v>29118</v>
      </c>
      <c r="E21" s="56">
        <v>68952</v>
      </c>
    </row>
    <row r="22" spans="1:5">
      <c r="A22" s="57">
        <v>18</v>
      </c>
      <c r="B22" s="56">
        <v>39834</v>
      </c>
      <c r="C22" s="56">
        <v>46522</v>
      </c>
      <c r="D22" s="56">
        <v>30291</v>
      </c>
      <c r="E22" s="56">
        <v>70125</v>
      </c>
    </row>
    <row r="23" spans="1:5">
      <c r="A23" s="57">
        <v>19</v>
      </c>
      <c r="B23" s="56">
        <v>39834</v>
      </c>
      <c r="C23" s="56">
        <v>46522</v>
      </c>
      <c r="D23" s="56">
        <v>31519</v>
      </c>
      <c r="E23" s="56">
        <v>71353</v>
      </c>
    </row>
    <row r="24" spans="1:5">
      <c r="A24" s="57">
        <v>20</v>
      </c>
      <c r="B24" s="56">
        <v>39834</v>
      </c>
      <c r="C24" s="56">
        <v>46522</v>
      </c>
      <c r="D24" s="56">
        <v>32806</v>
      </c>
      <c r="E24" s="56">
        <v>72640</v>
      </c>
    </row>
    <row r="25" spans="1:5">
      <c r="A25" s="57">
        <v>21</v>
      </c>
      <c r="B25" s="56">
        <v>39834</v>
      </c>
      <c r="C25" s="56">
        <v>46522</v>
      </c>
      <c r="D25" s="56">
        <v>34155</v>
      </c>
      <c r="E25" s="56">
        <v>73989</v>
      </c>
    </row>
    <row r="26" spans="1:5">
      <c r="A26" s="57">
        <v>22</v>
      </c>
      <c r="B26" s="56">
        <v>39834</v>
      </c>
      <c r="C26" s="56">
        <v>46522</v>
      </c>
      <c r="D26" s="56">
        <v>35568</v>
      </c>
      <c r="E26" s="56">
        <v>75402</v>
      </c>
    </row>
    <row r="27" spans="1:5">
      <c r="A27" s="57">
        <v>23</v>
      </c>
      <c r="B27" s="56">
        <v>39834</v>
      </c>
      <c r="C27" s="56">
        <v>46522</v>
      </c>
      <c r="D27" s="56">
        <v>37048</v>
      </c>
      <c r="E27" s="56">
        <v>76882</v>
      </c>
    </row>
    <row r="28" spans="1:5">
      <c r="A28" s="57">
        <v>24</v>
      </c>
      <c r="B28" s="56">
        <v>39834</v>
      </c>
      <c r="C28" s="56">
        <v>46522</v>
      </c>
      <c r="D28" s="56">
        <v>38599</v>
      </c>
      <c r="E28" s="56">
        <v>78433</v>
      </c>
    </row>
    <row r="29" spans="1:5">
      <c r="A29" s="57">
        <v>25</v>
      </c>
      <c r="B29" s="56">
        <v>39834</v>
      </c>
      <c r="C29" s="56">
        <v>46522</v>
      </c>
      <c r="D29" s="56">
        <v>40224</v>
      </c>
      <c r="E29" s="56">
        <v>80058</v>
      </c>
    </row>
    <row r="30" spans="1:5">
      <c r="A30" s="57">
        <v>26</v>
      </c>
      <c r="B30" s="56">
        <v>39834</v>
      </c>
      <c r="C30" s="56">
        <v>46522</v>
      </c>
      <c r="D30" s="56">
        <v>41928</v>
      </c>
      <c r="E30" s="56">
        <v>81762</v>
      </c>
    </row>
    <row r="31" spans="1:5">
      <c r="A31" s="57">
        <v>27</v>
      </c>
      <c r="B31" s="56">
        <v>39834</v>
      </c>
      <c r="C31" s="56">
        <v>46522</v>
      </c>
      <c r="D31" s="56">
        <v>43712</v>
      </c>
      <c r="E31" s="56">
        <v>83546</v>
      </c>
    </row>
    <row r="32" spans="1:5">
      <c r="A32" s="57">
        <v>28</v>
      </c>
      <c r="B32" s="56">
        <v>39834</v>
      </c>
      <c r="C32" s="56">
        <v>46522</v>
      </c>
      <c r="D32" s="56">
        <v>45583</v>
      </c>
      <c r="E32" s="56">
        <v>85417</v>
      </c>
    </row>
    <row r="33" spans="1:5">
      <c r="A33" s="57">
        <v>29</v>
      </c>
      <c r="B33" s="56">
        <v>39834</v>
      </c>
      <c r="C33" s="56">
        <v>46522</v>
      </c>
      <c r="D33" s="56">
        <v>47544</v>
      </c>
      <c r="E33" s="56">
        <v>87378</v>
      </c>
    </row>
    <row r="34" spans="1:5">
      <c r="A34" s="57">
        <v>30</v>
      </c>
      <c r="B34" s="56">
        <v>39834</v>
      </c>
      <c r="C34" s="56">
        <v>46522</v>
      </c>
      <c r="D34" s="56">
        <v>49598</v>
      </c>
      <c r="E34" s="56">
        <v>89432</v>
      </c>
    </row>
    <row r="35" spans="1:5">
      <c r="A35" s="57">
        <v>31</v>
      </c>
      <c r="B35" s="56">
        <v>0</v>
      </c>
      <c r="C35" s="56">
        <v>46522</v>
      </c>
      <c r="D35" s="56">
        <v>48565</v>
      </c>
      <c r="E35" s="56">
        <v>48565</v>
      </c>
    </row>
    <row r="36" spans="1:5">
      <c r="A36" s="57">
        <v>32</v>
      </c>
      <c r="B36" s="56">
        <v>0</v>
      </c>
      <c r="C36" s="56">
        <v>46522</v>
      </c>
      <c r="D36" s="56">
        <v>50823</v>
      </c>
      <c r="E36" s="56">
        <v>50823</v>
      </c>
    </row>
    <row r="37" spans="1:5">
      <c r="A37" s="57">
        <v>33</v>
      </c>
      <c r="B37" s="56">
        <v>0</v>
      </c>
      <c r="C37" s="56">
        <v>46522</v>
      </c>
      <c r="D37" s="56">
        <v>53189</v>
      </c>
      <c r="E37" s="56">
        <v>53189</v>
      </c>
    </row>
    <row r="38" spans="1:5">
      <c r="A38" s="57">
        <v>34</v>
      </c>
      <c r="B38" s="56">
        <v>0</v>
      </c>
      <c r="C38" s="56">
        <v>46522</v>
      </c>
      <c r="D38" s="56">
        <v>55669</v>
      </c>
      <c r="E38" s="56">
        <v>55669</v>
      </c>
    </row>
    <row r="39" spans="1:5">
      <c r="A39" s="57">
        <v>35</v>
      </c>
      <c r="B39" s="56">
        <v>0</v>
      </c>
      <c r="C39" s="56">
        <v>46522</v>
      </c>
      <c r="D39" s="56">
        <v>58269</v>
      </c>
      <c r="E39" s="56">
        <v>58269</v>
      </c>
    </row>
    <row r="40" spans="1:5">
      <c r="A40" s="57">
        <v>36</v>
      </c>
      <c r="B40" s="56">
        <v>0</v>
      </c>
      <c r="C40" s="56">
        <v>46522</v>
      </c>
      <c r="D40" s="56">
        <v>60995</v>
      </c>
      <c r="E40" s="56">
        <v>60995</v>
      </c>
    </row>
    <row r="41" spans="1:5">
      <c r="A41" s="57">
        <v>37</v>
      </c>
      <c r="B41" s="56">
        <v>0</v>
      </c>
      <c r="C41" s="56">
        <v>46522</v>
      </c>
      <c r="D41" s="56">
        <v>63853</v>
      </c>
      <c r="E41" s="56">
        <v>63853</v>
      </c>
    </row>
    <row r="42" spans="1:5">
      <c r="A42" s="57">
        <v>38</v>
      </c>
      <c r="B42" s="56">
        <v>0</v>
      </c>
      <c r="C42" s="56">
        <v>46522</v>
      </c>
      <c r="D42" s="56">
        <v>66849</v>
      </c>
      <c r="E42" s="56">
        <v>66849</v>
      </c>
    </row>
    <row r="43" spans="1:5">
      <c r="A43" s="57">
        <v>39</v>
      </c>
      <c r="B43" s="56">
        <v>0</v>
      </c>
      <c r="C43" s="56">
        <v>46522</v>
      </c>
      <c r="D43" s="56">
        <v>69990</v>
      </c>
      <c r="E43" s="56">
        <v>69990</v>
      </c>
    </row>
    <row r="44" spans="1:5">
      <c r="A44" s="57">
        <v>40</v>
      </c>
      <c r="B44" s="56">
        <v>0</v>
      </c>
      <c r="C44" s="56">
        <v>46522</v>
      </c>
      <c r="D44" s="56">
        <v>73283</v>
      </c>
      <c r="E44" s="56">
        <v>73283</v>
      </c>
    </row>
    <row r="46" spans="1:5">
      <c r="A46" s="284"/>
      <c r="B46" s="285"/>
      <c r="C46" s="285"/>
      <c r="D46" s="285"/>
      <c r="E46" s="285"/>
    </row>
    <row r="47" spans="1:5">
      <c r="A47" s="284"/>
      <c r="B47" s="285"/>
      <c r="C47" s="285"/>
      <c r="D47" s="285"/>
      <c r="E47" s="285"/>
    </row>
  </sheetData>
  <mergeCells count="3">
    <mergeCell ref="A1:D1"/>
    <mergeCell ref="A47:E47"/>
    <mergeCell ref="A46:E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Welcome</vt:lpstr>
      <vt:lpstr>Input sheet(dashboard)</vt:lpstr>
      <vt:lpstr>Calculations&gt;&gt;&gt;</vt:lpstr>
      <vt:lpstr>Calculations</vt:lpstr>
      <vt:lpstr>Results&gt;&gt;&gt;</vt:lpstr>
      <vt:lpstr>Results summary</vt:lpstr>
      <vt:lpstr>Sensitivity decomposition</vt:lpstr>
      <vt:lpstr>Decomposition</vt:lpstr>
      <vt:lpstr>Results</vt:lpstr>
      <vt:lpstr>Annual cost matrix</vt:lpstr>
      <vt:lpstr>Data&gt;&gt;&gt;</vt:lpstr>
      <vt:lpstr>Price data</vt:lpstr>
      <vt:lpstr>Price evolution</vt:lpstr>
      <vt:lpstr>Listing flat price</vt:lpstr>
      <vt:lpstr>flat price index</vt:lpstr>
      <vt:lpstr>SP500 retuns</vt:lpstr>
      <vt:lpstr>DamodaranUS</vt:lpstr>
      <vt:lpstr>Tornado Chart Data</vt:lpstr>
      <vt:lpstr>Cost Evolution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Bartoš</dc:creator>
  <cp:lastModifiedBy>David Bartoš</cp:lastModifiedBy>
  <dcterms:created xsi:type="dcterms:W3CDTF">2026-03-11T13:55:06Z</dcterms:created>
  <dcterms:modified xsi:type="dcterms:W3CDTF">2026-05-12T17:35:31Z</dcterms:modified>
</cp:coreProperties>
</file>